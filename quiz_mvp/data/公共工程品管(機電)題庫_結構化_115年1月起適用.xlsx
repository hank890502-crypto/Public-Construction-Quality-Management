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題庫" sheetId="1" state="visible" r:id="rId3"/>
    <sheet name="欄位與匯入說明" sheetId="2" state="visible" r:id="rId4"/>
    <sheet name="章節統計" sheetId="3" state="visible" r:id="rId5"/>
  </sheets>
  <definedNames>
    <definedName function="false" hidden="true" localSheetId="0" name="_xlnm._FilterDatabase" vbProcedure="false">題庫!$A$1:$T$1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<sst xmlns="http://schemas.openxmlformats.org/spreadsheetml/2006/main" count="38253" uniqueCount="9017">
  <si>
    <t xml:space="preserve">題號</t>
  </si>
  <si>
    <t xml:space="preserve">單元</t>
  </si>
  <si>
    <t xml:space="preserve">章節</t>
  </si>
  <si>
    <t xml:space="preserve">課程名稱（原始）</t>
  </si>
  <si>
    <t xml:space="preserve">題型</t>
  </si>
  <si>
    <t xml:space="preserve">題目</t>
  </si>
  <si>
    <t xml:space="preserve">選項A</t>
  </si>
  <si>
    <t xml:space="preserve">選項B</t>
  </si>
  <si>
    <t xml:space="preserve">選項C</t>
  </si>
  <si>
    <t xml:space="preserve">選項D</t>
  </si>
  <si>
    <t xml:space="preserve">選項E</t>
  </si>
  <si>
    <t xml:space="preserve">正確答案</t>
  </si>
  <si>
    <t xml:space="preserve">難度</t>
  </si>
  <si>
    <t xml:space="preserve">標籤</t>
  </si>
  <si>
    <t xml:space="preserve">解析</t>
  </si>
  <si>
    <t xml:space="preserve">法規依據</t>
  </si>
  <si>
    <t xml:space="preserve">題目來源</t>
  </si>
  <si>
    <t xml:space="preserve">適用版本</t>
  </si>
  <si>
    <t xml:space="preserve">狀態</t>
  </si>
  <si>
    <t xml:space="preserve">圖片</t>
  </si>
  <si>
    <t xml:space="preserve">政府採購全生命週期概論</t>
  </si>
  <si>
    <t xml:space="preserve">單選題</t>
  </si>
  <si>
    <t xml:space="preserve">依公共建設工程經費估算編列手冊總則篇，以下何者非屬工程建造費之編列架構？</t>
  </si>
  <si>
    <t xml:space="preserve">直接工程成本</t>
  </si>
  <si>
    <t xml:space="preserve">間接工程成本</t>
  </si>
  <si>
    <t xml:space="preserve">用地取得及拆遷補償費用</t>
  </si>
  <si>
    <t xml:space="preserve">工程預備費</t>
  </si>
  <si>
    <t xml:space="preserve">C</t>
  </si>
  <si>
    <t xml:space="preserve">難</t>
  </si>
  <si>
    <t xml:space="preserve">政府採購</t>
  </si>
  <si>
    <t xml:space="preserve">公共工程雲端服務網</t>
  </si>
  <si>
    <r>
      <rPr>
        <sz val="10"/>
        <rFont val="Arial"/>
        <family val="0"/>
        <charset val="1"/>
      </rPr>
      <t xml:space="preserve">115</t>
    </r>
    <r>
      <rPr>
        <sz val="10"/>
        <rFont val="Noto Sans CJK SC"/>
        <family val="2"/>
      </rPr>
      <t xml:space="preserve">年</t>
    </r>
    <r>
      <rPr>
        <sz val="10"/>
        <rFont val="Arial"/>
        <family val="0"/>
        <charset val="1"/>
      </rPr>
      <t xml:space="preserve">1</t>
    </r>
    <r>
      <rPr>
        <sz val="10"/>
        <rFont val="Noto Sans CJK SC"/>
        <family val="2"/>
      </rPr>
      <t xml:space="preserve">月起適用</t>
    </r>
  </si>
  <si>
    <t xml:space="preserve">已發布</t>
  </si>
  <si>
    <t xml:space="preserve">下列因應物價波動之方式，何者非屬妥適？</t>
  </si>
  <si>
    <t xml:space="preserve">計畫階段預為編列物調費及預備費</t>
  </si>
  <si>
    <t xml:space="preserve">個案契約依工程會工程採購契約範本採用3層級物調規定</t>
  </si>
  <si>
    <t xml:space="preserve">工程招標時請廠商提出放棄物調聲明書</t>
  </si>
  <si>
    <t xml:space="preserve">招標文件公告前再次訪查市場行情</t>
  </si>
  <si>
    <t xml:space="preserve">政府採購、物價調整</t>
  </si>
  <si>
    <t xml:space="preserve">下列何者非政府協調改善本國營造業缺工之措施？</t>
  </si>
  <si>
    <t xml:space="preserve">合理檢討移工規定</t>
  </si>
  <si>
    <t xml:space="preserve">加強本國勞工訓練媒合</t>
  </si>
  <si>
    <t xml:space="preserve">推動營建自動化</t>
  </si>
  <si>
    <t xml:space="preserve">全面開放移工進駐工地</t>
  </si>
  <si>
    <t xml:space="preserve">D</t>
  </si>
  <si>
    <t xml:space="preserve">政府採購、營建人力</t>
  </si>
  <si>
    <t xml:space="preserve">依政府公共工程計畫與經費審議作業要點基本設計階段之必要圖說之規定，機關當次送審基本設計之工程建造經費達新臺幣多少時，應辦理替選方案評估，並將替選方案評估報告納為必要圖說文件？</t>
  </si>
  <si>
    <r>
      <rPr>
        <sz val="10"/>
        <rFont val="Arial"/>
        <family val="0"/>
        <charset val="1"/>
      </rPr>
      <t xml:space="preserve">10</t>
    </r>
    <r>
      <rPr>
        <sz val="10"/>
        <rFont val="Noto Sans CJK SC"/>
        <family val="2"/>
      </rPr>
      <t xml:space="preserve">億元</t>
    </r>
  </si>
  <si>
    <r>
      <rPr>
        <sz val="10"/>
        <rFont val="Arial"/>
        <family val="0"/>
        <charset val="1"/>
      </rPr>
      <t xml:space="preserve">4</t>
    </r>
    <r>
      <rPr>
        <sz val="10"/>
        <rFont val="Noto Sans CJK SC"/>
        <family val="2"/>
      </rPr>
      <t xml:space="preserve">億元</t>
    </r>
  </si>
  <si>
    <r>
      <rPr>
        <sz val="10"/>
        <rFont val="Arial"/>
        <family val="0"/>
        <charset val="1"/>
      </rPr>
      <t xml:space="preserve">1</t>
    </r>
    <r>
      <rPr>
        <sz val="10"/>
        <rFont val="Noto Sans CJK SC"/>
        <family val="2"/>
      </rPr>
      <t xml:space="preserve">億元</t>
    </r>
  </si>
  <si>
    <r>
      <rPr>
        <sz val="10"/>
        <rFont val="Arial"/>
        <family val="0"/>
        <charset val="1"/>
      </rPr>
      <t xml:space="preserve">5</t>
    </r>
    <r>
      <rPr>
        <sz val="10"/>
        <rFont val="Noto Sans CJK SC"/>
        <family val="2"/>
      </rPr>
      <t xml:space="preserve">千萬元</t>
    </r>
  </si>
  <si>
    <t xml:space="preserve">A</t>
  </si>
  <si>
    <t xml:space="preserve">依共同性費用編列基準，專案研析後得計列之項目，不包含下列何者？</t>
  </si>
  <si>
    <t xml:space="preserve">基地一般性整理</t>
  </si>
  <si>
    <t xml:space="preserve">綠建築</t>
  </si>
  <si>
    <t xml:space="preserve">挑高空間</t>
  </si>
  <si>
    <t xml:space="preserve">智慧建築</t>
  </si>
  <si>
    <t xml:space="preserve">下列何者非屬「契約書圖條件不合理」之情形？</t>
  </si>
  <si>
    <t xml:space="preserve">保固年限過長</t>
  </si>
  <si>
    <t xml:space="preserve">訂定技術規格時，以功能或效益等精確方式說明招標需求，而不提供參考品牌</t>
  </si>
  <si>
    <t xml:space="preserve">材料綁標</t>
  </si>
  <si>
    <t xml:space="preserve">設計內容過簡要求廠商負設計責任</t>
  </si>
  <si>
    <t xml:space="preserve">B</t>
  </si>
  <si>
    <t xml:space="preserve">政府採購、契約管理</t>
  </si>
  <si>
    <t xml:space="preserve">機關應務實評選規劃設計廠商，評定實務可行之方案，評選委員及工作小組應於評選前瞭解之事項包含？1.計畫需求與預算。2.期程。3.各廠商投標內容。4.契約變更方案。</t>
  </si>
  <si>
    <t xml:space="preserve">1234</t>
  </si>
  <si>
    <t xml:space="preserve">123</t>
  </si>
  <si>
    <t xml:space="preserve">124</t>
  </si>
  <si>
    <t xml:space="preserve">234</t>
  </si>
  <si>
    <t xml:space="preserve">機關辦理採購應核實編列計畫預算，下列何者非考量之因素？</t>
  </si>
  <si>
    <t xml:space="preserve">機關需求</t>
  </si>
  <si>
    <t xml:space="preserve">使用年限</t>
  </si>
  <si>
    <t xml:space="preserve">未來契約可能因廠商違約重行招標之經費</t>
  </si>
  <si>
    <t xml:space="preserve">維護管理</t>
  </si>
  <si>
    <t xml:space="preserve">廠商如有違規棄土者，應要求限期清除；如未改善時，按契約規定</t>
  </si>
  <si>
    <t xml:space="preserve">扣款</t>
  </si>
  <si>
    <t xml:space="preserve">停止估驗</t>
  </si>
  <si>
    <t xml:space="preserve">終止契約或移請直轄市、縣(市)政府依規定查處</t>
  </si>
  <si>
    <t xml:space="preserve">以上皆是</t>
  </si>
  <si>
    <t xml:space="preserve">中</t>
  </si>
  <si>
    <t xml:space="preserve">機關辦理工程採購估驗計價，除契約另有約定，一般每期估驗款須扣除多少百分比之保留款？</t>
  </si>
  <si>
    <r>
      <rPr>
        <sz val="10"/>
        <rFont val="Arial"/>
        <family val="0"/>
        <charset val="1"/>
      </rPr>
      <t xml:space="preserve">3</t>
    </r>
    <r>
      <rPr>
        <sz val="10"/>
        <rFont val="Noto Sans CJK SC"/>
        <family val="2"/>
      </rPr>
      <t xml:space="preserve">％</t>
    </r>
  </si>
  <si>
    <t xml:space="preserve">5%</t>
  </si>
  <si>
    <t xml:space="preserve">6%</t>
  </si>
  <si>
    <t xml:space="preserve">7%</t>
  </si>
  <si>
    <t xml:space="preserve">基於促進循環經濟效益，及輔導產業健全發展，工程會依行政院指示，推動部分工程材料可適材、適所、適量運用於公共工程，該等材料不包含下列何者？</t>
  </si>
  <si>
    <t xml:space="preserve">焚化再生粒料</t>
  </si>
  <si>
    <t xml:space="preserve">煉鋼爐碴</t>
  </si>
  <si>
    <r>
      <rPr>
        <sz val="10"/>
        <rFont val="Arial"/>
        <family val="0"/>
        <charset val="1"/>
      </rPr>
      <t xml:space="preserve">AC</t>
    </r>
    <r>
      <rPr>
        <sz val="10"/>
        <rFont val="Noto Sans CJK SC"/>
        <family val="2"/>
      </rPr>
      <t xml:space="preserve">刨除料</t>
    </r>
  </si>
  <si>
    <t xml:space="preserve">廢輪胎</t>
  </si>
  <si>
    <t xml:space="preserve">工程會透過專案檢討會議發現流標皆有其個案因素，下列何者為非？</t>
  </si>
  <si>
    <t xml:space="preserve">物價上漲</t>
  </si>
  <si>
    <t xml:space="preserve">預算不符實際</t>
  </si>
  <si>
    <t xml:space="preserve">工期不符實際</t>
  </si>
  <si>
    <t xml:space="preserve">設計書圖合約不合理</t>
  </si>
  <si>
    <t xml:space="preserve">單元一</t>
  </si>
  <si>
    <t xml:space="preserve">第一章 公共工程施工品質管理制度理念與導入</t>
  </si>
  <si>
    <t xml:space="preserve">單元一：第一章 公共工程施工品質管理制度理念與導入</t>
  </si>
  <si>
    <t xml:space="preserve">下列何者非監造單位及其派駐現場人員工作重點？</t>
  </si>
  <si>
    <t xml:space="preserve">對各施工作業應依工程契約及監造計畫實施抽查，並填具施工品質抽查紀錄表</t>
  </si>
  <si>
    <t xml:space="preserve">依規定填報監工日報表</t>
  </si>
  <si>
    <t xml:space="preserve">發現缺失時，應即通知廠商限期改善並採取矯正措施</t>
  </si>
  <si>
    <t xml:space="preserve">每日赴現場會同品管人員辦理自主檢查</t>
  </si>
  <si>
    <t xml:space="preserve">品管制度、監造</t>
  </si>
  <si>
    <t xml:space="preserve">下列哪一項非機關或監造單位建立品質查證系統之內容？</t>
  </si>
  <si>
    <t xml:space="preserve">成立監造組織</t>
  </si>
  <si>
    <t xml:space="preserve">訂定監造計畫</t>
  </si>
  <si>
    <t xml:space="preserve">撰寫施工計畫</t>
  </si>
  <si>
    <t xml:space="preserve">辦理施工及材料設備之抽(查)驗作業</t>
  </si>
  <si>
    <t xml:space="preserve">品質管理的運作主要是利用下列哪些項目循環模式的管理加以落實？</t>
  </si>
  <si>
    <t xml:space="preserve">計劃、實施、查核及改善</t>
  </si>
  <si>
    <t xml:space="preserve">規劃、改善、結案及建檔</t>
  </si>
  <si>
    <t xml:space="preserve">需求、查核、執行及計畫</t>
  </si>
  <si>
    <t xml:space="preserve">稽核、變更、實施及確認</t>
  </si>
  <si>
    <t xml:space="preserve">品管制度</t>
  </si>
  <si>
    <t xml:space="preserve">品管大師戴明博士(Dr.Deming)指出：「品質的問題的產生有百分之八十導因於</t>
  </si>
  <si>
    <t xml:space="preserve">管理不善</t>
  </si>
  <si>
    <t xml:space="preserve">設計不良</t>
  </si>
  <si>
    <t xml:space="preserve">業主需求不明</t>
  </si>
  <si>
    <t xml:space="preserve">無證照制度」</t>
  </si>
  <si>
    <t xml:space="preserve">機關辦理公告金額以上工程，應辦理下列何者事項？</t>
  </si>
  <si>
    <t xml:space="preserve">委託監造招標文件內應訂明監造單位提報監造計畫</t>
  </si>
  <si>
    <t xml:space="preserve">工程招標文件內應訂明廠商提報品質計畫</t>
  </si>
  <si>
    <t xml:space="preserve">工程及委託監造招標文件內應訂明鋼筋、混凝土、瀝青混凝土及其他適當檢驗或抽驗項目，由符合CNS 17025規定之實驗室辦理，並出具報告</t>
  </si>
  <si>
    <t xml:space="preserve">查核金額以上工程，廠商應於何時將品管人員資料提報監造單位審查？</t>
  </si>
  <si>
    <t xml:space="preserve">竣工前</t>
  </si>
  <si>
    <t xml:space="preserve">竣工後</t>
  </si>
  <si>
    <t xml:space="preserve">開工前</t>
  </si>
  <si>
    <t xml:space="preserve">開工後</t>
  </si>
  <si>
    <t xml:space="preserve">易</t>
  </si>
  <si>
    <t xml:space="preserve">品管制度、監造、工程查核</t>
  </si>
  <si>
    <t xml:space="preserve">監造單位及其派駐現場人員工作重點，不包括下列何者？</t>
  </si>
  <si>
    <t xml:space="preserve">工地之人員、機具及材料等管理</t>
  </si>
  <si>
    <t xml:space="preserve">審查廠商所提施工計畫及品質計畫</t>
  </si>
  <si>
    <t xml:space="preserve">抽驗比對廠商所提之材料設備之出廠證明、檢驗文件、試驗報告等之內容、規格及有效日期</t>
  </si>
  <si>
    <t xml:space="preserve">對各施工作業實施抽查</t>
  </si>
  <si>
    <t xml:space="preserve">廠商專任工程人員工作重點，不包括下列何者？</t>
  </si>
  <si>
    <t xml:space="preserve">督察品管人員及現場施工人員，落實品質計畫</t>
  </si>
  <si>
    <t xml:space="preserve">品質文件、紀錄之管理</t>
  </si>
  <si>
    <t xml:space="preserve">督導按圖施工、解決施工技術問題</t>
  </si>
  <si>
    <t xml:space="preserve">查核(驗)工程時到場說明</t>
  </si>
  <si>
    <t xml:space="preserve">廠商品管人員工作重點，不包括下列何者？</t>
  </si>
  <si>
    <t xml:space="preserve">訂定品質計畫</t>
  </si>
  <si>
    <t xml:space="preserve">執行內部品質稽核</t>
  </si>
  <si>
    <t xml:space="preserve">矯正預防措施之提出及追蹤改善</t>
  </si>
  <si>
    <t xml:space="preserve">填報施工日誌</t>
  </si>
  <si>
    <t xml:space="preserve">以下何者正確？</t>
  </si>
  <si>
    <t xml:space="preserve">好的工程品質查證，主要係依賴查核達成</t>
  </si>
  <si>
    <t xml:space="preserve">品管表報文件是配合查核所自然產生的副產品，而不是另花時間刻意去編造</t>
  </si>
  <si>
    <t xml:space="preserve">承攬之工程獲得公共工程金質獎，施工廠商得免負品質無瑕疵的完全責任</t>
  </si>
  <si>
    <t xml:space="preserve">以上皆非</t>
  </si>
  <si>
    <t xml:space="preserve">依｢工程施工查核小組組織準則｣規定，若某縣鄉公所辦理由某部會經費補助之工程，請問下列何機關之工程施工查核小組可以辦理該工程之查核？(1.行政院公共工程委員會2.補助之部會3.上級主管機關縣政府4.該鄉公所5.審計部)</t>
  </si>
  <si>
    <t xml:space="preserve">1,2</t>
  </si>
  <si>
    <t xml:space="preserve">1,2,3</t>
  </si>
  <si>
    <t xml:space="preserve">2,3,4</t>
  </si>
  <si>
    <t xml:space="preserve">1,2,3,5</t>
  </si>
  <si>
    <t xml:space="preserve">品管制度、工程查核</t>
  </si>
  <si>
    <t xml:space="preserve">依「公共工程施工品質管理作業要點」規定，若某公共工程之招標採購預算為2億5千萬元，決標金額為1億5千萬元，其施工廠商應設置至少幾位品管人員？</t>
  </si>
  <si>
    <r>
      <rPr>
        <sz val="10"/>
        <rFont val="Arial"/>
        <family val="0"/>
        <charset val="1"/>
      </rPr>
      <t xml:space="preserve">1</t>
    </r>
    <r>
      <rPr>
        <sz val="10"/>
        <rFont val="Noto Sans CJK SC"/>
        <family val="2"/>
      </rPr>
      <t xml:space="preserve">人</t>
    </r>
  </si>
  <si>
    <r>
      <rPr>
        <sz val="10"/>
        <rFont val="Arial"/>
        <family val="0"/>
        <charset val="1"/>
      </rPr>
      <t xml:space="preserve">2</t>
    </r>
    <r>
      <rPr>
        <sz val="10"/>
        <rFont val="Noto Sans CJK SC"/>
        <family val="2"/>
      </rPr>
      <t xml:space="preserve">人</t>
    </r>
  </si>
  <si>
    <r>
      <rPr>
        <sz val="10"/>
        <rFont val="Arial"/>
        <family val="0"/>
        <charset val="1"/>
      </rPr>
      <t xml:space="preserve">3</t>
    </r>
    <r>
      <rPr>
        <sz val="10"/>
        <rFont val="Noto Sans CJK SC"/>
        <family val="2"/>
      </rPr>
      <t xml:space="preserve">人</t>
    </r>
  </si>
  <si>
    <t xml:space="preserve">不需設置</t>
  </si>
  <si>
    <t xml:space="preserve">品管制度、政府採購</t>
  </si>
  <si>
    <t xml:space="preserve">品管人員有下列何項情事之一者，由機關通知廠商限期更換並調離工地，並由機關填報於工程會資訊網路系統備查:1.未能確實執行內部品質稽核，如查核自主檢查表之檢查項目、檢查結果是否詳實記錄等2.未能確實依據營造業法第三十五條規定，辦理相關工作，如督察按圖施工、解決施工技術問題3.工程查核列為丙等，僅可歸責於監造單位人員者4.工程查核缺失未於期限內改善完成且未經查核小組同意展延期限者，可歸責於該品管人員者</t>
  </si>
  <si>
    <t xml:space="preserve">4</t>
  </si>
  <si>
    <t xml:space="preserve">1.2</t>
  </si>
  <si>
    <t xml:space="preserve">1.4</t>
  </si>
  <si>
    <t xml:space="preserve">1.2.3.4</t>
  </si>
  <si>
    <t xml:space="preserve">全面品質管理主要是利用下列何項步驟1.計劃2.實施3.查核4.改善的管理環循模式加以落實？</t>
  </si>
  <si>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t>
    </r>
    <r>
      <rPr>
        <sz val="10"/>
        <rFont val="Arial"/>
        <family val="0"/>
        <charset val="1"/>
      </rPr>
      <t xml:space="preserve">4</t>
    </r>
  </si>
  <si>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t>
    </r>
    <r>
      <rPr>
        <sz val="10"/>
        <rFont val="Arial"/>
        <family val="0"/>
        <charset val="1"/>
      </rPr>
      <t xml:space="preserve">3</t>
    </r>
  </si>
  <si>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4</t>
    </r>
  </si>
  <si>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4</t>
    </r>
  </si>
  <si>
    <t xml:space="preserve">查核小組查核時，下列何者須配合到場說明(不預先通知除外)1.建築師2.技師3.專任工程人員4.工地主任。</t>
  </si>
  <si>
    <r>
      <rPr>
        <sz val="10"/>
        <rFont val="Arial"/>
        <family val="0"/>
        <charset val="1"/>
      </rPr>
      <t xml:space="preserve">1</t>
    </r>
    <r>
      <rPr>
        <sz val="10"/>
        <rFont val="Noto Sans CJK SC"/>
        <family val="2"/>
      </rPr>
      <t xml:space="preserve">、</t>
    </r>
    <r>
      <rPr>
        <sz val="10"/>
        <rFont val="Arial"/>
        <family val="0"/>
        <charset val="1"/>
      </rPr>
      <t xml:space="preserve">2</t>
    </r>
  </si>
  <si>
    <t xml:space="preserve">工程品質成效，係指工程本體達到下列何者之1.契約2.設計圖說3.施工規範目標品質。</t>
  </si>
  <si>
    <t xml:space="preserve">1</t>
  </si>
  <si>
    <r>
      <rPr>
        <sz val="10"/>
        <rFont val="Arial"/>
        <family val="0"/>
        <charset val="1"/>
      </rPr>
      <t xml:space="preserve">2</t>
    </r>
    <r>
      <rPr>
        <sz val="10"/>
        <rFont val="Noto Sans CJK SC"/>
        <family val="2"/>
      </rPr>
      <t xml:space="preserve">、</t>
    </r>
    <r>
      <rPr>
        <sz val="10"/>
        <rFont val="Arial"/>
        <family val="0"/>
        <charset val="1"/>
      </rPr>
      <t xml:space="preserve">3</t>
    </r>
  </si>
  <si>
    <r>
      <rPr>
        <sz val="10"/>
        <rFont val="Arial"/>
        <family val="0"/>
        <charset val="1"/>
      </rPr>
      <t xml:space="preserve">1</t>
    </r>
    <r>
      <rPr>
        <sz val="10"/>
        <rFont val="Noto Sans CJK SC"/>
        <family val="2"/>
      </rPr>
      <t xml:space="preserve">、</t>
    </r>
    <r>
      <rPr>
        <sz val="10"/>
        <rFont val="Arial"/>
        <family val="0"/>
        <charset val="1"/>
      </rPr>
      <t xml:space="preserve">3</t>
    </r>
  </si>
  <si>
    <t xml:space="preserve">品管制度、契約管理</t>
  </si>
  <si>
    <t xml:space="preserve">工程品管紀錄文件的產生，是</t>
  </si>
  <si>
    <t xml:space="preserve">品質管控過程中自然產生的副產品</t>
  </si>
  <si>
    <t xml:space="preserve">配合工程施工查核小組特別製作</t>
  </si>
  <si>
    <t xml:space="preserve">配合主辦機關督導特別製作</t>
  </si>
  <si>
    <t xml:space="preserve">花時間刻意編造的</t>
  </si>
  <si>
    <t xml:space="preserve">建立三級品管制度，對工程品質有下列何者幫助？(1.提昇公共工程品質2.建立有效的品質系統3.藉以督促、矯正、預防廠商品質管理的缺失4.確保品質管理機制的運作)</t>
  </si>
  <si>
    <r>
      <rPr>
        <sz val="10"/>
        <rFont val="Arial"/>
        <family val="0"/>
        <charset val="1"/>
      </rPr>
      <t xml:space="preserve">1</t>
    </r>
    <r>
      <rPr>
        <sz val="10"/>
        <rFont val="Noto Sans CJK SC"/>
        <family val="2"/>
      </rPr>
      <t xml:space="preserve">、</t>
    </r>
    <r>
      <rPr>
        <sz val="10"/>
        <rFont val="Arial"/>
        <family val="0"/>
        <charset val="1"/>
      </rPr>
      <t xml:space="preserve">4</t>
    </r>
  </si>
  <si>
    <t xml:space="preserve">品質缺失須做到下列何項，方能避免重複發生，徹底做到矯正與預防？</t>
  </si>
  <si>
    <t xml:space="preserve">更換瑕疵品</t>
  </si>
  <si>
    <t xml:space="preserve">打除重做</t>
  </si>
  <si>
    <t xml:space="preserve">修補</t>
  </si>
  <si>
    <t xml:space="preserve">根本改變品控的機制及落實做到探討缺失發生的原因</t>
  </si>
  <si>
    <t xml:space="preserve">如何做到好的工程品質，主要須靠下列何者才能達成？</t>
  </si>
  <si>
    <t xml:space="preserve">主管機關加強查核</t>
  </si>
  <si>
    <t xml:space="preserve">現場工作人員自始至終一貫的努力與堅持優良的品質信念</t>
  </si>
  <si>
    <t xml:space="preserve">主辦機關加強督導</t>
  </si>
  <si>
    <t xml:space="preserve">品管部門密集稽核</t>
  </si>
  <si>
    <t xml:space="preserve">為監督及確保工程的施工成果符合設計及規範，主辦機關應辦理下列何項計畫，並落實執行以確保工程可如期如質達成？</t>
  </si>
  <si>
    <t xml:space="preserve">設置專任品管人員</t>
  </si>
  <si>
    <t xml:space="preserve">設立監造組織訂定監造計畫</t>
  </si>
  <si>
    <t xml:space="preserve">成立工程施工查核小組</t>
  </si>
  <si>
    <t xml:space="preserve">擬定施工計畫</t>
  </si>
  <si>
    <t xml:space="preserve">檔案文件管理為了下列何者品質管理目的？</t>
  </si>
  <si>
    <t xml:space="preserve">為了工程施工查核需要而建置</t>
  </si>
  <si>
    <t xml:space="preserve">將龐雜無章的文件作有系統的整理分類以便於查閱</t>
  </si>
  <si>
    <t xml:space="preserve">屬於專案管理廠商及主辦機關之工作</t>
  </si>
  <si>
    <t xml:space="preserve">為了改正缺失而製作</t>
  </si>
  <si>
    <t xml:space="preserve">下列何者不得因機關辦理查驗、測試或檢驗，而免除其依契約所應履行或承擔之責任？</t>
  </si>
  <si>
    <t xml:space="preserve">主辦機關</t>
  </si>
  <si>
    <t xml:space="preserve">設計單位</t>
  </si>
  <si>
    <t xml:space="preserve">監造單位</t>
  </si>
  <si>
    <t xml:space="preserve">承攬廠商</t>
  </si>
  <si>
    <t xml:space="preserve">公共工程的施工品質下列何者應負品質無瑕疵的完全責任？</t>
  </si>
  <si>
    <t xml:space="preserve">專任工程人員</t>
  </si>
  <si>
    <t xml:space="preserve">下列何者不是施工查核缺失改正的目的？</t>
  </si>
  <si>
    <t xml:space="preserve">瑕疵品的更換、重做</t>
  </si>
  <si>
    <t xml:space="preserve">改變品質管控的機制</t>
  </si>
  <si>
    <t xml:space="preserve">撤換品管人員</t>
  </si>
  <si>
    <t xml:space="preserve">探討缺失原因，落實矯正與預防</t>
  </si>
  <si>
    <t xml:space="preserve">下列何者敘述有誤？</t>
  </si>
  <si>
    <t xml:space="preserve">品管紀錄的產生應為執行品質管理所自然產生的副產品，而不是刻意去編造</t>
  </si>
  <si>
    <t xml:space="preserve">機關辦理查驗、測試或檢驗後，廠商可免除契約應履行或承擔之責任</t>
  </si>
  <si>
    <t xml:space="preserve">廠商應落實探討查核缺失原因，並進行矯正與預防</t>
  </si>
  <si>
    <t xml:space="preserve">文件保存的功能在於真實記錄施工的實際過程</t>
  </si>
  <si>
    <t xml:space="preserve">下列何者不是監造單位派駐現場人員的工作重點？</t>
  </si>
  <si>
    <t xml:space="preserve">審查施工計畫及品質計畫</t>
  </si>
  <si>
    <t xml:space="preserve">對施工作業實施抽查</t>
  </si>
  <si>
    <t xml:space="preserve">於檢驗停留點(限止點)時就適當檢驗項目會同廠商取樣送驗</t>
  </si>
  <si>
    <t xml:space="preserve">依工程施工查核小組作業辦法，下列何者敘述有誤？</t>
  </si>
  <si>
    <t xml:space="preserve">查核缺失情節重大影響安全者，查核結果應列為丙等</t>
  </si>
  <si>
    <t xml:space="preserve">查核小組查核紀錄應於十個工作天內送工程主辦機關</t>
  </si>
  <si>
    <t xml:space="preserve">查核缺失情節重大者及未於期限改善，經檢討屬廠商權責者，應通知廠商撤換工地負責人及品管人員或勞工安衛管理人員</t>
  </si>
  <si>
    <t xml:space="preserve">查核缺失未能於期限內改善完成，應報請查核小組同意展延期</t>
  </si>
  <si>
    <t xml:space="preserve">第二章 公共工程管理相關法規概要</t>
  </si>
  <si>
    <t xml:space="preserve">單元一：第二章 公共工程管理相關法規概要</t>
  </si>
  <si>
    <t xml:space="preserve">有關候選綠建築證書及候選智慧建築證書規定，下列何者正確？</t>
  </si>
  <si>
    <t xml:space="preserve">公有新建建築物建造經費達新臺幣5,000萬元以上者，申報開工時，應同時檢附合格級以上候選綠建築證書</t>
  </si>
  <si>
    <t xml:space="preserve">公有新建建築物建造經費達新臺幣5,000萬元以上者，申報一樓樓版勘驗時，應同時檢附合格級以上候選綠建築證書</t>
  </si>
  <si>
    <t xml:space="preserve">新建建築物不論規模，工程驗收合格並取得合格級以上綠建築標章後，始得發給結算驗收證明書</t>
  </si>
  <si>
    <t xml:space="preserve">公有新建建築物建造經費達新臺幣1億元以上者，申報一樓樓版勘驗時，應同時檢附合格級以上候選智慧建築證書</t>
  </si>
  <si>
    <t xml:space="preserve">工程法規、綠建築</t>
  </si>
  <si>
    <t xml:space="preserve">有關建築法規定，下列何者為非？</t>
  </si>
  <si>
    <t xml:space="preserve">經參加國家考試領有建築師證書者可擔任建築物之設計人與監造人，</t>
  </si>
  <si>
    <t xml:space="preserve">建築物為定著於土地上或地面下具有頂蓋，樑柱或牆壁之構造物，</t>
  </si>
  <si>
    <t xml:space="preserve">建築物非經領得使用執照，不准接水、接電、或申請營業登記及使用，</t>
  </si>
  <si>
    <t xml:space="preserve">領有使用執照之建築物拆除時須申請拆除執照</t>
  </si>
  <si>
    <t xml:space="preserve">工程法規</t>
  </si>
  <si>
    <t xml:space="preserve">有關採購法規定，下列何者為非？</t>
  </si>
  <si>
    <t xml:space="preserve">採最有利標決標者，應先報上級機關核准</t>
  </si>
  <si>
    <t xml:space="preserve">採購契約應訂明一方執行錯誤、不實或管理不善，致他方遭受損害之責任</t>
  </si>
  <si>
    <t xml:space="preserve">機關若有先行使用之必要者，得辦理部分驗收並支付部分價金</t>
  </si>
  <si>
    <t xml:space="preserve">工程採購必須先經初驗合格後，始得辦理驗收</t>
  </si>
  <si>
    <t xml:space="preserve">工程法規、政府採購</t>
  </si>
  <si>
    <t xml:space="preserve">有關採購金額規定，下列何者正確？</t>
  </si>
  <si>
    <t xml:space="preserve">小額採購為新臺幣10萬元(不含)以下之採購，</t>
  </si>
  <si>
    <t xml:space="preserve">工程採購查核金額為新臺幣5000萬元，</t>
  </si>
  <si>
    <t xml:space="preserve">工程採購查核金額為新臺幣1億元，</t>
  </si>
  <si>
    <t xml:space="preserve">巨額工程採購金額為新臺幣1億元</t>
  </si>
  <si>
    <t xml:space="preserve">公告金額以上之採購，應有內部監辦程序，</t>
  </si>
  <si>
    <t xml:space="preserve">查核金額以上之採購，除內部監辦外應另有上級機關監辦程序，</t>
  </si>
  <si>
    <t xml:space="preserve">監辦人員對規格及底價訂定亦可提供建議，</t>
  </si>
  <si>
    <t xml:space="preserve">監辦指監辦人員實地監視或書面審核機關辦理開標、比價、議價、決標及驗收是否符合規定之程序</t>
  </si>
  <si>
    <t xml:space="preserve">申請許可開發行為時，誰應檢具環境影響說明書，向目的事業主管機關提出，並由目的事業主管機關轉送主管機關審查：</t>
  </si>
  <si>
    <t xml:space="preserve">土地所有者；</t>
  </si>
  <si>
    <t xml:space="preserve">營造商；</t>
  </si>
  <si>
    <t xml:space="preserve">建築師;</t>
  </si>
  <si>
    <t xml:space="preserve">開發單位</t>
  </si>
  <si>
    <t xml:space="preserve">開發行為進行中及完成後使用時，應由誰辦理追蹤：</t>
  </si>
  <si>
    <t xml:space="preserve">開發者</t>
  </si>
  <si>
    <t xml:space="preserve">營造商</t>
  </si>
  <si>
    <t xml:space="preserve">目的事業主管機關</t>
  </si>
  <si>
    <t xml:space="preserve">使用者</t>
  </si>
  <si>
    <t xml:space="preserve">下列何者開發行為對環境有不良影響之虞者，應實施環境影響評估？</t>
  </si>
  <si>
    <t xml:space="preserve">工廠之設立及工業區之開發</t>
  </si>
  <si>
    <t xml:space="preserve">蓄水、供水、防洪排水工程之開發</t>
  </si>
  <si>
    <t xml:space="preserve">新市區建設及高樓建築或舊市區更新</t>
  </si>
  <si>
    <t xml:space="preserve">下列何者正確？</t>
  </si>
  <si>
    <t xml:space="preserve">營建工程剩餘土石方之種類，包括建築工程、公共工程及其他民間工程所產生之剩餘泥、土、砂、石、磚、瓦、混凝土塊等;</t>
  </si>
  <si>
    <t xml:space="preserve">所指收容處理場所，包括土石方資源堆置處理場、目的事業處理場所及其他經政府機關依法核准之場所等；</t>
  </si>
  <si>
    <t xml:space="preserve">違規棄置建築工程及建築物拆除工程剩餘土石方者，應由地方政府勒令承造人按規定限期清除違規現場回復原土地使用目的與功能，逾期未清除回復原使用目的與功能者，得依建築法第58條規定勒令停工;</t>
  </si>
  <si>
    <t xml:space="preserve">營造法第32條規定營造業之工地主任應負責辦理工作不包括</t>
  </si>
  <si>
    <t xml:space="preserve">依施工計畫書執行按圖施工;</t>
  </si>
  <si>
    <t xml:space="preserve">日填報施工日誌；</t>
  </si>
  <si>
    <t xml:space="preserve">工地遇緊急異常狀況之通報;</t>
  </si>
  <si>
    <t xml:space="preserve">辦理內部品質稽核</t>
  </si>
  <si>
    <t xml:space="preserve">下列何者不屬於工程技術顧問公司營業範圍？</t>
  </si>
  <si>
    <t xml:space="preserve">土木工程</t>
  </si>
  <si>
    <t xml:space="preserve">建築工程</t>
  </si>
  <si>
    <t xml:space="preserve">大地工程</t>
  </si>
  <si>
    <t xml:space="preserve">環境工程等從事在地面上下新建、增建、改建、修建、拆除構造物與其所屬設備、改變自然環境之行為及其他經主管機關認定工程之技術服務事項，包括規劃與可行性研究、基本設計、細部設計、協辦招標與決標、施工監造、專案管理及其相關技術性服務之公司</t>
  </si>
  <si>
    <t xml:space="preserve">技師之主管機關在中央為行政院公共工程委員會；在直轄市為直轄市政府；在縣(市)為縣(市)政府;</t>
  </si>
  <si>
    <t xml:space="preserve">技師執行業務所製作之圖樣及書表，應由技師本人簽署，並加蓋技師執業圖記。涉及不同科別技師執業範圍者，應由不同科別技師為之，並分別註明負責之範圍。技師僅得就其本人或在本人監督下完成之工作為簽證；</t>
  </si>
  <si>
    <t xml:space="preserve">涉及現場作業者，技師應親自赴現場實地查核。技師執行簽證，應提出簽證報告，並將簽證經過確實作成紀錄，連同所有相關資料、文據彙訂為工作底稿;</t>
  </si>
  <si>
    <t xml:space="preserve">下列何者不正確？</t>
  </si>
  <si>
    <t xml:space="preserve">公路法公路主管機關：在中央為交通部；在直轄市為直轄市政府；在縣(市)為縣(市)政府;</t>
  </si>
  <si>
    <t xml:space="preserve">使用公路用地設置管線或其他公共設施時，使用人應填具申請書，並檢附工程計畫書，向公路主管機關申請許可後，始得設置；</t>
  </si>
  <si>
    <t xml:space="preserve">擅自使用、破壞公路用地或損壞公路設施者，處新臺幣5萬元以上15萬元以下罰鍰；</t>
  </si>
  <si>
    <t xml:space="preserve">公路工程之設計及監造，在中央公路主管機關指定工程規模以上者，應由依法登記執業之相關專業技師簽證。但公路主管機關自行辦理者，得由機關內依法取得相關專業技師證書者辦理</t>
  </si>
  <si>
    <t xml:space="preserve">政府採購法規定擇定適當之決標原則不包含下列何者方式</t>
  </si>
  <si>
    <t xml:space="preserve">採最低標</t>
  </si>
  <si>
    <t xml:space="preserve">採最有利標</t>
  </si>
  <si>
    <t xml:space="preserve">採評分及格最低標</t>
  </si>
  <si>
    <t xml:space="preserve">以上均可</t>
  </si>
  <si>
    <t xml:space="preserve">共同管道法規定，所列共同管道包含下列那些設施？</t>
  </si>
  <si>
    <t xml:space="preserve">幹管</t>
  </si>
  <si>
    <t xml:space="preserve">支管</t>
  </si>
  <si>
    <t xml:space="preserve">電纜溝</t>
  </si>
  <si>
    <t xml:space="preserve">市區道路條例主管機關，在中央為內政部，直轄市為何</t>
  </si>
  <si>
    <t xml:space="preserve">工務局</t>
  </si>
  <si>
    <t xml:space="preserve">養護工程處</t>
  </si>
  <si>
    <t xml:space="preserve">直轄市政府</t>
  </si>
  <si>
    <t xml:space="preserve">區公所</t>
  </si>
  <si>
    <t xml:space="preserve">水土保持之處理與維護之調查、規劃、設計、監造，如涉及農藝或植生方法、措施之工程金額達總計畫之多少比例以上者，主管機關應要求承辦技師交由具有該特殊專業技術之水土保持技師負責簽證。</t>
  </si>
  <si>
    <t xml:space="preserve">10%</t>
  </si>
  <si>
    <t xml:space="preserve">20%</t>
  </si>
  <si>
    <t xml:space="preserve">30%</t>
  </si>
  <si>
    <t xml:space="preserve">40%</t>
  </si>
  <si>
    <t xml:space="preserve">工程法規、監造</t>
  </si>
  <si>
    <t xml:space="preserve">水土保持法施行細則第4條規定，下列哪類專業技師依規定可以辦理規劃、設計及監造工作。</t>
  </si>
  <si>
    <t xml:space="preserve">水土保持技師</t>
  </si>
  <si>
    <t xml:space="preserve">土木技師</t>
  </si>
  <si>
    <t xml:space="preserve">水利技師</t>
  </si>
  <si>
    <t xml:space="preserve">以上皆可</t>
  </si>
  <si>
    <t xml:space="preserve">環境影響評估法係屬程序法，通過環評是指完成下列何者之程序的許可？</t>
  </si>
  <si>
    <t xml:space="preserve">開發</t>
  </si>
  <si>
    <t xml:space="preserve">考核</t>
  </si>
  <si>
    <t xml:space="preserve">請領建造執照</t>
  </si>
  <si>
    <t xml:space="preserve">環境影響評估法有關環境影響評估工作包括第一階段、第二階段，係指完成下列那些程序作業</t>
  </si>
  <si>
    <t xml:space="preserve">評估</t>
  </si>
  <si>
    <t xml:space="preserve">審查</t>
  </si>
  <si>
    <t xml:space="preserve">追蹤考核</t>
  </si>
  <si>
    <t xml:space="preserve">技師法之主管機關，在中央為何？</t>
  </si>
  <si>
    <t xml:space="preserve">交通部</t>
  </si>
  <si>
    <t xml:space="preserve">內政部</t>
  </si>
  <si>
    <t xml:space="preserve">公共工程委員會</t>
  </si>
  <si>
    <t xml:space="preserve">經濟部</t>
  </si>
  <si>
    <t xml:space="preserve">土石採取法之主管機關，在中央為何？</t>
  </si>
  <si>
    <t xml:space="preserve">依河川管理辦法(民國102年12月27日修正)第18條規定：防汛期間係指每年哪個期間)</t>
  </si>
  <si>
    <r>
      <rPr>
        <sz val="10"/>
        <rFont val="Arial"/>
        <family val="0"/>
        <charset val="1"/>
      </rPr>
      <t xml:space="preserve">5</t>
    </r>
    <r>
      <rPr>
        <sz val="10"/>
        <rFont val="Noto Sans CJK SC"/>
        <family val="2"/>
      </rPr>
      <t xml:space="preserve">月</t>
    </r>
    <r>
      <rPr>
        <sz val="10"/>
        <rFont val="Arial"/>
        <family val="0"/>
        <charset val="1"/>
      </rPr>
      <t xml:space="preserve">1</t>
    </r>
    <r>
      <rPr>
        <sz val="10"/>
        <rFont val="Noto Sans CJK SC"/>
        <family val="2"/>
      </rPr>
      <t xml:space="preserve">日至</t>
    </r>
    <r>
      <rPr>
        <sz val="10"/>
        <rFont val="Arial"/>
        <family val="0"/>
        <charset val="1"/>
      </rPr>
      <t xml:space="preserve">11</t>
    </r>
    <r>
      <rPr>
        <sz val="10"/>
        <rFont val="Noto Sans CJK SC"/>
        <family val="2"/>
      </rPr>
      <t xml:space="preserve">月</t>
    </r>
    <r>
      <rPr>
        <sz val="10"/>
        <rFont val="Arial"/>
        <family val="0"/>
        <charset val="1"/>
      </rPr>
      <t xml:space="preserve">30</t>
    </r>
    <r>
      <rPr>
        <sz val="10"/>
        <rFont val="Noto Sans CJK SC"/>
        <family val="2"/>
      </rPr>
      <t xml:space="preserve">日</t>
    </r>
  </si>
  <si>
    <r>
      <rPr>
        <sz val="10"/>
        <rFont val="Arial"/>
        <family val="0"/>
        <charset val="1"/>
      </rPr>
      <t xml:space="preserve">4</t>
    </r>
    <r>
      <rPr>
        <sz val="10"/>
        <rFont val="Noto Sans CJK SC"/>
        <family val="2"/>
      </rPr>
      <t xml:space="preserve">月</t>
    </r>
    <r>
      <rPr>
        <sz val="10"/>
        <rFont val="Arial"/>
        <family val="0"/>
        <charset val="1"/>
      </rPr>
      <t xml:space="preserve">1</t>
    </r>
    <r>
      <rPr>
        <sz val="10"/>
        <rFont val="Noto Sans CJK SC"/>
        <family val="2"/>
      </rPr>
      <t xml:space="preserve">日至</t>
    </r>
    <r>
      <rPr>
        <sz val="10"/>
        <rFont val="Arial"/>
        <family val="0"/>
        <charset val="1"/>
      </rPr>
      <t xml:space="preserve">10</t>
    </r>
    <r>
      <rPr>
        <sz val="10"/>
        <rFont val="Noto Sans CJK SC"/>
        <family val="2"/>
      </rPr>
      <t xml:space="preserve">月</t>
    </r>
    <r>
      <rPr>
        <sz val="10"/>
        <rFont val="Arial"/>
        <family val="0"/>
        <charset val="1"/>
      </rPr>
      <t xml:space="preserve">31</t>
    </r>
    <r>
      <rPr>
        <sz val="10"/>
        <rFont val="Noto Sans CJK SC"/>
        <family val="2"/>
      </rPr>
      <t xml:space="preserve">日</t>
    </r>
  </si>
  <si>
    <r>
      <rPr>
        <sz val="10"/>
        <rFont val="Arial"/>
        <family val="0"/>
        <charset val="1"/>
      </rPr>
      <t xml:space="preserve">3</t>
    </r>
    <r>
      <rPr>
        <sz val="10"/>
        <rFont val="Noto Sans CJK SC"/>
        <family val="2"/>
      </rPr>
      <t xml:space="preserve">月</t>
    </r>
    <r>
      <rPr>
        <sz val="10"/>
        <rFont val="Arial"/>
        <family val="0"/>
        <charset val="1"/>
      </rPr>
      <t xml:space="preserve">1</t>
    </r>
    <r>
      <rPr>
        <sz val="10"/>
        <rFont val="Noto Sans CJK SC"/>
        <family val="2"/>
      </rPr>
      <t xml:space="preserve">日至</t>
    </r>
    <r>
      <rPr>
        <sz val="10"/>
        <rFont val="Arial"/>
        <family val="0"/>
        <charset val="1"/>
      </rPr>
      <t xml:space="preserve">10</t>
    </r>
    <r>
      <rPr>
        <sz val="10"/>
        <rFont val="Noto Sans CJK SC"/>
        <family val="2"/>
      </rPr>
      <t xml:space="preserve">月</t>
    </r>
    <r>
      <rPr>
        <sz val="10"/>
        <rFont val="Arial"/>
        <family val="0"/>
        <charset val="1"/>
      </rPr>
      <t xml:space="preserve">31</t>
    </r>
    <r>
      <rPr>
        <sz val="10"/>
        <rFont val="Noto Sans CJK SC"/>
        <family val="2"/>
      </rPr>
      <t xml:space="preserve">日</t>
    </r>
  </si>
  <si>
    <r>
      <rPr>
        <sz val="10"/>
        <rFont val="Arial"/>
        <family val="0"/>
        <charset val="1"/>
      </rPr>
      <t xml:space="preserve">6</t>
    </r>
    <r>
      <rPr>
        <sz val="10"/>
        <rFont val="Noto Sans CJK SC"/>
        <family val="2"/>
      </rPr>
      <t xml:space="preserve">月</t>
    </r>
    <r>
      <rPr>
        <sz val="10"/>
        <rFont val="Arial"/>
        <family val="0"/>
        <charset val="1"/>
      </rPr>
      <t xml:space="preserve">1</t>
    </r>
    <r>
      <rPr>
        <sz val="10"/>
        <rFont val="Noto Sans CJK SC"/>
        <family val="2"/>
      </rPr>
      <t xml:space="preserve">日至</t>
    </r>
    <r>
      <rPr>
        <sz val="10"/>
        <rFont val="Arial"/>
        <family val="0"/>
        <charset val="1"/>
      </rPr>
      <t xml:space="preserve">11</t>
    </r>
    <r>
      <rPr>
        <sz val="10"/>
        <rFont val="Noto Sans CJK SC"/>
        <family val="2"/>
      </rPr>
      <t xml:space="preserve">月</t>
    </r>
    <r>
      <rPr>
        <sz val="10"/>
        <rFont val="Arial"/>
        <family val="0"/>
        <charset val="1"/>
      </rPr>
      <t xml:space="preserve">30</t>
    </r>
    <r>
      <rPr>
        <sz val="10"/>
        <rFont val="Noto Sans CJK SC"/>
        <family val="2"/>
      </rPr>
      <t xml:space="preserve">日</t>
    </r>
  </si>
  <si>
    <t xml:space="preserve">市區道路條例所稱市區道路主管機關，在中央為何？</t>
  </si>
  <si>
    <t xml:space="preserve">公路法所稱公路主管機關，在中央為何？</t>
  </si>
  <si>
    <t xml:space="preserve">依建築法規定，建築物之設計、監造，必須由下列何者登記開業之專業人員為之</t>
  </si>
  <si>
    <t xml:space="preserve">建築師</t>
  </si>
  <si>
    <t xml:space="preserve">結構技師</t>
  </si>
  <si>
    <t xml:space="preserve">政府採購法針對工程類巨額採購規定，係指多少新臺幣金額以上？</t>
  </si>
  <si>
    <r>
      <rPr>
        <sz val="10"/>
        <rFont val="Arial"/>
        <family val="0"/>
        <charset val="1"/>
      </rPr>
      <t xml:space="preserve">5000</t>
    </r>
    <r>
      <rPr>
        <sz val="10"/>
        <rFont val="Noto Sans CJK SC"/>
        <family val="2"/>
      </rPr>
      <t xml:space="preserve">萬</t>
    </r>
  </si>
  <si>
    <r>
      <rPr>
        <sz val="10"/>
        <rFont val="Arial"/>
        <family val="0"/>
        <charset val="1"/>
      </rPr>
      <t xml:space="preserve">2</t>
    </r>
    <r>
      <rPr>
        <sz val="10"/>
        <rFont val="Noto Sans CJK SC"/>
        <family val="2"/>
      </rPr>
      <t xml:space="preserve">億元</t>
    </r>
  </si>
  <si>
    <t xml:space="preserve">主辦工程機關簽報核定</t>
  </si>
  <si>
    <t xml:space="preserve">公開招標、選擇性招標及限制性招標有關訂定底價，係由機關何層級人員負責核定底價？</t>
  </si>
  <si>
    <t xml:space="preserve">主辦工程機關首長或其授權人員</t>
  </si>
  <si>
    <t xml:space="preserve">主辦工程機關承辦人員</t>
  </si>
  <si>
    <t xml:space="preserve">主辦工程機關單位主管</t>
  </si>
  <si>
    <t xml:space="preserve">主辦工程機關之上級機關</t>
  </si>
  <si>
    <t xml:space="preserve">下列規定何者為非？</t>
  </si>
  <si>
    <t xml:space="preserve">國道、省道修建工程，由中央公路主管機關辦理，</t>
  </si>
  <si>
    <t xml:space="preserve">市區道路改善加舖路面時，其寬度在15公尺以內者，得分次分車道鋪設，</t>
  </si>
  <si>
    <t xml:space="preserve">水利法規定水為天然資源屬於國家所有，不因人民取得土地所有權而受影響，</t>
  </si>
  <si>
    <t xml:space="preserve">下水道機構因勘查、測量、施工或維護下水道，臨時使用公、私土地時，土地所有人、占有人或使用人不得拒絕。但提供使用之土地因而遭受損害時，應予補償</t>
  </si>
  <si>
    <t xml:space="preserve">採購法108年5月22日修正後，有關拒絕往來廠商之處理程序，下列何者為非？</t>
  </si>
  <si>
    <t xml:space="preserve">通知前，應給予廠商口頭或書面陳述意見機會，機關並應成立採購工作及審查小組認定廠商該當第101條第1項各款情形，</t>
  </si>
  <si>
    <t xml:space="preserve">機關審酌第101條第1項所定情節重大時，應考量機關所受損害之輕重、廠商可歸責之程度、廠商之實際補救或賠償措施等情形，</t>
  </si>
  <si>
    <t xml:space="preserve">通知前，不須給予廠商口頭或書面陳述意見機會，逕由機關成立之採購工作及審查小組認定廠商該當第101條第1項各款情形，</t>
  </si>
  <si>
    <t xml:space="preserve">機關發現廠商有第101條第1項各款情形之一，應將其事實、理由及依第103條第1項所定期間通知廠商，並附記如未提出異議者，將刊登政府採購公報</t>
  </si>
  <si>
    <t xml:space="preserve">有關驗收作業，下列何者為非？</t>
  </si>
  <si>
    <t xml:space="preserve">工程、財物或勞務採購之驗收，廠商未派員機關仍得為之，</t>
  </si>
  <si>
    <t xml:space="preserve">機關應於收到廠商竣工書面通知之日起七日內會同監造單位及廠商，確定是否竣工，</t>
  </si>
  <si>
    <t xml:space="preserve">有初驗程序者，機關應於收受全部資料之日起30日內辦理初驗，</t>
  </si>
  <si>
    <t xml:space="preserve">無初驗程序者，機關應於接獲廠商通知備驗或可得驗收之程序完成後30日內辦理驗收</t>
  </si>
  <si>
    <t xml:space="preserve">工程法規、驗收</t>
  </si>
  <si>
    <t xml:space="preserve">按綠建築標章申請審核認可及使用作業要點規定，下列規定何者為非？</t>
  </si>
  <si>
    <t xml:space="preserve">綠建築標章依序分合格級、銅級、銀級、黃金級、鑽石級5等級，</t>
  </si>
  <si>
    <t xml:space="preserve">綠建築評估指標系統，包括綠化、基地保水、水資源、日常節能、..等九大指標，</t>
  </si>
  <si>
    <t xml:space="preserve">申請認可之建築物應至少通過四項指標，且包括「日常節能」及「水資源」二項門檻指標在內，</t>
  </si>
  <si>
    <t xml:space="preserve">候選綠建築證書係於取得使用執照時核發</t>
  </si>
  <si>
    <t xml:space="preserve">按108年5月22日增訂之採購法第70-1條規定，安全衛生費用得以直接工程費之一定比率編列，無須量化，</t>
  </si>
  <si>
    <t xml:space="preserve">採總價結算之營繕工程，如契約內載有保險費單項金額，承包廠商依契約規定投保，其實際支付保險費用，雖低於契約所列該項目金額，機關仍應依契約所列金額支付廠商，惟機關應避免高估保險費，</t>
  </si>
  <si>
    <t xml:space="preserve">工程保險費用之報價方式，係單獨一項報價，或將工程保險費併入利潤、管理費內不單獨報價，機關得本於權責決定，</t>
  </si>
  <si>
    <t xml:space="preserve">同等品係指經機關審查認定，其功能、效益、標準或特性不低於招標文件所要求或提及者，並得予以檢驗或測試</t>
  </si>
  <si>
    <t xml:space="preserve">開發單位取得目的事業主管機關核發之開發許可後，逾5年始實施開發行為時，應提出環境現況差異分析及對策檢討報告，送主管機關審查</t>
  </si>
  <si>
    <t xml:space="preserve">水土保持之處理與維護，如涉及農藝或植生方法、措施之工程金額達總計畫之30％以上者應交由水土保持技師負責簽證</t>
  </si>
  <si>
    <t xml:space="preserve">水土保持之處理與維護應由執業之水保技師、土木技師、水利技師、大地技師等辦理規劃、設計及監造</t>
  </si>
  <si>
    <t xml:space="preserve">促進民間參與公共建設法主管機關為財政部</t>
  </si>
  <si>
    <t xml:space="preserve">下列有關工地主任規定何者為非？</t>
  </si>
  <si>
    <t xml:space="preserve">新臺幣5,000萬元以上之工程應置工地主任，</t>
  </si>
  <si>
    <t xml:space="preserve">新臺幣2,000萬元以上之工程應置工地主任，</t>
  </si>
  <si>
    <t xml:space="preserve">營造業承攬之工程，依規定免置工地主任者，其應負責辦理之工作應由專任工程人員或指定專人為之，</t>
  </si>
  <si>
    <t xml:space="preserve">建築物高度36公尺以上之工程應置工地主任</t>
  </si>
  <si>
    <t xml:space="preserve">下列規定何者正確？</t>
  </si>
  <si>
    <t xml:space="preserve">建築師開業證書及技師執業執照有效期間均為6年，</t>
  </si>
  <si>
    <t xml:space="preserve">涉及不同科別技師執業範圍者，得由類似科別技師為之，並分別註明負責之範圍，</t>
  </si>
  <si>
    <t xml:space="preserve">技師亦得擔任建築物之設計人與監造人，</t>
  </si>
  <si>
    <t xml:space="preserve">技師執行業務涉及現場作業者，技師得事後查核文件資料</t>
  </si>
  <si>
    <t xml:space="preserve">有關建築師法，下列規定何者正確？</t>
  </si>
  <si>
    <t xml:space="preserve">開業建築師可以簽證五層以下供公眾使用之建築物結構與設備等專業工程</t>
  </si>
  <si>
    <t xml:space="preserve">領有建築師證書應具有2年以上建築工程經驗者，始得申請開業證書</t>
  </si>
  <si>
    <t xml:space="preserve">領有建築師證書應具有3年以上建築工程經驗者，始得申請開業證書</t>
  </si>
  <si>
    <t xml:space="preserve">建築師開業證書有效期間為3年</t>
  </si>
  <si>
    <t xml:space="preserve">水利法主管機關在中央為內政部</t>
  </si>
  <si>
    <t xml:space="preserve">採取土石不論是河川、陸地或海域均採許可制度</t>
  </si>
  <si>
    <t xml:space="preserve">共同管道可分為幹管、支管及電纜溝</t>
  </si>
  <si>
    <t xml:space="preserve">下水道之規劃、設計及監造，得委託登記開業之有關專業技師辦理</t>
  </si>
  <si>
    <t xml:space="preserve">公路法規定公路用地，非經許可，不得使用</t>
  </si>
  <si>
    <t xml:space="preserve">防汎期間為每年7月1日至11月30日</t>
  </si>
  <si>
    <t xml:space="preserve">設置穿越水道或水利設施底部之建造物，應申請主管機關核准，並接受施工指導</t>
  </si>
  <si>
    <t xml:space="preserve">下水道法規定，下水指排水區域內之雨水、家庭污水及事業廢水</t>
  </si>
  <si>
    <t xml:space="preserve">重大公共工程應設置公共藝術，美化環境</t>
  </si>
  <si>
    <t xml:space="preserve">供公眾使用之建築物所有人、管理人或使用人，如於其建築物設置公共藝術，美化建築物及環境，且其價值高於該建築物造價百分之一者，應予獎勵</t>
  </si>
  <si>
    <t xml:space="preserve">公有建築物應設置公共藝術，美化建築物及環境，且其價值不得少於該建築物造價千分之一</t>
  </si>
  <si>
    <t xml:space="preserve">公有建築物及重大公共工程公共藝術設置之事項，依文化藝術獎助條例第9條第5項規定「公共藝術設置辦法」，由主管機關會商行政院公共工程委員會及中央主管建築機關定之</t>
  </si>
  <si>
    <t xml:space="preserve">建築法所稱建築物，為定著於土地上或地面下具有頂蓋，樑柱或牆壁，供個人或公眾使用之構造物或雜項工作物</t>
  </si>
  <si>
    <t xml:space="preserve">建築技術規則暨建築管理規則由直轄市、縣市政府依地方自治法規訂定辦理</t>
  </si>
  <si>
    <t xml:space="preserve">依建築法規定，建築物之設計、監造必須由登記開業之建築師為之；其承造人為營造業，以依法登記開業之營造廠商為限</t>
  </si>
  <si>
    <t xml:space="preserve">建築工程中必須主管建築機關勘驗部分，應由承造人按照核准圖施工，並經監造人查驗無訛後，由承造人會同監造人依規定按時向主管建築機關申報後，方得繼續施工，主管建築機關得隨時勘驗之</t>
  </si>
  <si>
    <t xml:space="preserve">政府採購法第70-1條規定機關辦理工程規劃、設計，下列何者錯誤？</t>
  </si>
  <si>
    <t xml:space="preserve">應依工程規模，編製安全衛生費用</t>
  </si>
  <si>
    <t xml:space="preserve">機關辦理工程採購，應將安全衛生圖說及規範納入招標文件，並量化編列安全衛生費用</t>
  </si>
  <si>
    <t xml:space="preserve">於招標文件規定廠商須依職業安全衛生法規，採取必要之預防設備或措施，以確保施工安全</t>
  </si>
  <si>
    <t xml:space="preserve">廠商施工場所依法令或契約應有之安全衛生設施欠缺或不良，致發生職業災害者，除應受職業安全衛生相關法令處罰外，機關應依本法及契約規定處置</t>
  </si>
  <si>
    <t xml:space="preserve">非政府機關接受政府機關補助辦理採購，下列何者敘述有誤？</t>
  </si>
  <si>
    <t xml:space="preserve">補助辦理採購金額達半數以上且補助金額達公告金額以上，適用採購法</t>
  </si>
  <si>
    <t xml:space="preserve">於接受2個以上機關補助同一採購者，以其補助總金額計算之</t>
  </si>
  <si>
    <t xml:space="preserve">有2以上機關補助同一採購者，依指定代表機關或由所占補助金額比率最高者認定之</t>
  </si>
  <si>
    <t xml:space="preserve">受補助者於辦理查核金額以上採購開標時，應受補助機關之上級機關監督</t>
  </si>
  <si>
    <t xml:space="preserve">政府採購法適用範圍包括：</t>
  </si>
  <si>
    <t xml:space="preserve">政府機關、公立學校、公營事業，</t>
  </si>
  <si>
    <t xml:space="preserve">非政府機關接受政府機關補助辦理採購，補助金額占採購金額半數以上，且補助金額在公告金額以上，</t>
  </si>
  <si>
    <t xml:space="preserve">機關委託法人或團體辦理之採購，</t>
  </si>
  <si>
    <t xml:space="preserve">以上皆屬之</t>
  </si>
  <si>
    <t xml:space="preserve">關於依物價指數調整工程費之規定，下列敘述何者有誤？</t>
  </si>
  <si>
    <t xml:space="preserve">可依營造工程物價指數之個別項目、中分類項目及總指數漲跌幅，分別調整，</t>
  </si>
  <si>
    <t xml:space="preserve">鋼筋、鋼板、型鋼屬中分類項目之調整，</t>
  </si>
  <si>
    <t xml:space="preserve">廠商於投標時提出「投標標價不適用招標文件所定物價指數調整條款聲明書」者，廠商標價不適用招標文件所定物價指數調整條款，</t>
  </si>
  <si>
    <t xml:space="preserve">管理費、利潤等項目不予調整</t>
  </si>
  <si>
    <t xml:space="preserve">工程法規、物價調整</t>
  </si>
  <si>
    <t xml:space="preserve">關於同等品之規定，下列敘述何者有誤？</t>
  </si>
  <si>
    <t xml:space="preserve">招標文件所列廠牌僅供廠商參考，不得限制廠商必須採用，</t>
  </si>
  <si>
    <t xml:space="preserve">同等品其功能、效益、標準或特性不可低於招標文件所要求或提及者，</t>
  </si>
  <si>
    <t xml:space="preserve">同等品價格如較契約所載原要求或提及者為低，依總包價法之精神，無須自契約價金中扣除，</t>
  </si>
  <si>
    <t xml:space="preserve">同等品價格如較契約所載為高，應以原契約為準，不得加價</t>
  </si>
  <si>
    <t xml:space="preserve">關於契約成立之規定，下列何者有誤？</t>
  </si>
  <si>
    <t xml:space="preserve">機關決標時，代表機關與該投標廠商對於招標文件規定之權利義務關係已經合意，該契約即為成立</t>
  </si>
  <si>
    <t xml:space="preserve">書面契約的簽訂，雖招標文件或契約明定契約需經雙方簽署方為有效者，仍以決標日為生效日</t>
  </si>
  <si>
    <t xml:space="preserve">廠商依招標文件規定，參與機關招標作業所為之投標行為屬要約</t>
  </si>
  <si>
    <t xml:space="preserve">機關依招標文件規定之決標原則決標予得標廠商之決標行為，屬機關對於投標廠商要約所為之承諾</t>
  </si>
  <si>
    <t xml:space="preserve">工程法規、契約管理</t>
  </si>
  <si>
    <t xml:space="preserve">關於公共工程職業安全衛生之規定下列敘述何者有誤？</t>
  </si>
  <si>
    <t xml:space="preserve">在設計階段應按實際狀況，就可量化與不可量化部份盡量分解細項</t>
  </si>
  <si>
    <t xml:space="preserve">機關辦理工程規劃、設計應依工程規模及特性，分析潛在施工危險，編製符合職業安全衛生法規之安全衛生圖說及規範</t>
  </si>
  <si>
    <t xml:space="preserve">機關辦理工程採購應於招標文件規定廠商須依職業安全衛生法規，採取必要之預防設備或措施，實施安全衛生管理及訓練</t>
  </si>
  <si>
    <t xml:space="preserve">廠商施工場所依法令或契約應有之安全衛生設施欠缺或不良，致發生職業災害者，如已受職業安全衛生相關法令處罰則機關無須再依政府採購法及契約規定處置</t>
  </si>
  <si>
    <t xml:space="preserve">工程法規、職業安全衛生</t>
  </si>
  <si>
    <t xml:space="preserve">關於公共工程相關法規之規定，下列敘述何者有誤？</t>
  </si>
  <si>
    <t xml:space="preserve">開發單位取得環評開發許可後，逾三年始實施開發行為時，應提出環境現況差異分析及對策檢討報告，送主管機關審查，</t>
  </si>
  <si>
    <t xml:space="preserve">未依規定擬具水土保持計畫送主管機關核定而擅自開發者，自第一次處罰之日起兩年內，暫停該地之開發申請，</t>
  </si>
  <si>
    <t xml:space="preserve">剩餘土石方處理計畫報經工程主辦機關備查後，即可進行土方外運作業，</t>
  </si>
  <si>
    <t xml:space="preserve">促進民間參與公共建設法所稱主管機關，為財政部</t>
  </si>
  <si>
    <t xml:space="preserve">關於營造業法之相關規定，下列敘述何者正確？</t>
  </si>
  <si>
    <t xml:space="preserve">承攬金額新臺幣2,000萬元以上之工程即應置工地主任</t>
  </si>
  <si>
    <t xml:space="preserve">營造業之專任工程人員應於查驗工程時到場說明，並於工程查驗文件簽名或蓋章</t>
  </si>
  <si>
    <t xml:space="preserve">土木包工業可承攬在登記許可當地或毗鄰地區之所有綜合營繕工程</t>
  </si>
  <si>
    <t xml:space="preserve">專業營造業無須設置專任工程人員</t>
  </si>
  <si>
    <t xml:space="preserve">關於技師執業，下列敘述何者有誤？</t>
  </si>
  <si>
    <t xml:space="preserve">持有不同科別之技師證書者，得在不同執業機構執行各該科別之技師業務</t>
  </si>
  <si>
    <t xml:space="preserve">技師執行業務所製作之圖樣及書表，應由技師本人簽署，並加蓋技師執業圖記</t>
  </si>
  <si>
    <t xml:space="preserve">技師受申誡處分三次以上者，應另受停止業務之處分；受停止業務處分累計滿五年者，應廢止其執業執照</t>
  </si>
  <si>
    <t xml:space="preserve">涉及不同科別技師執業範圍者，應由不同科別技師為之，並分別註明負責之範圍</t>
  </si>
  <si>
    <t xml:space="preserve">若建築物為七層且供公眾使用，則有關建築物結構與設備等專業工程部分：</t>
  </si>
  <si>
    <t xml:space="preserve">應由承辦建築師自行辦理，</t>
  </si>
  <si>
    <t xml:space="preserve">應由承辦建築師交由依法登記開業之專業技師負責辦理，建築師無須負連帶責任，</t>
  </si>
  <si>
    <t xml:space="preserve">得由承辦建築師自行辦理，或交由依法登記開業之專業技師負責辦理，</t>
  </si>
  <si>
    <t xml:space="preserve">應由承辦建築師交由依法登記開業之專業技師負責辦理，建築師並負連帶責任</t>
  </si>
  <si>
    <t xml:space="preserve">關於共同管道之規定，下列敘述何者有誤？</t>
  </si>
  <si>
    <t xml:space="preserve">指設於地面上、下，用於容納一種以上公共設施管線之構造物及其排水、通風、照明、通訊、電力或有關安全監視(測)系統等之各種設施，</t>
  </si>
  <si>
    <t xml:space="preserve">幹管一般設置於道路中央(分隔島或綠帶)下方，支管及電纜溝多設置於人行道下方，</t>
  </si>
  <si>
    <t xml:space="preserve">除情形特殊經主管機關核准者外，禁止挖掘共同管道經過之道路，</t>
  </si>
  <si>
    <t xml:space="preserve">共同管道系統以劃設於道路用地範圍為原則，如因工程之必要，得穿越公、私有土地之上空、地下或附著於建築物、工作物</t>
  </si>
  <si>
    <t xml:space="preserve">下水道機構因工程上之必要，得在公、私有土地下埋設管渠或其他設備：</t>
  </si>
  <si>
    <t xml:space="preserve">其土地所有人、占有人或使用人得拒絕，</t>
  </si>
  <si>
    <t xml:space="preserve">造成其損害之處所及方法無需特別考量，但應支付償金，</t>
  </si>
  <si>
    <t xml:space="preserve">應擇其損害最少之處所及方法為之，並應支付償金，</t>
  </si>
  <si>
    <t xml:space="preserve">如對處所及方法之選擇或支付償金有異議時，應報請地方主管機關核定後為之</t>
  </si>
  <si>
    <t xml:space="preserve">下列何者無須向主管機關申請許可？</t>
  </si>
  <si>
    <t xml:space="preserve">依工程契約規定，於基地內進行土方搬運平衡利用時</t>
  </si>
  <si>
    <t xml:space="preserve">依水利法規定，需設置穿越水道或水利設施底部之建造物時</t>
  </si>
  <si>
    <t xml:space="preserve">依公路法及市區道路條例規定，使用公路用地、挖掘公路或市區道路時</t>
  </si>
  <si>
    <t xml:space="preserve">依水利法規定，河川區域內施設、改建、修復或拆除建造物</t>
  </si>
  <si>
    <t xml:space="preserve">關於綠建築標章之規定，下列敘述何者有誤？</t>
  </si>
  <si>
    <t xml:space="preserve">綠建築等級，依序為合格級、銅級、銀級、黃金級、鑽石級等5級，</t>
  </si>
  <si>
    <t xml:space="preserve">綠建築評估指標系統，包括綠化、基地保水、水資源、日常節能、CO2減量、廢棄物減量、污水垃圾改善、生物多樣性及室內環境九大指標，</t>
  </si>
  <si>
    <t xml:space="preserve">工程預算達新臺幣5千萬元以上之公有新建建築工程於申報一樓樓版勘驗時，應同時檢附合格級以上候選綠建築證書，</t>
  </si>
  <si>
    <t xml:space="preserve">綠建築標章僅限已取得使用執照之建築物才可提出申請</t>
  </si>
  <si>
    <t xml:space="preserve">關於公有建築物或重大公共工程設置公共藝術之規定，下列敘述何者正確？</t>
  </si>
  <si>
    <t xml:space="preserve">公有建築物應設置公共藝術，且其價值不得少於該建築物造價百分之三</t>
  </si>
  <si>
    <t xml:space="preserve">公有建築物或政府重大公共工程主體符合公共藝術精神者，經申請審議通過後視為公共藝術，得免另辦理公共藝術設置計畫</t>
  </si>
  <si>
    <t xml:space="preserve">興辦機關辦理公共藝術設置計畫，應將該計畫納入公有建築物或政府重大公共工程之統包工程契約之項目及經費之中</t>
  </si>
  <si>
    <t xml:space="preserve">公共藝術僅得以平面或立體之藝術品方式呈現</t>
  </si>
  <si>
    <t xml:space="preserve">關於建築法之規定，下列敘述何者有誤？</t>
  </si>
  <si>
    <t xml:space="preserve">建築物非經申請直轄市、縣(市)主管建築機關之審查許可並發給執照，不得擅自建造或使用或拆除</t>
  </si>
  <si>
    <t xml:space="preserve">建築物之設計、監造必須由登記開業之建築師為之</t>
  </si>
  <si>
    <t xml:space="preserve">建築物之承造人為營造業，以依法登記開業之營造廠商為限</t>
  </si>
  <si>
    <t xml:space="preserve">建築物完工後尚未取得使用執照前，即可接水、接電</t>
  </si>
  <si>
    <t xml:space="preserve">關於政府採購法之規定，下列敘述何者有誤？</t>
  </si>
  <si>
    <t xml:space="preserve">非政府機關接受政府機關補助辦理採購，補助金額占採購金額半數以上，且補助金額在公告金額以上者，亦須適用政府採購法</t>
  </si>
  <si>
    <t xml:space="preserve">以維護公共利益及公平合理為原則，對廠商不得為無正當理由之差別待遇</t>
  </si>
  <si>
    <t xml:space="preserve">政府採購法對於機關辦理工程採購著重品質管理，對職業安全衛生的執行並無相關規定</t>
  </si>
  <si>
    <t xml:space="preserve">廠商與機關間關於招標、審標、決標之爭議，得依本法規定提出異議及申訴。機關與廠商間之履約爭議，得向採購申訴審議委員會申請調解</t>
  </si>
  <si>
    <t xml:space="preserve">機關辦理招標文件公開閱覽，不得少於多少工作天，但以電子化方式辦理者，不得少於5日曆天，末日為假日者順延之？</t>
  </si>
  <si>
    <r>
      <rPr>
        <sz val="10"/>
        <rFont val="Arial"/>
        <family val="0"/>
        <charset val="1"/>
      </rPr>
      <t xml:space="preserve">2</t>
    </r>
    <r>
      <rPr>
        <sz val="10"/>
        <rFont val="Noto Sans CJK SC"/>
        <family val="2"/>
      </rPr>
      <t xml:space="preserve">工作天</t>
    </r>
  </si>
  <si>
    <r>
      <rPr>
        <sz val="10"/>
        <rFont val="Arial"/>
        <family val="0"/>
        <charset val="1"/>
      </rPr>
      <t xml:space="preserve">5</t>
    </r>
    <r>
      <rPr>
        <sz val="10"/>
        <rFont val="Noto Sans CJK SC"/>
        <family val="2"/>
      </rPr>
      <t xml:space="preserve">工作天</t>
    </r>
  </si>
  <si>
    <r>
      <rPr>
        <sz val="10"/>
        <rFont val="Arial"/>
        <family val="0"/>
        <charset val="1"/>
      </rPr>
      <t xml:space="preserve">6</t>
    </r>
    <r>
      <rPr>
        <sz val="10"/>
        <rFont val="Noto Sans CJK SC"/>
        <family val="2"/>
      </rPr>
      <t xml:space="preserve">工作天</t>
    </r>
  </si>
  <si>
    <r>
      <rPr>
        <sz val="10"/>
        <rFont val="Arial"/>
        <family val="0"/>
        <charset val="1"/>
      </rPr>
      <t xml:space="preserve">7</t>
    </r>
    <r>
      <rPr>
        <sz val="10"/>
        <rFont val="Noto Sans CJK SC"/>
        <family val="2"/>
      </rPr>
      <t xml:space="preserve">工作天</t>
    </r>
  </si>
  <si>
    <t xml:space="preserve">有關逾期違約金，何者有誤</t>
  </si>
  <si>
    <t xml:space="preserve">為損害賠償額預定性違約金，</t>
  </si>
  <si>
    <t xml:space="preserve">依契約金額之一定比率扣抵，</t>
  </si>
  <si>
    <t xml:space="preserve">不得自應付價金或保證金中扣抵，</t>
  </si>
  <si>
    <t xml:space="preserve">可繳納現金</t>
  </si>
  <si>
    <t xml:space="preserve">施工中環境保護費及工地安全衛生費，亦為直接工程成本之項目，在規劃階段常無法詳細分解細項，可按直接工程成本之</t>
  </si>
  <si>
    <r>
      <rPr>
        <sz val="10"/>
        <rFont val="Arial"/>
        <family val="0"/>
        <charset val="1"/>
      </rPr>
      <t xml:space="preserve">0.6%</t>
    </r>
    <r>
      <rPr>
        <sz val="10"/>
        <rFont val="Noto Sans CJK SC"/>
        <family val="2"/>
      </rPr>
      <t xml:space="preserve">至</t>
    </r>
    <r>
      <rPr>
        <sz val="10"/>
        <rFont val="Arial"/>
        <family val="0"/>
        <charset val="1"/>
      </rPr>
      <t xml:space="preserve">2%</t>
    </r>
    <r>
      <rPr>
        <sz val="10"/>
        <rFont val="Noto Sans CJK SC"/>
        <family val="2"/>
      </rPr>
      <t xml:space="preserve">，</t>
    </r>
  </si>
  <si>
    <r>
      <rPr>
        <sz val="10"/>
        <rFont val="Arial"/>
        <family val="0"/>
        <charset val="1"/>
      </rPr>
      <t xml:space="preserve">0.3%</t>
    </r>
    <r>
      <rPr>
        <sz val="10"/>
        <rFont val="Noto Sans CJK SC"/>
        <family val="2"/>
      </rPr>
      <t xml:space="preserve">至</t>
    </r>
    <r>
      <rPr>
        <sz val="10"/>
        <rFont val="Arial"/>
        <family val="0"/>
        <charset val="1"/>
      </rPr>
      <t xml:space="preserve">2%</t>
    </r>
    <r>
      <rPr>
        <sz val="10"/>
        <rFont val="Noto Sans CJK SC"/>
        <family val="2"/>
      </rPr>
      <t xml:space="preserve">，</t>
    </r>
  </si>
  <si>
    <r>
      <rPr>
        <sz val="10"/>
        <rFont val="Arial"/>
        <family val="0"/>
        <charset val="1"/>
      </rPr>
      <t xml:space="preserve">0.3%</t>
    </r>
    <r>
      <rPr>
        <sz val="10"/>
        <rFont val="Noto Sans CJK SC"/>
        <family val="2"/>
      </rPr>
      <t xml:space="preserve">至</t>
    </r>
    <r>
      <rPr>
        <sz val="10"/>
        <rFont val="Arial"/>
        <family val="0"/>
        <charset val="1"/>
      </rPr>
      <t xml:space="preserve">3%</t>
    </r>
    <r>
      <rPr>
        <sz val="10"/>
        <rFont val="Noto Sans CJK SC"/>
        <family val="2"/>
      </rPr>
      <t xml:space="preserve">，</t>
    </r>
  </si>
  <si>
    <r>
      <rPr>
        <sz val="10"/>
        <rFont val="Arial"/>
        <family val="0"/>
        <charset val="1"/>
      </rPr>
      <t xml:space="preserve">0.6%</t>
    </r>
    <r>
      <rPr>
        <sz val="10"/>
        <rFont val="Noto Sans CJK SC"/>
        <family val="2"/>
      </rPr>
      <t xml:space="preserve">至</t>
    </r>
    <r>
      <rPr>
        <sz val="10"/>
        <rFont val="Arial"/>
        <family val="0"/>
        <charset val="1"/>
      </rPr>
      <t xml:space="preserve">3%</t>
    </r>
    <r>
      <rPr>
        <sz val="10"/>
        <rFont val="Noto Sans CJK SC"/>
        <family val="2"/>
      </rPr>
      <t xml:space="preserve">編列。在設計階段，應按實際狀況，就可量化與不可量化部分盡量分解細項，並於施工中切實執行</t>
    </r>
  </si>
  <si>
    <t xml:space="preserve">促進民間參與公共建設法，所稱主管機關為何？</t>
  </si>
  <si>
    <t xml:space="preserve">公平會</t>
  </si>
  <si>
    <t xml:space="preserve">財政部</t>
  </si>
  <si>
    <t xml:space="preserve">水土保持法主管機關，在中央為</t>
  </si>
  <si>
    <t xml:space="preserve">農業部</t>
  </si>
  <si>
    <t xml:space="preserve">營造業承攬一定金額或一定規模以上之工程，其施工期間，應於工地置工地主任。細則第十八條：本法第三十條所定應置工地主任之工程金額或規模如下：(以下何者為誤？)</t>
  </si>
  <si>
    <t xml:space="preserve">承攬金額新臺幣5,000萬元以上之工程，</t>
  </si>
  <si>
    <t xml:space="preserve">建築物高度21公尺以上之工程，</t>
  </si>
  <si>
    <t xml:space="preserve">建築物地下室開挖10公尺以上之工程，</t>
  </si>
  <si>
    <t xml:space="preserve">橋樑柱跨距25公尺以上之工程</t>
  </si>
  <si>
    <t xml:space="preserve">工程主管或主辦機關於勘驗、查驗或驗收工程時，營造業之專任工程人員及工地主任應在現場說明，並由下列哪位人員於勘驗、查驗或驗收文件上簽名或蓋章？</t>
  </si>
  <si>
    <t xml:space="preserve">品管人員</t>
  </si>
  <si>
    <t xml:space="preserve">工地主任</t>
  </si>
  <si>
    <t xml:space="preserve">監工人員</t>
  </si>
  <si>
    <t xml:space="preserve">依營造業法規定，營造業不包括？</t>
  </si>
  <si>
    <t xml:space="preserve">綜合營造業</t>
  </si>
  <si>
    <t xml:space="preserve">專業營造業</t>
  </si>
  <si>
    <t xml:space="preserve">土木包工業</t>
  </si>
  <si>
    <t xml:space="preserve">特殊營造業</t>
  </si>
  <si>
    <t xml:space="preserve">有關建築物結構與設備等專業工程部分，除幾層以下非供公眾使用之建築物外，應由承辦建築師交由依法登記開業之專業技師負責辦理，建築師並負連帶責任？</t>
  </si>
  <si>
    <r>
      <rPr>
        <sz val="10"/>
        <rFont val="Arial"/>
        <family val="0"/>
        <charset val="1"/>
      </rPr>
      <t xml:space="preserve">2</t>
    </r>
    <r>
      <rPr>
        <sz val="10"/>
        <rFont val="Noto Sans CJK SC"/>
        <family val="2"/>
      </rPr>
      <t xml:space="preserve">層</t>
    </r>
  </si>
  <si>
    <r>
      <rPr>
        <sz val="10"/>
        <rFont val="Arial"/>
        <family val="0"/>
        <charset val="1"/>
      </rPr>
      <t xml:space="preserve">5</t>
    </r>
    <r>
      <rPr>
        <sz val="10"/>
        <rFont val="Noto Sans CJK SC"/>
        <family val="2"/>
      </rPr>
      <t xml:space="preserve">層</t>
    </r>
  </si>
  <si>
    <r>
      <rPr>
        <sz val="10"/>
        <rFont val="Arial"/>
        <family val="0"/>
        <charset val="1"/>
      </rPr>
      <t xml:space="preserve">6</t>
    </r>
    <r>
      <rPr>
        <sz val="10"/>
        <rFont val="Noto Sans CJK SC"/>
        <family val="2"/>
      </rPr>
      <t xml:space="preserve">層</t>
    </r>
  </si>
  <si>
    <r>
      <rPr>
        <sz val="10"/>
        <rFont val="Arial"/>
        <family val="0"/>
        <charset val="1"/>
      </rPr>
      <t xml:space="preserve">10</t>
    </r>
    <r>
      <rPr>
        <sz val="10"/>
        <rFont val="Noto Sans CJK SC"/>
        <family val="2"/>
      </rPr>
      <t xml:space="preserve">層</t>
    </r>
  </si>
  <si>
    <t xml:space="preserve">共同管道之支管係以容納直接服務沿線地區之供給用管(纜)線為主，可直接或經由電纜溝引至用戶。電纜溝係指僅容納供應沿線用戶之纜線，而直接引至用戶。支管及電纜溝多設置於</t>
  </si>
  <si>
    <t xml:space="preserve">人行道下方</t>
  </si>
  <si>
    <t xml:space="preserve">慢車道下方</t>
  </si>
  <si>
    <t xml:space="preserve">快車道下方</t>
  </si>
  <si>
    <t xml:space="preserve">道路中央下方</t>
  </si>
  <si>
    <t xml:space="preserve">主管機關應酌量歷年水勢，決定設防之水位或日期。由設防日起至撤防日止，為防汛期(依河川管理辦法第18條)防汛期間為每年</t>
  </si>
  <si>
    <r>
      <rPr>
        <sz val="10"/>
        <rFont val="Arial"/>
        <family val="0"/>
        <charset val="1"/>
      </rPr>
      <t xml:space="preserve">1</t>
    </r>
    <r>
      <rPr>
        <sz val="10"/>
        <rFont val="Noto Sans CJK SC"/>
        <family val="2"/>
      </rPr>
      <t xml:space="preserve">月</t>
    </r>
    <r>
      <rPr>
        <sz val="10"/>
        <rFont val="Arial"/>
        <family val="0"/>
        <charset val="1"/>
      </rPr>
      <t xml:space="preserve">1</t>
    </r>
    <r>
      <rPr>
        <sz val="10"/>
        <rFont val="Noto Sans CJK SC"/>
        <family val="2"/>
      </rPr>
      <t xml:space="preserve">日至</t>
    </r>
    <r>
      <rPr>
        <sz val="10"/>
        <rFont val="Arial"/>
        <family val="0"/>
        <charset val="1"/>
      </rPr>
      <t xml:space="preserve">4</t>
    </r>
    <r>
      <rPr>
        <sz val="10"/>
        <rFont val="Noto Sans CJK SC"/>
        <family val="2"/>
      </rPr>
      <t xml:space="preserve">月</t>
    </r>
    <r>
      <rPr>
        <sz val="10"/>
        <rFont val="Arial"/>
        <family val="0"/>
        <charset val="1"/>
      </rPr>
      <t xml:space="preserve">30</t>
    </r>
    <r>
      <rPr>
        <sz val="10"/>
        <rFont val="Noto Sans CJK SC"/>
        <family val="2"/>
      </rPr>
      <t xml:space="preserve">日止</t>
    </r>
  </si>
  <si>
    <r>
      <rPr>
        <sz val="10"/>
        <rFont val="Arial"/>
        <family val="0"/>
        <charset val="1"/>
      </rPr>
      <t xml:space="preserve">5</t>
    </r>
    <r>
      <rPr>
        <sz val="10"/>
        <rFont val="Noto Sans CJK SC"/>
        <family val="2"/>
      </rPr>
      <t xml:space="preserve">月</t>
    </r>
    <r>
      <rPr>
        <sz val="10"/>
        <rFont val="Arial"/>
        <family val="0"/>
        <charset val="1"/>
      </rPr>
      <t xml:space="preserve">1</t>
    </r>
    <r>
      <rPr>
        <sz val="10"/>
        <rFont val="Noto Sans CJK SC"/>
        <family val="2"/>
      </rPr>
      <t xml:space="preserve">日至</t>
    </r>
    <r>
      <rPr>
        <sz val="10"/>
        <rFont val="Arial"/>
        <family val="0"/>
        <charset val="1"/>
      </rPr>
      <t xml:space="preserve">11</t>
    </r>
    <r>
      <rPr>
        <sz val="10"/>
        <rFont val="Noto Sans CJK SC"/>
        <family val="2"/>
      </rPr>
      <t xml:space="preserve">月</t>
    </r>
    <r>
      <rPr>
        <sz val="10"/>
        <rFont val="Arial"/>
        <family val="0"/>
        <charset val="1"/>
      </rPr>
      <t xml:space="preserve">30</t>
    </r>
    <r>
      <rPr>
        <sz val="10"/>
        <rFont val="Noto Sans CJK SC"/>
        <family val="2"/>
      </rPr>
      <t xml:space="preserve">日止</t>
    </r>
  </si>
  <si>
    <r>
      <rPr>
        <sz val="10"/>
        <rFont val="Arial"/>
        <family val="0"/>
        <charset val="1"/>
      </rPr>
      <t xml:space="preserve">9</t>
    </r>
    <r>
      <rPr>
        <sz val="10"/>
        <rFont val="Noto Sans CJK SC"/>
        <family val="2"/>
      </rPr>
      <t xml:space="preserve">月</t>
    </r>
    <r>
      <rPr>
        <sz val="10"/>
        <rFont val="Arial"/>
        <family val="0"/>
        <charset val="1"/>
      </rPr>
      <t xml:space="preserve">1</t>
    </r>
    <r>
      <rPr>
        <sz val="10"/>
        <rFont val="Noto Sans CJK SC"/>
        <family val="2"/>
      </rPr>
      <t xml:space="preserve">日至</t>
    </r>
    <r>
      <rPr>
        <sz val="10"/>
        <rFont val="Arial"/>
        <family val="0"/>
        <charset val="1"/>
      </rPr>
      <t xml:space="preserve">12</t>
    </r>
    <r>
      <rPr>
        <sz val="10"/>
        <rFont val="Noto Sans CJK SC"/>
        <family val="2"/>
      </rPr>
      <t xml:space="preserve">月</t>
    </r>
    <r>
      <rPr>
        <sz val="10"/>
        <rFont val="Arial"/>
        <family val="0"/>
        <charset val="1"/>
      </rPr>
      <t xml:space="preserve">31</t>
    </r>
    <r>
      <rPr>
        <sz val="10"/>
        <rFont val="Noto Sans CJK SC"/>
        <family val="2"/>
      </rPr>
      <t xml:space="preserve">日止</t>
    </r>
  </si>
  <si>
    <t xml:space="preserve">水利法水為天然資源屬於國家所有，所稱主管機關，在中央為</t>
  </si>
  <si>
    <t xml:space="preserve">工程會</t>
  </si>
  <si>
    <t xml:space="preserve">市區道路主管機關，在中央為</t>
  </si>
  <si>
    <t xml:space="preserve">綠建築評估指標系統，包括綠化、基地保水、水資源、日常節能、CO2減量、廢棄物減量、污水垃圾改善、生物多樣性及室內環境9大指標。申請認可之建築物應至少通過4項指標，且包括以下2項門檻指標在內</t>
  </si>
  <si>
    <r>
      <rPr>
        <sz val="10"/>
        <rFont val="Arial"/>
        <family val="0"/>
        <charset val="1"/>
      </rPr>
      <t xml:space="preserve">"</t>
    </r>
    <r>
      <rPr>
        <sz val="10"/>
        <rFont val="Noto Sans CJK SC"/>
        <family val="2"/>
      </rPr>
      <t xml:space="preserve">日常節能</t>
    </r>
    <r>
      <rPr>
        <sz val="10"/>
        <rFont val="Arial"/>
        <family val="0"/>
        <charset val="1"/>
      </rPr>
      <t xml:space="preserve">"</t>
    </r>
    <r>
      <rPr>
        <sz val="10"/>
        <rFont val="Noto Sans CJK SC"/>
        <family val="2"/>
      </rPr>
      <t xml:space="preserve">及</t>
    </r>
    <r>
      <rPr>
        <sz val="10"/>
        <rFont val="Arial"/>
        <family val="0"/>
        <charset val="1"/>
      </rPr>
      <t xml:space="preserve">"</t>
    </r>
    <r>
      <rPr>
        <sz val="10"/>
        <rFont val="Noto Sans CJK SC"/>
        <family val="2"/>
      </rPr>
      <t xml:space="preserve">污水垃圾改善</t>
    </r>
    <r>
      <rPr>
        <sz val="10"/>
        <rFont val="Arial"/>
        <family val="0"/>
        <charset val="1"/>
      </rPr>
      <t xml:space="preserve">"</t>
    </r>
  </si>
  <si>
    <r>
      <rPr>
        <sz val="10"/>
        <rFont val="Arial"/>
        <family val="0"/>
        <charset val="1"/>
      </rPr>
      <t xml:space="preserve">"</t>
    </r>
    <r>
      <rPr>
        <sz val="10"/>
        <rFont val="Noto Sans CJK SC"/>
        <family val="2"/>
      </rPr>
      <t xml:space="preserve">綠化</t>
    </r>
    <r>
      <rPr>
        <sz val="10"/>
        <rFont val="Arial"/>
        <family val="0"/>
        <charset val="1"/>
      </rPr>
      <t xml:space="preserve">"</t>
    </r>
    <r>
      <rPr>
        <sz val="10"/>
        <rFont val="Noto Sans CJK SC"/>
        <family val="2"/>
      </rPr>
      <t xml:space="preserve">及</t>
    </r>
    <r>
      <rPr>
        <sz val="10"/>
        <rFont val="Arial"/>
        <family val="0"/>
        <charset val="1"/>
      </rPr>
      <t xml:space="preserve">"</t>
    </r>
    <r>
      <rPr>
        <sz val="10"/>
        <rFont val="Noto Sans CJK SC"/>
        <family val="2"/>
      </rPr>
      <t xml:space="preserve">水資源</t>
    </r>
    <r>
      <rPr>
        <sz val="10"/>
        <rFont val="Arial"/>
        <family val="0"/>
        <charset val="1"/>
      </rPr>
      <t xml:space="preserve">"</t>
    </r>
  </si>
  <si>
    <r>
      <rPr>
        <sz val="10"/>
        <rFont val="Arial"/>
        <family val="0"/>
        <charset val="1"/>
      </rPr>
      <t xml:space="preserve">"</t>
    </r>
    <r>
      <rPr>
        <sz val="10"/>
        <rFont val="Noto Sans CJK SC"/>
        <family val="2"/>
      </rPr>
      <t xml:space="preserve">日常節能</t>
    </r>
    <r>
      <rPr>
        <sz val="10"/>
        <rFont val="Arial"/>
        <family val="0"/>
        <charset val="1"/>
      </rPr>
      <t xml:space="preserve">"</t>
    </r>
    <r>
      <rPr>
        <sz val="10"/>
        <rFont val="Noto Sans CJK SC"/>
        <family val="2"/>
      </rPr>
      <t xml:space="preserve">及</t>
    </r>
    <r>
      <rPr>
        <sz val="10"/>
        <rFont val="Arial"/>
        <family val="0"/>
        <charset val="1"/>
      </rPr>
      <t xml:space="preserve">"</t>
    </r>
    <r>
      <rPr>
        <sz val="10"/>
        <rFont val="Noto Sans CJK SC"/>
        <family val="2"/>
      </rPr>
      <t xml:space="preserve">水資源</t>
    </r>
    <r>
      <rPr>
        <sz val="10"/>
        <rFont val="Arial"/>
        <family val="0"/>
        <charset val="1"/>
      </rPr>
      <t xml:space="preserve">"</t>
    </r>
  </si>
  <si>
    <r>
      <rPr>
        <sz val="10"/>
        <rFont val="Arial"/>
        <family val="0"/>
        <charset val="1"/>
      </rPr>
      <t xml:space="preserve">"</t>
    </r>
    <r>
      <rPr>
        <sz val="10"/>
        <rFont val="Noto Sans CJK SC"/>
        <family val="2"/>
      </rPr>
      <t xml:space="preserve">日常節能</t>
    </r>
    <r>
      <rPr>
        <sz val="10"/>
        <rFont val="Arial"/>
        <family val="0"/>
        <charset val="1"/>
      </rPr>
      <t xml:space="preserve">"</t>
    </r>
    <r>
      <rPr>
        <sz val="10"/>
        <rFont val="Noto Sans CJK SC"/>
        <family val="2"/>
      </rPr>
      <t xml:space="preserve">及</t>
    </r>
    <r>
      <rPr>
        <sz val="10"/>
        <rFont val="Arial"/>
        <family val="0"/>
        <charset val="1"/>
      </rPr>
      <t xml:space="preserve">"</t>
    </r>
    <r>
      <rPr>
        <sz val="10"/>
        <rFont val="Noto Sans CJK SC"/>
        <family val="2"/>
      </rPr>
      <t xml:space="preserve">廢棄物減量</t>
    </r>
    <r>
      <rPr>
        <sz val="10"/>
        <rFont val="Arial"/>
        <family val="0"/>
        <charset val="1"/>
      </rPr>
      <t xml:space="preserve">"</t>
    </r>
  </si>
  <si>
    <t xml:space="preserve">工程法規、綠建築、環境保護</t>
  </si>
  <si>
    <t xml:space="preserve">公有建築物應設置公共藝術，美化建築物及環境，且其價值不得少於該建築物造價之</t>
  </si>
  <si>
    <t xml:space="preserve">1%</t>
  </si>
  <si>
    <t xml:space="preserve">3%</t>
  </si>
  <si>
    <t xml:space="preserve">4%</t>
  </si>
  <si>
    <t xml:space="preserve">建築物之設計、監造必須由依法登記開業之</t>
  </si>
  <si>
    <t xml:space="preserve">結構技師，</t>
  </si>
  <si>
    <t xml:space="preserve">建築師，</t>
  </si>
  <si>
    <t xml:space="preserve">營造業之專任工程人員，</t>
  </si>
  <si>
    <t xml:space="preserve">主管建築機關，在中央為</t>
  </si>
  <si>
    <t xml:space="preserve">經建會</t>
  </si>
  <si>
    <t xml:space="preserve">下列何者不是採購法之調解效果？</t>
  </si>
  <si>
    <t xml:space="preserve">當事人任一方不同意調解建議，調解不成立，</t>
  </si>
  <si>
    <t xml:space="preserve">工程採購，經申訴會提出調解建議或調解方案，因機關不同意致調解不成立者，廠商提付仲裁，機關不得拒絕，</t>
  </si>
  <si>
    <t xml:space="preserve">調解不成立，視同未申請調解，</t>
  </si>
  <si>
    <t xml:space="preserve">調解經當事人合意而成立</t>
  </si>
  <si>
    <t xml:space="preserve">下列何種情形符合採購法之規定，</t>
  </si>
  <si>
    <t xml:space="preserve">轉包，</t>
  </si>
  <si>
    <t xml:space="preserve">得標廠商將契約全部交由其他廠商代為履行，</t>
  </si>
  <si>
    <t xml:space="preserve">得標廠商將契約主要部分交由其他廠商代為履行，</t>
  </si>
  <si>
    <t xml:space="preserve">分包</t>
  </si>
  <si>
    <t xml:space="preserve">機關辦理以下何者以上採購之開標、比價、議價、決標及驗收時，應於規定期限內，檢附相關文件報請上級機關派員監辦？</t>
  </si>
  <si>
    <t xml:space="preserve">小額採購</t>
  </si>
  <si>
    <t xml:space="preserve">公告金額</t>
  </si>
  <si>
    <t xml:space="preserve">查核金額</t>
  </si>
  <si>
    <t xml:space="preserve">巨額</t>
  </si>
  <si>
    <t xml:space="preserve">工程法規、驗收、政府採購</t>
  </si>
  <si>
    <t xml:space="preserve">水土保持之處理與維護，係指應用工程、農藝或植生方法，以保育水土資源，維護自然生態景觀及防治沖蝕、崩塌、地滑、土石流等災害之措施；</t>
  </si>
  <si>
    <t xml:space="preserve">水土保持之處理與維護之調查、規劃、設計、監造，如涉及農藝或植生方法、措施之工程金額達總計畫之30％以上者，主管機關應要求承辦技師交由具有該特殊專業技術之水土保持技師負責簽證；</t>
  </si>
  <si>
    <t xml:space="preserve">未依核定之水土保持計畫實施水土保持之處理與維護者，除依第33條規定按次罰鍰外，由主管機關會同目的事業主管機關通知水土保持義務人限期改正;</t>
  </si>
  <si>
    <t xml:space="preserve">環境影響評估法係屬程序法</t>
  </si>
  <si>
    <t xml:space="preserve">環境影響評估工作包括第一階段、第二階段環境影響評估及審查、追蹤考核等程序</t>
  </si>
  <si>
    <t xml:space="preserve">開發單位取得目的事業主管機關核發之開發許可後，逾三年始實施開發行為時，應提出環境現況差異分析及對策檢討報告，送主管機關審查</t>
  </si>
  <si>
    <t xml:space="preserve">道路、鐵路、大眾捷運系統、港灣及機場之開發</t>
  </si>
  <si>
    <t xml:space="preserve">農、林、漁、牧地之開發利用</t>
  </si>
  <si>
    <t xml:space="preserve">文教、醫療建設之開發</t>
  </si>
  <si>
    <t xml:space="preserve">工程技術顧問公司應投保專業責任保險；其投保方式採逐案強制投保</t>
  </si>
  <si>
    <t xml:space="preserve">公共工程實施技師簽證，涉及不同科別技師執業範圍者，應由不同科別技師為之，並分別註明各自負責之範圍等</t>
  </si>
  <si>
    <t xml:space="preserve">技師執行簽證時，應依技師法第16條規定於所製作之圖樣、書表及簽證報告上簽署，並加蓋技師執業圖記</t>
  </si>
  <si>
    <t xml:space="preserve">技師下列行為者正確？</t>
  </si>
  <si>
    <t xml:space="preserve">容許他人借用本人名義執行業務或招攬業務</t>
  </si>
  <si>
    <t xml:space="preserve">執行業務時，違反與業務有關之法令</t>
  </si>
  <si>
    <t xml:space="preserve">工地遇緊急異常狀況之通報</t>
  </si>
  <si>
    <t xml:space="preserve">技師執行業務所製作之圖樣及書表及現場作業由技師簽署，並加蓋技師執業圖記</t>
  </si>
  <si>
    <t xml:space="preserve">建築師受委託辦理建築物監造時，應遵守各款之規定下列何者不正確？</t>
  </si>
  <si>
    <t xml:space="preserve">監督營造業依照前條設計之圖說施工;</t>
  </si>
  <si>
    <t xml:space="preserve">遵守建築法令所規定監造人應辦事項；</t>
  </si>
  <si>
    <t xml:space="preserve">其他約定之監造事項;</t>
  </si>
  <si>
    <t xml:space="preserve">公共工程品管人員取得結業證書者，每逾幾年應再取得最近之回訓證明，始得繼續擔任相關工作？</t>
  </si>
  <si>
    <r>
      <rPr>
        <sz val="10"/>
        <rFont val="Arial"/>
        <family val="0"/>
        <charset val="1"/>
      </rPr>
      <t xml:space="preserve">4</t>
    </r>
    <r>
      <rPr>
        <sz val="10"/>
        <rFont val="Noto Sans CJK SC"/>
        <family val="2"/>
      </rPr>
      <t xml:space="preserve">年</t>
    </r>
  </si>
  <si>
    <r>
      <rPr>
        <sz val="10"/>
        <rFont val="Arial"/>
        <family val="0"/>
        <charset val="1"/>
      </rPr>
      <t xml:space="preserve">5</t>
    </r>
    <r>
      <rPr>
        <sz val="10"/>
        <rFont val="Noto Sans CJK SC"/>
        <family val="2"/>
      </rPr>
      <t xml:space="preserve">年</t>
    </r>
  </si>
  <si>
    <r>
      <rPr>
        <sz val="10"/>
        <rFont val="Arial"/>
        <family val="0"/>
        <charset val="1"/>
      </rPr>
      <t xml:space="preserve">6</t>
    </r>
    <r>
      <rPr>
        <sz val="10"/>
        <rFont val="Noto Sans CJK SC"/>
        <family val="2"/>
      </rPr>
      <t xml:space="preserve">年</t>
    </r>
  </si>
  <si>
    <r>
      <rPr>
        <sz val="10"/>
        <rFont val="Arial"/>
        <family val="0"/>
        <charset val="1"/>
      </rPr>
      <t xml:space="preserve">8</t>
    </r>
    <r>
      <rPr>
        <sz val="10"/>
        <rFont val="Noto Sans CJK SC"/>
        <family val="2"/>
      </rPr>
      <t xml:space="preserve">年</t>
    </r>
  </si>
  <si>
    <t xml:space="preserve">主管機關應酌量歷年水勢，決定設防之水位或日期。由設防日起至撤防日止，為防汛期</t>
  </si>
  <si>
    <t xml:space="preserve">下水係指排水區域內之雨水、家庭污水及事業廢水</t>
  </si>
  <si>
    <t xml:space="preserve">地面上、下，用於容納二種以上公共設施管線之構造物及其排水、通風、照明、通訊、電力或有關安全監視(測)系統等之各種設施</t>
  </si>
  <si>
    <t xml:space="preserve">市區道路，指都市計畫區域內所有道路</t>
  </si>
  <si>
    <t xml:space="preserve">市區道路，指直轄市及市行政區域以內，都市計畫區域以外所有道路</t>
  </si>
  <si>
    <t xml:space="preserve">市區道路，指中央主管機關核定人口集居區域內所有道路</t>
  </si>
  <si>
    <t xml:space="preserve">使用公路用地設置管線或其他公共設施時，使用人應填具申請書，並檢附工程計畫書，向縣(市)政府主管機關申請許可後，始得設置；</t>
  </si>
  <si>
    <t xml:space="preserve">擅自使用、破壞公路用地或損壞公路設施者，處新臺幣3萬元以上25萬元以下罰鍰；</t>
  </si>
  <si>
    <t xml:space="preserve">公路工程之設計及監造，在中央公路主管機關工程規模五千元萬以上者，應由依法登記執業之相關專業技師簽證。但公路主管機關自行辦理者，得由機關內依法取得相關專業技師證書者辦理</t>
  </si>
  <si>
    <t xml:space="preserve">綠建築評估指標系統，包括綠化、基地保水、水資源、日常節能、CO2減量、廢棄物減量、污水垃圾改善、生物多樣性及室內外環境九大指標;</t>
  </si>
  <si>
    <t xml:space="preserve">申請認可之建築物應至少通過四項指標，且包括「日常節能」及「水資源」二項門檻指標在內；</t>
  </si>
  <si>
    <t xml:space="preserve">依綠建築評估手冊所訂定之分級評估方法，評定綠建築等級，依序為合格級、銅級、銀級、黃金級、鑽石級等5級;</t>
  </si>
  <si>
    <t xml:space="preserve">綠建築標章係指已取得使用執照之建築物、經直轄市、縣(市)政府認定之合法房屋、已完工之特種建築物或社區，經內政部認可符合綠建築評估指標所取得之標章</t>
  </si>
  <si>
    <t xml:space="preserve">重大公共工程得設置公共藝術，美化環境;</t>
  </si>
  <si>
    <t xml:space="preserve">供公眾使用之建築物所有人、管理人或使用人，如於其建築物設置公共藝術，美化建築物及環境，且其價值高於該建築物造價百分之二者，應予獎勵；</t>
  </si>
  <si>
    <t xml:space="preserve">文化藝術事業獎勵、補助之主管機關為文化部;</t>
  </si>
  <si>
    <t xml:space="preserve">公有建築物及重大公共工程公共藝術設置之事項，依文化藝術獎助條例規定「公共藝術設置辦法」，由主管機關定之</t>
  </si>
  <si>
    <t xml:space="preserve">為實施建築管理，以維護公共安全、公共交通、公共衛生及增進市容觀瞻，爰訂定建築法有關建築法規定下列何者不正確？</t>
  </si>
  <si>
    <t xml:space="preserve">建築法所稱建築物，為定著於土地上或地面下具有頂蓋，樑柱或牆壁，供個人或公眾使用之構造物或雜項工作物;</t>
  </si>
  <si>
    <t xml:space="preserve">建築管理規則授權由直轄市、縣市政府依地方自治法規訂定辦理;</t>
  </si>
  <si>
    <t xml:space="preserve">依建築法規定，建築物之設計、監造必須由登記開業之建築師為之；其承造人為營造業，以依法登記開業之營造廠商為限;</t>
  </si>
  <si>
    <t xml:space="preserve">建築工程中必須主管建築機關勘驗部分，應由監造人按照核准圖施工，並經監造人查驗無訛後，由承造人會同監造人依規定按時向主管建築機關申報後，方得繼續施工，主管建築機關得隨時勘驗之</t>
  </si>
  <si>
    <t xml:space="preserve">機關辦理工程採購，得將安全衛生圖說及規範納入招標文件，並量化編列安全衛生費用</t>
  </si>
  <si>
    <t xml:space="preserve">於招標文件規定機關得依職業安全衛生法規，採取必要之預防設備或措施，以確保施工安全</t>
  </si>
  <si>
    <t xml:space="preserve">機關施工場所得依契約辦理安全衛生設施欠缺或不良，致發生職業災害者，機關應受職業安全衛生相關法令處罰外，依職業安全衛生法規定處置</t>
  </si>
  <si>
    <t xml:space="preserve">政府採購法第7條：</t>
  </si>
  <si>
    <t xml:space="preserve">工程係指在地面上下新建、增建、改建、修建、拆除構造物與其所屬設備及改變自然環境之行為</t>
  </si>
  <si>
    <t xml:space="preserve">工程包括建築、土木、水利、環境、交通、機械、電氣、化工及其他經主管機關認定之工程以上且補助金額達公告金額以上，適用採購法</t>
  </si>
  <si>
    <t xml:space="preserve">為政府機關、公立學校、公營事業(以下簡稱機關)興辦或機關依法核准由民間機構參與或投資興辦之工程以上且補助金額達公告金額以上，適用採購法</t>
  </si>
  <si>
    <t xml:space="preserve">招標文件不得要求或提及特定之商標或商名、專利、設計或型式、特定來源地、生產者或供應者。但無法以精確方式說明招標要求，而已在招標文件內註明諸如「何者」字樣者，不在此限？</t>
  </si>
  <si>
    <t xml:space="preserve">或異質品</t>
  </si>
  <si>
    <t xml:space="preserve">或同質品</t>
  </si>
  <si>
    <t xml:space="preserve">或同等品</t>
  </si>
  <si>
    <t xml:space="preserve">為避免保險費單獨列項衍生契約雙方就保險費給付之爭議，工程保險費與廠商利潤管理費用得否合併列項？</t>
  </si>
  <si>
    <t xml:space="preserve">僅能單獨列項</t>
  </si>
  <si>
    <t xml:space="preserve">僅能合併列項</t>
  </si>
  <si>
    <t xml:space="preserve">單獨或合併列項均可</t>
  </si>
  <si>
    <t xml:space="preserve">各機關辦理公共工程規劃設計時，其成果應含職業安全衛生設施之圖說。施工中環境保護費及工地安全衛生費，亦為直接工程成本之項目，在規劃階段常無法詳細分解細項，可按直接工程成本之【多少金額區間】編列。</t>
  </si>
  <si>
    <t xml:space="preserve">0.1%-1%</t>
  </si>
  <si>
    <t xml:space="preserve">0.2%-2%</t>
  </si>
  <si>
    <t xml:space="preserve">0.3%-3%</t>
  </si>
  <si>
    <t xml:space="preserve">0.4%-4%</t>
  </si>
  <si>
    <t xml:space="preserve">依營造業法及施行細則規定，應置工地主任之工程金額或規模，下列何者錯誤？</t>
  </si>
  <si>
    <t xml:space="preserve">承攬金額新臺幣1,000萬元以上之工程</t>
  </si>
  <si>
    <t xml:space="preserve">建築物高度36公尺以上之工程</t>
  </si>
  <si>
    <t xml:space="preserve">建築物地下室開挖10公尺以上之工程</t>
  </si>
  <si>
    <t xml:space="preserve">技師不得有下列行為:</t>
  </si>
  <si>
    <t xml:space="preserve">無正當理由，洩漏因業務所知悉或持有他人之秘密</t>
  </si>
  <si>
    <t xml:space="preserve">建築物結構與設備等專業工程部分，除【哪一種？】建築物外，應由承辦建築師交由依法登記開業之專業技師負責辦理，建築師並負連帶責任。</t>
  </si>
  <si>
    <r>
      <rPr>
        <sz val="10"/>
        <rFont val="Arial"/>
        <family val="0"/>
        <charset val="1"/>
      </rPr>
      <t xml:space="preserve">10</t>
    </r>
    <r>
      <rPr>
        <sz val="10"/>
        <rFont val="Noto Sans CJK SC"/>
        <family val="2"/>
      </rPr>
      <t xml:space="preserve">層以下非供公眾使用之</t>
    </r>
  </si>
  <si>
    <r>
      <rPr>
        <sz val="10"/>
        <rFont val="Arial"/>
        <family val="0"/>
        <charset val="1"/>
      </rPr>
      <t xml:space="preserve">10</t>
    </r>
    <r>
      <rPr>
        <sz val="10"/>
        <rFont val="Noto Sans CJK SC"/>
        <family val="2"/>
      </rPr>
      <t xml:space="preserve">層以下供公眾使用之</t>
    </r>
  </si>
  <si>
    <r>
      <rPr>
        <sz val="10"/>
        <rFont val="Arial"/>
        <family val="0"/>
        <charset val="1"/>
      </rPr>
      <t xml:space="preserve">5</t>
    </r>
    <r>
      <rPr>
        <sz val="10"/>
        <rFont val="Noto Sans CJK SC"/>
        <family val="2"/>
      </rPr>
      <t xml:space="preserve">層以下非供公眾使用</t>
    </r>
  </si>
  <si>
    <r>
      <rPr>
        <sz val="10"/>
        <rFont val="Arial"/>
        <family val="0"/>
        <charset val="1"/>
      </rPr>
      <t xml:space="preserve">5</t>
    </r>
    <r>
      <rPr>
        <sz val="10"/>
        <rFont val="Noto Sans CJK SC"/>
        <family val="2"/>
      </rPr>
      <t xml:space="preserve">層以下供公眾使用之</t>
    </r>
  </si>
  <si>
    <t xml:space="preserve">建築師受委託辦理建築物監造時，應遵守下列何者規定</t>
  </si>
  <si>
    <t xml:space="preserve">監督營造業依照設計之圖說施工</t>
  </si>
  <si>
    <t xml:space="preserve">遵守建築法令所規定監造人應辦事項</t>
  </si>
  <si>
    <t xml:space="preserve">查核建築材料之規格及品質</t>
  </si>
  <si>
    <t xml:space="preserve">本法所稱共同管道:指設於地面上、下，用於容納二種以上公共設施管線之構造物及其排水、通風、照明、通訊、電力或有關安全監視(測)系統等之各種設施，請問可分下列哪項？</t>
  </si>
  <si>
    <t xml:space="preserve">工程法規、給排水</t>
  </si>
  <si>
    <t xml:space="preserve">請問公有新建建築物之總工程建造經費達新臺幣【多少？】元以上者，自101年1月1日起，建築工程於申報一樓樓版勘驗時，應同時檢附合格級以上候選綠建築證書，於工程驗收合格並取得合格級以上綠建築標章後，始得發給結算驗收證明書。</t>
  </si>
  <si>
    <t xml:space="preserve">新台幣1000萬</t>
  </si>
  <si>
    <t xml:space="preserve">新台幣2000萬</t>
  </si>
  <si>
    <t xml:space="preserve">新台幣5000萬</t>
  </si>
  <si>
    <t xml:space="preserve">新台幣2億元</t>
  </si>
  <si>
    <t xml:space="preserve">工程法規、綠建築、驗收</t>
  </si>
  <si>
    <t xml:space="preserve">評定台灣綠建築有五種等級，請問以下哪一種等級為最高級？</t>
  </si>
  <si>
    <t xml:space="preserve">合格級</t>
  </si>
  <si>
    <t xml:space="preserve">銀級</t>
  </si>
  <si>
    <t xml:space="preserve">黃金級</t>
  </si>
  <si>
    <t xml:space="preserve">鑽石級</t>
  </si>
  <si>
    <t xml:space="preserve">申請綠建築認可之建築物應至少通過四項指標，且包括「日常節能」及下列哪一項等二項門檻指標在內？</t>
  </si>
  <si>
    <t xml:space="preserve">基地保水</t>
  </si>
  <si>
    <t xml:space="preserve">水資源</t>
  </si>
  <si>
    <t xml:space="preserve">污水垃圾改善</t>
  </si>
  <si>
    <t xml:space="preserve">生物多樣性</t>
  </si>
  <si>
    <t xml:space="preserve">綠建築評估指標系統EEWH，包括生態、節能、減廢、健康四大面向及九大指標，請問下列何者不是屬於九大指標之一。</t>
  </si>
  <si>
    <t xml:space="preserve">綠化</t>
  </si>
  <si>
    <t xml:space="preserve">日常節能</t>
  </si>
  <si>
    <r>
      <rPr>
        <sz val="10"/>
        <rFont val="Arial"/>
        <family val="0"/>
        <charset val="1"/>
      </rPr>
      <t xml:space="preserve">NO2</t>
    </r>
    <r>
      <rPr>
        <sz val="10"/>
        <rFont val="Noto Sans CJK SC"/>
        <family val="2"/>
      </rPr>
      <t xml:space="preserve">增量</t>
    </r>
  </si>
  <si>
    <t xml:space="preserve">綠建築評估指標系統EEWH，包括生態、節能、減廢、健康四大面向及九大指標，請問下列何者不是屬於九大指標之一？</t>
  </si>
  <si>
    <t xml:space="preserve">廢棄物增量</t>
  </si>
  <si>
    <t xml:space="preserve">公有建築物應設置公共藝術，美化建築物及環境，且其價值不得少於該建築物造價【？】</t>
  </si>
  <si>
    <r>
      <rPr>
        <sz val="10"/>
        <rFont val="Arial"/>
        <family val="0"/>
        <charset val="1"/>
      </rPr>
      <t xml:space="preserve">0.05%</t>
    </r>
    <r>
      <rPr>
        <sz val="10"/>
        <rFont val="Noto Sans CJK SC"/>
        <family val="2"/>
      </rPr>
      <t xml:space="preserve">以上</t>
    </r>
  </si>
  <si>
    <r>
      <rPr>
        <sz val="10"/>
        <rFont val="Arial"/>
        <family val="0"/>
        <charset val="1"/>
      </rPr>
      <t xml:space="preserve">1%</t>
    </r>
    <r>
      <rPr>
        <sz val="10"/>
        <rFont val="Noto Sans CJK SC"/>
        <family val="2"/>
      </rPr>
      <t xml:space="preserve">以上</t>
    </r>
  </si>
  <si>
    <r>
      <rPr>
        <sz val="10"/>
        <rFont val="Arial"/>
        <family val="0"/>
        <charset val="1"/>
      </rPr>
      <t xml:space="preserve">2%</t>
    </r>
    <r>
      <rPr>
        <sz val="10"/>
        <rFont val="Noto Sans CJK SC"/>
        <family val="2"/>
      </rPr>
      <t xml:space="preserve">以上</t>
    </r>
  </si>
  <si>
    <r>
      <rPr>
        <sz val="10"/>
        <rFont val="Arial"/>
        <family val="0"/>
        <charset val="1"/>
      </rPr>
      <t xml:space="preserve">5%</t>
    </r>
    <r>
      <rPr>
        <sz val="10"/>
        <rFont val="Noto Sans CJK SC"/>
        <family val="2"/>
      </rPr>
      <t xml:space="preserve">以上</t>
    </r>
  </si>
  <si>
    <t xml:space="preserve">建築物非經申請地方主管建築機關之審查許可並發給執照，不得擅自建造或使用或拆除。所以建築物非經領得【何種？】執照，不准接水、接電、或申請營業登記及使用。</t>
  </si>
  <si>
    <t xml:space="preserve">建造執照</t>
  </si>
  <si>
    <t xml:space="preserve">雜項執照</t>
  </si>
  <si>
    <t xml:space="preserve">使用執照</t>
  </si>
  <si>
    <t xml:space="preserve">拆除執照</t>
  </si>
  <si>
    <t xml:space="preserve">建築工程中必須主管建築機關勘驗部分，應由承造人按照核准圖施工，並經【誰】查驗無訛後，由承造人會同依規定按時向主管建築機關申報後，方得繼續施工。</t>
  </si>
  <si>
    <t xml:space="preserve">起造人</t>
  </si>
  <si>
    <t xml:space="preserve">設計人</t>
  </si>
  <si>
    <t xml:space="preserve">監造人</t>
  </si>
  <si>
    <t xml:space="preserve">使用人</t>
  </si>
  <si>
    <t xml:space="preserve">建築物之新建、增建、改建及修建，應請領</t>
  </si>
  <si>
    <t xml:space="preserve">使用執政</t>
  </si>
  <si>
    <t xml:space="preserve">採購法第70條則規定機關辦理工程採購，應明訂廠商下列責任，並對重點項目訂定檢查程序及檢驗標準。</t>
  </si>
  <si>
    <t xml:space="preserve">執行品質管理</t>
  </si>
  <si>
    <t xml:space="preserve">環境保護</t>
  </si>
  <si>
    <t xml:space="preserve">施工安全衛生</t>
  </si>
  <si>
    <t xml:space="preserve">政府採購法規定機關辦理採購應以維護以下選項為原則，對廠商不得為無正當理由之差別待遇，以強調政府採購契約之執行過程及履約結果。</t>
  </si>
  <si>
    <t xml:space="preserve">公共利益</t>
  </si>
  <si>
    <t xml:space="preserve">公平合理</t>
  </si>
  <si>
    <t xml:space="preserve">工程法規、契約管理、政府採購</t>
  </si>
  <si>
    <t xml:space="preserve">依據投標廠商資格與特殊或巨額採購認定標準第8條規定，工程採購金額在下列金額以上者，為巨額採購？</t>
  </si>
  <si>
    <t xml:space="preserve">新台幣1億</t>
  </si>
  <si>
    <t xml:space="preserve">新台幣2億</t>
  </si>
  <si>
    <t xml:space="preserve">新台幣5億元</t>
  </si>
  <si>
    <t xml:space="preserve">法人或團體接受機關補助辦理採購，其補助金額占採購金額百分之多少以上，且補助金額在公告金額以上者，適用本法之規定，並應受該機關之監督？</t>
  </si>
  <si>
    <t xml:space="preserve">50%</t>
  </si>
  <si>
    <t xml:space="preserve">機關辦理採購，下列何者可不需適用採購法之規定。</t>
  </si>
  <si>
    <t xml:space="preserve">政府機關</t>
  </si>
  <si>
    <t xml:space="preserve">公立學校</t>
  </si>
  <si>
    <t xml:space="preserve">私立學校</t>
  </si>
  <si>
    <t xml:space="preserve">公營事業</t>
  </si>
  <si>
    <t xml:space="preserve">下列有關採購法解除契約之規定，何者屬於意定解除權？</t>
  </si>
  <si>
    <t xml:space="preserve">第50條第2項「決標或簽約後發現得標廠商於決標前有第一項情形者，應撤銷決標、終止契約或解除契約，並得追償損失」</t>
  </si>
  <si>
    <t xml:space="preserve">第59條第2項「違反前項規定者，機關得終止或解除契約」</t>
  </si>
  <si>
    <t xml:space="preserve">第64條「採購契約得訂明因政策變更，廠商依契約繼續履行反而不符公共利益者，機關得報經上級機關核准，終止或解除部分或全部契約」</t>
  </si>
  <si>
    <t xml:space="preserve">第66條第1項「得標廠商違反前條規定轉包其他廠商時，機關得解除契約、終止契約或沒收保證金，並得要求損害賠償」</t>
  </si>
  <si>
    <t xml:space="preserve">有關違約金規定，下列何者敘述錯誤？</t>
  </si>
  <si>
    <t xml:space="preserve">違約金者，以確保契約履行為目的，</t>
  </si>
  <si>
    <t xml:space="preserve">違約金標的限於金錢，</t>
  </si>
  <si>
    <t xml:space="preserve">品質缺失懲罰性違約金之性質屬於損害賠償總額預定性違約金，</t>
  </si>
  <si>
    <t xml:space="preserve">逾期違約金之性質屬於損害賠償總額預定性違約金</t>
  </si>
  <si>
    <t xml:space="preserve">就政府採購契約而言，其屬債權契約性質，當機關審查廠商之投標文件，並依招標文件規定之決標原則決標予得標廠商之決標行為，屬於：</t>
  </si>
  <si>
    <t xml:space="preserve">要約，</t>
  </si>
  <si>
    <t xml:space="preserve">要約之引誘，</t>
  </si>
  <si>
    <t xml:space="preserve">要約之承諾，</t>
  </si>
  <si>
    <t xml:space="preserve">就政府採購契約而言，其屬債權契約性質，當廠商依機關招標文件規定，參與機關招標作業所為之投標行為，屬於下列何者？</t>
  </si>
  <si>
    <t xml:space="preserve">要約</t>
  </si>
  <si>
    <t xml:space="preserve">要約之引誘</t>
  </si>
  <si>
    <t xml:space="preserve">要約之承諾</t>
  </si>
  <si>
    <t xml:space="preserve">就政府採購契約而言，其屬債權契約性質，當機關辦理招標作業，發出招標公告或邀標通知，屬於：</t>
  </si>
  <si>
    <t xml:space="preserve">依政府採購法第70條之1規定，機關辦理工程規劃、設計，應依工程規模及特性，量化編列安全衛生費用，惟實務上在規劃階段常無法詳細分解細項，並按直接工程成本之百分比編列，其百分比為多少？</t>
  </si>
  <si>
    <r>
      <rPr>
        <sz val="10"/>
        <rFont val="Arial"/>
        <family val="0"/>
        <charset val="1"/>
      </rPr>
      <t xml:space="preserve">0.6%</t>
    </r>
    <r>
      <rPr>
        <sz val="10"/>
        <rFont val="Noto Sans CJK SC"/>
        <family val="2"/>
      </rPr>
      <t xml:space="preserve">至</t>
    </r>
    <r>
      <rPr>
        <sz val="10"/>
        <rFont val="Arial"/>
        <family val="0"/>
        <charset val="1"/>
      </rPr>
      <t xml:space="preserve">2%</t>
    </r>
  </si>
  <si>
    <r>
      <rPr>
        <sz val="10"/>
        <rFont val="Arial"/>
        <family val="0"/>
        <charset val="1"/>
      </rPr>
      <t xml:space="preserve">0.3%</t>
    </r>
    <r>
      <rPr>
        <sz val="10"/>
        <rFont val="Noto Sans CJK SC"/>
        <family val="2"/>
      </rPr>
      <t xml:space="preserve">至</t>
    </r>
    <r>
      <rPr>
        <sz val="10"/>
        <rFont val="Arial"/>
        <family val="0"/>
        <charset val="1"/>
      </rPr>
      <t xml:space="preserve">3%</t>
    </r>
  </si>
  <si>
    <r>
      <rPr>
        <sz val="10"/>
        <rFont val="Arial"/>
        <family val="0"/>
        <charset val="1"/>
      </rPr>
      <t xml:space="preserve">0.3%</t>
    </r>
    <r>
      <rPr>
        <sz val="10"/>
        <rFont val="Noto Sans CJK SC"/>
        <family val="2"/>
      </rPr>
      <t xml:space="preserve">至</t>
    </r>
    <r>
      <rPr>
        <sz val="10"/>
        <rFont val="Arial"/>
        <family val="0"/>
        <charset val="1"/>
      </rPr>
      <t xml:space="preserve">5%</t>
    </r>
  </si>
  <si>
    <r>
      <rPr>
        <sz val="10"/>
        <rFont val="Arial"/>
        <family val="0"/>
        <charset val="1"/>
      </rPr>
      <t xml:space="preserve">0.5%</t>
    </r>
    <r>
      <rPr>
        <sz val="10"/>
        <rFont val="Noto Sans CJK SC"/>
        <family val="2"/>
      </rPr>
      <t xml:space="preserve">至</t>
    </r>
    <r>
      <rPr>
        <sz val="10"/>
        <rFont val="Arial"/>
        <family val="0"/>
        <charset val="1"/>
      </rPr>
      <t xml:space="preserve">5%</t>
    </r>
  </si>
  <si>
    <t xml:space="preserve">工程法規、職業安全衛生、政府採購</t>
  </si>
  <si>
    <t xml:space="preserve">依水土保持法規定，水土保持之處理與維護在中央主管機關指定規模以上者，應由依法登記執業之相關專業技師或聘有該等相關專業技師之工程顧問機構規劃、設計及監造，其中所敘相關專業技師不包括下列何者？</t>
  </si>
  <si>
    <t xml:space="preserve">土木工程技師</t>
  </si>
  <si>
    <t xml:space="preserve">水利工程技師</t>
  </si>
  <si>
    <t xml:space="preserve">大地工程技師</t>
  </si>
  <si>
    <t xml:space="preserve">結構工程技師</t>
  </si>
  <si>
    <t xml:space="preserve">依水土保持法規定，水土保持之處理與維護之調查、規劃、設計、監造，如涉及農藝或植生方法、措施之工程金額達總計畫之多少百分比以上者，主管機關應要求承辦技師交由具有該特殊專業技術之水土保持技師負責簽證？</t>
  </si>
  <si>
    <r>
      <rPr>
        <sz val="10"/>
        <rFont val="Arial"/>
        <family val="0"/>
        <charset val="1"/>
      </rPr>
      <t xml:space="preserve">20</t>
    </r>
    <r>
      <rPr>
        <sz val="10"/>
        <rFont val="Noto Sans CJK SC"/>
        <family val="2"/>
      </rPr>
      <t xml:space="preserve">％，</t>
    </r>
  </si>
  <si>
    <r>
      <rPr>
        <sz val="10"/>
        <rFont val="Arial"/>
        <family val="0"/>
        <charset val="1"/>
      </rPr>
      <t xml:space="preserve">30</t>
    </r>
    <r>
      <rPr>
        <sz val="10"/>
        <rFont val="Noto Sans CJK SC"/>
        <family val="2"/>
      </rPr>
      <t xml:space="preserve">％，</t>
    </r>
  </si>
  <si>
    <r>
      <rPr>
        <sz val="10"/>
        <rFont val="Arial"/>
        <family val="0"/>
        <charset val="1"/>
      </rPr>
      <t xml:space="preserve">40</t>
    </r>
    <r>
      <rPr>
        <sz val="10"/>
        <rFont val="Noto Sans CJK SC"/>
        <family val="2"/>
      </rPr>
      <t xml:space="preserve">％，</t>
    </r>
  </si>
  <si>
    <r>
      <rPr>
        <sz val="10"/>
        <rFont val="Arial"/>
        <family val="0"/>
        <charset val="1"/>
      </rPr>
      <t xml:space="preserve">50</t>
    </r>
    <r>
      <rPr>
        <sz val="10"/>
        <rFont val="Noto Sans CJK SC"/>
        <family val="2"/>
      </rPr>
      <t xml:space="preserve">％</t>
    </r>
  </si>
  <si>
    <t xml:space="preserve">依營造業法施行細則第18條規定，應置工地主任之工程金額或規模，下列何者敘述正確？</t>
  </si>
  <si>
    <t xml:space="preserve">承攬金額新臺幣500萬元以上之工程，</t>
  </si>
  <si>
    <t xml:space="preserve">建築物高度30公尺以上之工程，</t>
  </si>
  <si>
    <t xml:space="preserve">橋樑柱跨距20公尺以上之工程</t>
  </si>
  <si>
    <t xml:space="preserve">依營造業法施行細則第18條規定，應置工地主任之工程金額或規模，下列何者錯誤？</t>
  </si>
  <si>
    <t xml:space="preserve">承攬金額新臺幣5,000萬元以上之工程</t>
  </si>
  <si>
    <t xml:space="preserve">建築物高度30m以上之工程</t>
  </si>
  <si>
    <t xml:space="preserve">建築物地下室開挖10m以上之工程</t>
  </si>
  <si>
    <t xml:space="preserve">橋樑柱跨距25m以上之工程</t>
  </si>
  <si>
    <t xml:space="preserve">依營造業法規定，下列何者應於查驗工程時到場說明，並於工程查驗文件簽名或蓋章？</t>
  </si>
  <si>
    <t xml:space="preserve">營造業負責人</t>
  </si>
  <si>
    <t xml:space="preserve">技術士</t>
  </si>
  <si>
    <t xml:space="preserve">依營造業法規定，下列何者敘述錯誤？</t>
  </si>
  <si>
    <t xml:space="preserve">營造業分綜合營造業、專業營造業及土木包工業，</t>
  </si>
  <si>
    <t xml:space="preserve">營造業非經許可，領有登記證書並加入營造業公會，不得營業，</t>
  </si>
  <si>
    <t xml:space="preserve">專業營造業之資本額在一定金額以上，其選擇登記二項以上專業工程項目者，其資本額以金額較低者為準</t>
  </si>
  <si>
    <t xml:space="preserve">土木包工業負責人應具有三年以上土木建築工程施工經驗</t>
  </si>
  <si>
    <t xml:space="preserve">依河川管理辦法第18條規定，防汎期間為每年：</t>
  </si>
  <si>
    <r>
      <rPr>
        <sz val="10"/>
        <rFont val="Arial"/>
        <family val="0"/>
        <charset val="1"/>
      </rPr>
      <t xml:space="preserve">4</t>
    </r>
    <r>
      <rPr>
        <sz val="10"/>
        <rFont val="Noto Sans CJK SC"/>
        <family val="2"/>
      </rPr>
      <t xml:space="preserve">月</t>
    </r>
    <r>
      <rPr>
        <sz val="10"/>
        <rFont val="Arial"/>
        <family val="0"/>
        <charset val="1"/>
      </rPr>
      <t xml:space="preserve">1</t>
    </r>
    <r>
      <rPr>
        <sz val="10"/>
        <rFont val="Noto Sans CJK SC"/>
        <family val="2"/>
      </rPr>
      <t xml:space="preserve">日至</t>
    </r>
    <r>
      <rPr>
        <sz val="10"/>
        <rFont val="Arial"/>
        <family val="0"/>
        <charset val="1"/>
      </rPr>
      <t xml:space="preserve">10</t>
    </r>
    <r>
      <rPr>
        <sz val="10"/>
        <rFont val="Noto Sans CJK SC"/>
        <family val="2"/>
      </rPr>
      <t xml:space="preserve">月</t>
    </r>
    <r>
      <rPr>
        <sz val="10"/>
        <rFont val="Arial"/>
        <family val="0"/>
        <charset val="1"/>
      </rPr>
      <t xml:space="preserve">31</t>
    </r>
    <r>
      <rPr>
        <sz val="10"/>
        <rFont val="Noto Sans CJK SC"/>
        <family val="2"/>
      </rPr>
      <t xml:space="preserve">日，</t>
    </r>
  </si>
  <si>
    <r>
      <rPr>
        <sz val="10"/>
        <rFont val="Arial"/>
        <family val="0"/>
        <charset val="1"/>
      </rPr>
      <t xml:space="preserve">5</t>
    </r>
    <r>
      <rPr>
        <sz val="10"/>
        <rFont val="Noto Sans CJK SC"/>
        <family val="2"/>
      </rPr>
      <t xml:space="preserve">月</t>
    </r>
    <r>
      <rPr>
        <sz val="10"/>
        <rFont val="Arial"/>
        <family val="0"/>
        <charset val="1"/>
      </rPr>
      <t xml:space="preserve">1</t>
    </r>
    <r>
      <rPr>
        <sz val="10"/>
        <rFont val="Noto Sans CJK SC"/>
        <family val="2"/>
      </rPr>
      <t xml:space="preserve">日至</t>
    </r>
    <r>
      <rPr>
        <sz val="10"/>
        <rFont val="Arial"/>
        <family val="0"/>
        <charset val="1"/>
      </rPr>
      <t xml:space="preserve">10</t>
    </r>
    <r>
      <rPr>
        <sz val="10"/>
        <rFont val="Noto Sans CJK SC"/>
        <family val="2"/>
      </rPr>
      <t xml:space="preserve">月</t>
    </r>
    <r>
      <rPr>
        <sz val="10"/>
        <rFont val="Arial"/>
        <family val="0"/>
        <charset val="1"/>
      </rPr>
      <t xml:space="preserve">31</t>
    </r>
    <r>
      <rPr>
        <sz val="10"/>
        <rFont val="Noto Sans CJK SC"/>
        <family val="2"/>
      </rPr>
      <t xml:space="preserve">日，</t>
    </r>
  </si>
  <si>
    <r>
      <rPr>
        <sz val="10"/>
        <rFont val="Arial"/>
        <family val="0"/>
        <charset val="1"/>
      </rPr>
      <t xml:space="preserve">4</t>
    </r>
    <r>
      <rPr>
        <sz val="10"/>
        <rFont val="Noto Sans CJK SC"/>
        <family val="2"/>
      </rPr>
      <t xml:space="preserve">月</t>
    </r>
    <r>
      <rPr>
        <sz val="10"/>
        <rFont val="Arial"/>
        <family val="0"/>
        <charset val="1"/>
      </rPr>
      <t xml:space="preserve">1</t>
    </r>
    <r>
      <rPr>
        <sz val="10"/>
        <rFont val="Noto Sans CJK SC"/>
        <family val="2"/>
      </rPr>
      <t xml:space="preserve">日至</t>
    </r>
    <r>
      <rPr>
        <sz val="10"/>
        <rFont val="Arial"/>
        <family val="0"/>
        <charset val="1"/>
      </rPr>
      <t xml:space="preserve">11</t>
    </r>
    <r>
      <rPr>
        <sz val="10"/>
        <rFont val="Noto Sans CJK SC"/>
        <family val="2"/>
      </rPr>
      <t xml:space="preserve">月</t>
    </r>
    <r>
      <rPr>
        <sz val="10"/>
        <rFont val="Arial"/>
        <family val="0"/>
        <charset val="1"/>
      </rPr>
      <t xml:space="preserve">30</t>
    </r>
    <r>
      <rPr>
        <sz val="10"/>
        <rFont val="Noto Sans CJK SC"/>
        <family val="2"/>
      </rPr>
      <t xml:space="preserve">日，</t>
    </r>
  </si>
  <si>
    <t xml:space="preserve">依「公有智慧綠建築實施方針與實施日期」規定，公有新建建築物之總工程建造經費達新臺幣5,000萬元以上者，自101年1月1日起，建築工程於下列何者時機，應同時檢附合格級以上候選綠建築證書？</t>
  </si>
  <si>
    <t xml:space="preserve">申領建造執照時，</t>
  </si>
  <si>
    <t xml:space="preserve">申報開工時，</t>
  </si>
  <si>
    <t xml:space="preserve">申報一樓樓版勘驗時，</t>
  </si>
  <si>
    <t xml:space="preserve">依「公有智慧綠建築實施方針與實施日期」規定，公有新建建築物之總工程建造經費達新臺幣5,000萬元以上者，自101年1月1日起，建築工程於申報一樓樓版勘驗時，應同時檢附何種等級以上候選綠建築證書？</t>
  </si>
  <si>
    <t xml:space="preserve">合格級，</t>
  </si>
  <si>
    <t xml:space="preserve">銅級，</t>
  </si>
  <si>
    <t xml:space="preserve">銀級，</t>
  </si>
  <si>
    <t xml:space="preserve">申請綠建築認可之建築物應至少通過綠建築評估指標系統四項指標，其中並應包含那二項門檻指標？</t>
  </si>
  <si>
    <t xml:space="preserve">「綠化」及「水資源」，</t>
  </si>
  <si>
    <t xml:space="preserve">「日常節能」及「水資源」，</t>
  </si>
  <si>
    <t xml:space="preserve">「綠化」及「日常節能」，</t>
  </si>
  <si>
    <t xml:space="preserve">「綠化」及「室內環境」</t>
  </si>
  <si>
    <t xml:space="preserve">依政府採購法規定，以下有關履約爭議之處理，何者錯誤？</t>
  </si>
  <si>
    <t xml:space="preserve">得向採購申訴審議委員會申請調解，或向仲裁機構提付仲裁，</t>
  </si>
  <si>
    <t xml:space="preserve">其屬廠商申請調解者，機關不得拒絕，</t>
  </si>
  <si>
    <t xml:space="preserve">工程及財物採購之調解，採購申訴審議委員會應提出調解建議或調解方案，</t>
  </si>
  <si>
    <t xml:space="preserve">機關不同意調解建議者，應先報請上級機關核定，並以書面向採購申訴審議委員會及廠商說明理由</t>
  </si>
  <si>
    <t xml:space="preserve">綠建築評估指標系統計有九項評估指標，不包含下列何項指標？</t>
  </si>
  <si>
    <t xml:space="preserve">智慧化</t>
  </si>
  <si>
    <t xml:space="preserve">節能</t>
  </si>
  <si>
    <t xml:space="preserve">促進民間參與公共建設法於第52條及第53條規定，民間機構於興建或營運期間，如有施工進度嚴重落後、工程品質重大違失、經營不善或其他重大情事發生，主辦機關依投資契約得以書面通知民間機構，要求定期改善，屆期不改善或改善無效者，可採行之中止措施，不包含下列何者？</t>
  </si>
  <si>
    <t xml:space="preserve">興建</t>
  </si>
  <si>
    <t xml:space="preserve">營運一部分</t>
  </si>
  <si>
    <t xml:space="preserve">營運全部</t>
  </si>
  <si>
    <t xml:space="preserve">逕行解約</t>
  </si>
  <si>
    <t xml:space="preserve">環境影響評估報告書初稿，向目的事業主管機關提出;</t>
  </si>
  <si>
    <t xml:space="preserve">主管機關監督環境影響說書、評估書及審查結論之執行情形；必要時，得命開發單位定期提出環境影調查報告書；</t>
  </si>
  <si>
    <t xml:space="preserve">開發單位不遵行目的事業主管機關依環境影響評估法所謂停止關發行之命令者，處開發單位負責人三年徒刑或拘役，得併科新臺幣二十萬元以下罰金;</t>
  </si>
  <si>
    <t xml:space="preserve">開發單位於通過環境影響說明書或評估書審查，並取得目的事業主管機關核發之開發許可後，逾3年始實施開發行為時，應提出環境現況差異分析及對策檢討報告，送主管機關審查</t>
  </si>
  <si>
    <t xml:space="preserve">第三章 公共工程履約管理</t>
  </si>
  <si>
    <t xml:space="preserve">單元一：第三章 公共工程履約管理</t>
  </si>
  <si>
    <t xml:space="preserve">依建築法規定，起造人自領得建造執照或雜項執照之日起，應於幾個月內開工？</t>
  </si>
  <si>
    <r>
      <rPr>
        <sz val="10"/>
        <rFont val="Arial"/>
        <family val="0"/>
        <charset val="1"/>
      </rPr>
      <t xml:space="preserve">1</t>
    </r>
    <r>
      <rPr>
        <sz val="10"/>
        <rFont val="Noto Sans CJK SC"/>
        <family val="2"/>
      </rPr>
      <t xml:space="preserve">個月，</t>
    </r>
  </si>
  <si>
    <r>
      <rPr>
        <sz val="10"/>
        <rFont val="Arial"/>
        <family val="0"/>
        <charset val="1"/>
      </rPr>
      <t xml:space="preserve">2</t>
    </r>
    <r>
      <rPr>
        <sz val="10"/>
        <rFont val="Noto Sans CJK SC"/>
        <family val="2"/>
      </rPr>
      <t xml:space="preserve">個月，</t>
    </r>
  </si>
  <si>
    <r>
      <rPr>
        <sz val="10"/>
        <rFont val="Arial"/>
        <family val="0"/>
        <charset val="1"/>
      </rPr>
      <t xml:space="preserve">3</t>
    </r>
    <r>
      <rPr>
        <sz val="10"/>
        <rFont val="Noto Sans CJK SC"/>
        <family val="2"/>
      </rPr>
      <t xml:space="preserve">個月，</t>
    </r>
  </si>
  <si>
    <r>
      <rPr>
        <sz val="10"/>
        <rFont val="Arial"/>
        <family val="0"/>
        <charset val="1"/>
      </rPr>
      <t xml:space="preserve">6</t>
    </r>
    <r>
      <rPr>
        <sz val="10"/>
        <rFont val="Noto Sans CJK SC"/>
        <family val="2"/>
      </rPr>
      <t xml:space="preserve">個月</t>
    </r>
  </si>
  <si>
    <t xml:space="preserve">履約管理</t>
  </si>
  <si>
    <t xml:space="preserve">依建築法規定，建築期限以開工之日起算，承造人因故未能於建築期限內完工時，得申請展期多久，並以一次為限？</t>
  </si>
  <si>
    <r>
      <rPr>
        <sz val="10"/>
        <rFont val="Arial"/>
        <family val="0"/>
        <charset val="1"/>
      </rPr>
      <t xml:space="preserve">3</t>
    </r>
    <r>
      <rPr>
        <sz val="10"/>
        <rFont val="Noto Sans CJK SC"/>
        <family val="2"/>
      </rPr>
      <t xml:space="preserve">個月</t>
    </r>
  </si>
  <si>
    <r>
      <rPr>
        <sz val="10"/>
        <rFont val="Arial"/>
        <family val="0"/>
        <charset val="1"/>
      </rPr>
      <t xml:space="preserve">1</t>
    </r>
    <r>
      <rPr>
        <sz val="10"/>
        <rFont val="Noto Sans CJK SC"/>
        <family val="2"/>
      </rPr>
      <t xml:space="preserve">年</t>
    </r>
  </si>
  <si>
    <r>
      <rPr>
        <sz val="10"/>
        <rFont val="Arial"/>
        <family val="0"/>
        <charset val="1"/>
      </rPr>
      <t xml:space="preserve">2</t>
    </r>
    <r>
      <rPr>
        <sz val="10"/>
        <rFont val="Noto Sans CJK SC"/>
        <family val="2"/>
      </rPr>
      <t xml:space="preserve">年</t>
    </r>
  </si>
  <si>
    <t xml:space="preserve">依建築法規定，起造人自接獲通知領取建造執照或雜項執照之日起，逾幾個月未領取者，主管建築機關得將該執照予以廢止？</t>
  </si>
  <si>
    <t xml:space="preserve">機關與廠商因採購履約爭議未能達成協議者，得向採購申訴審議委員會申請：</t>
  </si>
  <si>
    <t xml:space="preserve">申訴，</t>
  </si>
  <si>
    <t xml:space="preserve">仲裁，</t>
  </si>
  <si>
    <t xml:space="preserve">調解，</t>
  </si>
  <si>
    <t xml:space="preserve">訴訟</t>
  </si>
  <si>
    <t xml:space="preserve">履約管理、政府採購</t>
  </si>
  <si>
    <t xml:space="preserve">下列有關履約保證之敘述，何者錯誤？</t>
  </si>
  <si>
    <t xml:space="preserve">優良廠商應繳納之履約保證金金額得予減收，其額度以不逾原定應繳總額之50%為限，</t>
  </si>
  <si>
    <t xml:space="preserve">同一廠商同時作為各機關採購契約之連帶保證廠商者，以二契約為限，</t>
  </si>
  <si>
    <t xml:space="preserve">公告金額以上之採購，機關得於招標文件中規定得標廠商提出符合招標文件所定投標廠商資格條件之其他廠商之履約及賠償連帶保證者，其應繳納之履約保證金得予減收，</t>
  </si>
  <si>
    <t xml:space="preserve">得標廠商延誤履約進度，經機關通知連帶保證廠商履約時，不得重新核定工期</t>
  </si>
  <si>
    <t xml:space="preserve">下列有關施工安全衛生之敘述，何者錯誤？</t>
  </si>
  <si>
    <t xml:space="preserve">機關應明訂廠商執行施工安全衛生之責任，並對重點項目訂定檢查程序及檢驗標準，</t>
  </si>
  <si>
    <t xml:space="preserve">勞工執行職務發現有立即發生危險之虞時，得在不危及其他工作者安全情形下，自行停止作業及退避至安全場所，並立即向直屬主管報告，</t>
  </si>
  <si>
    <t xml:space="preserve">營繕工程如屬勞動檢查法公告指定之營造工程危險性工作場所者，廠商應於工程施工前10天向當地檢查機構申請審查，</t>
  </si>
  <si>
    <t xml:space="preserve">廠商所提之施工計畫，應包括職業安全衛生管理計畫及繪製相關設施之施工詳圖等項目</t>
  </si>
  <si>
    <t xml:space="preserve">履約管理、職業安全衛生</t>
  </si>
  <si>
    <t xml:space="preserve">依採購契約要項規定，機關於採購契約規定或載明逾期違約金，以契約價金總額之多少比率為上限？</t>
  </si>
  <si>
    <t xml:space="preserve">無上限</t>
  </si>
  <si>
    <t xml:space="preserve">履約管理、契約管理、政府採購</t>
  </si>
  <si>
    <t xml:space="preserve">下列有關工程進度管理之敘述，何者錯誤？</t>
  </si>
  <si>
    <t xml:space="preserve">工程招標前，主辦機關應要求設計單位訂定合理工期，以作為決標後履約管理控管工程進度之依據，</t>
  </si>
  <si>
    <t xml:space="preserve">機關應要求廠商於開工前擬定施工預定進度表或施工預定進度網狀圖等，送請主辦機關核定，</t>
  </si>
  <si>
    <t xml:space="preserve">重大或緊急工程之預定進度表應明定每一工作項目之預定完成日(即里程碑)，</t>
  </si>
  <si>
    <t xml:space="preserve">因天災或事變等不可抗力或不可歸責於契約當事人之事由，致未能依時履約者，得展延履約期限</t>
  </si>
  <si>
    <t xml:space="preserve">下列有關工程品質管理之敘述，何者錯誤？</t>
  </si>
  <si>
    <t xml:space="preserve">機關辦理工程採購，應明訂廠商執行品質管理、環境保護、施工安全衛生之責任，</t>
  </si>
  <si>
    <t xml:space="preserve">機關辦理工程採購，應對重點項目訂定檢查程序及檢驗標準，</t>
  </si>
  <si>
    <t xml:space="preserve">執行工程品質管理為機關之責任，廠商得因機關辦理查驗、測試或檢驗，而免除其依契約所應履行或承擔之責任，</t>
  </si>
  <si>
    <t xml:space="preserve">機關於廠商履約中，若發現或可預見其履約瑕疵，得通知廠商限期改正，廠商不依照改正或履行者，機關得依契約規定暫停發放工程估驗款</t>
  </si>
  <si>
    <t xml:space="preserve">機關依採購法第101條規定通知廠商有擅自減省工料情節重大之情形，經廠商提出異議申訴審議結果並無不實者，自刊登公報之次日起多少期間內不得參加投標或作為決標或分包廠商？</t>
  </si>
  <si>
    <r>
      <rPr>
        <sz val="10"/>
        <rFont val="Arial"/>
        <family val="0"/>
        <charset val="1"/>
      </rPr>
      <t xml:space="preserve">6</t>
    </r>
    <r>
      <rPr>
        <sz val="10"/>
        <rFont val="Noto Sans CJK SC"/>
        <family val="2"/>
      </rPr>
      <t xml:space="preserve">個月，</t>
    </r>
  </si>
  <si>
    <r>
      <rPr>
        <sz val="10"/>
        <rFont val="Arial"/>
        <family val="0"/>
        <charset val="1"/>
      </rPr>
      <t xml:space="preserve">1</t>
    </r>
    <r>
      <rPr>
        <sz val="10"/>
        <rFont val="Noto Sans CJK SC"/>
        <family val="2"/>
      </rPr>
      <t xml:space="preserve">年，</t>
    </r>
  </si>
  <si>
    <r>
      <rPr>
        <sz val="10"/>
        <rFont val="Arial"/>
        <family val="0"/>
        <charset val="1"/>
      </rPr>
      <t xml:space="preserve">2</t>
    </r>
    <r>
      <rPr>
        <sz val="10"/>
        <rFont val="Noto Sans CJK SC"/>
        <family val="2"/>
      </rPr>
      <t xml:space="preserve">年，</t>
    </r>
  </si>
  <si>
    <r>
      <rPr>
        <sz val="10"/>
        <rFont val="Arial"/>
        <family val="0"/>
        <charset val="1"/>
      </rPr>
      <t xml:space="preserve">3</t>
    </r>
    <r>
      <rPr>
        <sz val="10"/>
        <rFont val="Noto Sans CJK SC"/>
        <family val="2"/>
      </rPr>
      <t xml:space="preserve">年</t>
    </r>
  </si>
  <si>
    <t xml:space="preserve">下列敘述段何者正確？依政府採購法第73-1條，機關辦理工程採購之付款及審核程序，應依下列規定辦理：</t>
  </si>
  <si>
    <t xml:space="preserve">定期估驗或分階段付款者，機關應於廠商提出估驗或階段完成之證明文件後10日內完成審核程序</t>
  </si>
  <si>
    <t xml:space="preserve">於接到廠商提出之請款單據後10日內付款</t>
  </si>
  <si>
    <t xml:space="preserve">驗收付款者，機關應於驗收合格後，填具結算驗收證明文件，並於接到廠商請款單據後15日內付款</t>
  </si>
  <si>
    <t xml:space="preserve">屬於應向上級機關申請核撥補助款之案件，各類期限可增加為20日</t>
  </si>
  <si>
    <t xml:space="preserve">新臺幣1千萬元以上未達5千萬元之工程品質計畫內容除機關及監造單位另有規定外，不包括：</t>
  </si>
  <si>
    <t xml:space="preserve">計畫範圍、管理權責及分工</t>
  </si>
  <si>
    <t xml:space="preserve">品質管理標準</t>
  </si>
  <si>
    <t xml:space="preserve">材料及施工檢驗程序及自主檢查表</t>
  </si>
  <si>
    <t xml:space="preserve">品質稽核、文件紀錄管理系統等</t>
  </si>
  <si>
    <t xml:space="preserve">履約管理、監造</t>
  </si>
  <si>
    <t xml:space="preserve">新臺幣5千萬元以上工程之監造計畫其內容除機關另有規定外，不包括</t>
  </si>
  <si>
    <t xml:space="preserve">監造範圍、監造組織及權責分工</t>
  </si>
  <si>
    <t xml:space="preserve">品質計畫審查作業程序、施工計畫審查作業程序</t>
  </si>
  <si>
    <t xml:space="preserve">材料及施工檢驗程序、自主檢查表</t>
  </si>
  <si>
    <t xml:space="preserve">採購申訴審議委員會調解後，當事人不能合意，但已甚接近者，採購申訴審議委員會應斟酌一切情形，並徵詢調解委員之意見，求兩造利益之平衡，於不違反兩造當事人之主要意思範圍內，以職權提出下列何者？</t>
  </si>
  <si>
    <t xml:space="preserve">調解裁定</t>
  </si>
  <si>
    <t xml:space="preserve">調解判決</t>
  </si>
  <si>
    <t xml:space="preserve">調解方案</t>
  </si>
  <si>
    <t xml:space="preserve">調解建議</t>
  </si>
  <si>
    <t xml:space="preserve">請挑出下列敘述錯誤？</t>
  </si>
  <si>
    <t xml:space="preserve">工程自驗收合格之日起，由廠商負責保固，其保固期限依契約規定辦理</t>
  </si>
  <si>
    <t xml:space="preserve">凡保固期內之任何毀壞、損壞、故障，應由廠商於機關指定之期限內負責免費無條件改正</t>
  </si>
  <si>
    <t xml:space="preserve">逾期不為改正者，機關得逕為處理，所需費用，由廠商負擔，或動用保固保證金逕為處理，不足時向廠商追償</t>
  </si>
  <si>
    <t xml:space="preserve">廠商於驗收後不履行保固責任，情節重大者，應將其事實、理由及拒絕往來期限通知廠商，並附記如未提出異議者，將刊登政府採購公報</t>
  </si>
  <si>
    <t xml:space="preserve">機關辦理採購，得於招標文件中規定優良廠商應繳納之押標金、履約保證金或保固保證金金額得予減收，其額度以不逾原定應繳總額之</t>
  </si>
  <si>
    <t xml:space="preserve">25%</t>
  </si>
  <si>
    <t xml:space="preserve">75%</t>
  </si>
  <si>
    <r>
      <rPr>
        <sz val="10"/>
        <rFont val="Arial"/>
        <family val="0"/>
        <charset val="1"/>
      </rPr>
      <t xml:space="preserve">60%</t>
    </r>
    <r>
      <rPr>
        <sz val="10"/>
        <rFont val="Noto Sans CJK SC"/>
        <family val="2"/>
      </rPr>
      <t xml:space="preserve">為上限繳納後方為優良廠商者，不溯及適用減收規定；減收後獎勵期間屆滿者，免補繳減收之金額</t>
    </r>
  </si>
  <si>
    <t xml:space="preserve">逾期違約金，為損害賠償額預定性違約金以日為單位，依契約規定之定額或契約金額之一定比率；惟逾期違約金之總額以契約價金之</t>
  </si>
  <si>
    <t xml:space="preserve">總額度</t>
  </si>
  <si>
    <r>
      <rPr>
        <sz val="10"/>
        <rFont val="Arial"/>
        <family val="0"/>
        <charset val="1"/>
      </rPr>
      <t xml:space="preserve">40%</t>
    </r>
    <r>
      <rPr>
        <sz val="10"/>
        <rFont val="Noto Sans CJK SC"/>
        <family val="2"/>
      </rPr>
      <t xml:space="preserve">為上限</t>
    </r>
  </si>
  <si>
    <t xml:space="preserve">履約管理、契約管理</t>
  </si>
  <si>
    <t xml:space="preserve">下列何者錯誤？同等品定義係指經機關審查認定其</t>
  </si>
  <si>
    <t xml:space="preserve">功能</t>
  </si>
  <si>
    <t xml:space="preserve">效益</t>
  </si>
  <si>
    <t xml:space="preserve">標準</t>
  </si>
  <si>
    <t xml:space="preserve">價格不低於招標文件所要求或提及者並得予以檢驗或測試</t>
  </si>
  <si>
    <t xml:space="preserve">訂定材料標準時，下列何種方式正確？</t>
  </si>
  <si>
    <t xml:space="preserve">應選用與材料標準相同來源的測試標準(如CNS)</t>
  </si>
  <si>
    <t xml:space="preserve">多增加非材料標準所規定的測試標準</t>
  </si>
  <si>
    <t xml:space="preserve">多引用ASTM、DIN或JIS的測試標準</t>
  </si>
  <si>
    <t xml:space="preserve">設定某種特殊規格試驗</t>
  </si>
  <si>
    <t xml:space="preserve">營造業法第30條規定營造業承攬一定金額或一定規模以上之工程，其施工期間，應於工地置工地主任，其一定金額規定為:</t>
  </si>
  <si>
    <r>
      <rPr>
        <sz val="10"/>
        <rFont val="Arial"/>
        <family val="0"/>
        <charset val="1"/>
      </rPr>
      <t xml:space="preserve">100</t>
    </r>
    <r>
      <rPr>
        <sz val="10"/>
        <rFont val="Noto Sans CJK SC"/>
        <family val="2"/>
      </rPr>
      <t xml:space="preserve">萬</t>
    </r>
  </si>
  <si>
    <r>
      <rPr>
        <sz val="10"/>
        <rFont val="Arial"/>
        <family val="0"/>
        <charset val="1"/>
      </rPr>
      <t xml:space="preserve">2000</t>
    </r>
    <r>
      <rPr>
        <sz val="10"/>
        <rFont val="Noto Sans CJK SC"/>
        <family val="2"/>
      </rPr>
      <t xml:space="preserve">萬</t>
    </r>
  </si>
  <si>
    <r>
      <rPr>
        <sz val="10"/>
        <rFont val="Arial"/>
        <family val="0"/>
        <charset val="1"/>
      </rPr>
      <t xml:space="preserve">2</t>
    </r>
    <r>
      <rPr>
        <sz val="10"/>
        <rFont val="Noto Sans CJK SC"/>
        <family val="2"/>
      </rPr>
      <t xml:space="preserve">億</t>
    </r>
  </si>
  <si>
    <t xml:space="preserve">下列哪項屬於營造業之專任工程人員應負責辦理之工作？</t>
  </si>
  <si>
    <t xml:space="preserve">實施技師簽證</t>
  </si>
  <si>
    <t xml:space="preserve">於施工日報表簽署</t>
  </si>
  <si>
    <t xml:space="preserve">施工操作或品質控管</t>
  </si>
  <si>
    <t xml:space="preserve">查核施工計畫書，並於認可後簽名或蓋章</t>
  </si>
  <si>
    <t xml:space="preserve">下列敘述何者有誤？</t>
  </si>
  <si>
    <t xml:space="preserve">公共工程實施技師簽證，涉及不同科別技師執業範圍者，應由不同科別技師為之</t>
  </si>
  <si>
    <t xml:space="preserve">關聯二以上科別技師執業範圍之介面部分，得標廠商應指定一技師負責整合，應由整合之技師簽證負責</t>
  </si>
  <si>
    <t xml:space="preserve">技師執行簽證時，應依法規定於所製作之圖樣、書表及簽證報告上簽署，並加蓋技師執業圖記</t>
  </si>
  <si>
    <t xml:space="preserve">技師簽證規則之主管機關為工程會</t>
  </si>
  <si>
    <t xml:space="preserve">依水利法及相關法令規定，下列敘述何者錯誤？</t>
  </si>
  <si>
    <t xml:space="preserve">河川管理辦法訂有防汎期間為每年5月1日至11月30日</t>
  </si>
  <si>
    <t xml:space="preserve">防汛緊急時，主管機關為緊急處置，得就地徵用關於搶護必需之物料、人工、土地，拆毀防礙水流之障礙物，得不予補償</t>
  </si>
  <si>
    <t xml:space="preserve">水利法規之中央主管機關為經濟部</t>
  </si>
  <si>
    <t xml:space="preserve">水為天然資源屬於國家所有，不因人民取得土地所有權而受影響</t>
  </si>
  <si>
    <t xml:space="preserve">市區道路之修築、改善、養護、使用、管理及經費籌措係依循道市區道路條例規範，本條例未規定者，適用其他法律市區道路條例之中央主管機關為</t>
  </si>
  <si>
    <t xml:space="preserve">行政院公共工程委員會</t>
  </si>
  <si>
    <t xml:space="preserve">綠建築評估指標系統，包括綠化、基地保水、水資源、日常節能、CO2減量、廢棄物減量、污水垃圾改善、生物多樣性及室內環境九大指標申請認可之建築物應至少通過四項指標，其中哪兩項指標一定要有？</t>
  </si>
  <si>
    <t xml:space="preserve">日常節能、CO2減量</t>
  </si>
  <si>
    <r>
      <rPr>
        <sz val="10"/>
        <rFont val="Arial"/>
        <family val="0"/>
        <charset val="1"/>
      </rPr>
      <t xml:space="preserve">CO2</t>
    </r>
    <r>
      <rPr>
        <sz val="10"/>
        <rFont val="Noto Sans CJK SC"/>
        <family val="2"/>
      </rPr>
      <t xml:space="preserve">減量、廢棄物減量</t>
    </r>
  </si>
  <si>
    <t xml:space="preserve">廢棄物減量、污水垃圾改善</t>
  </si>
  <si>
    <t xml:space="preserve">日常節能及水資源</t>
  </si>
  <si>
    <t xml:space="preserve">履約管理、綠建築、環境保護</t>
  </si>
  <si>
    <t xml:space="preserve">為實施建築管理，以維護公共安全、公共交通、公共衛生及增進市容觀瞻，爰訂定建築法本法令之中央主管建築機關為</t>
  </si>
  <si>
    <t xml:space="preserve">行政院環保署</t>
  </si>
  <si>
    <t xml:space="preserve">投標廠商資格與特殊或巨額採購認定標準中，採購金額在下列金額以上者，為巨額採購，下列何者錯誤？</t>
  </si>
  <si>
    <t xml:space="preserve">工程採購：新台幣2億元</t>
  </si>
  <si>
    <t xml:space="preserve">財物採購：新台幣1億元</t>
  </si>
  <si>
    <t xml:space="preserve">設備採購：新台幣5000萬元</t>
  </si>
  <si>
    <t xml:space="preserve">勞務採購：新台幣2,000萬元</t>
  </si>
  <si>
    <t xml:space="preserve">政府採購法第70條則規定機關辦理工程採購，應明訂廠商執行品質管理、環境保護、施工安全衛生之責任，並對重點項目訂定？</t>
  </si>
  <si>
    <t xml:space="preserve">檢查程序及檢驗標準</t>
  </si>
  <si>
    <t xml:space="preserve">管理責任</t>
  </si>
  <si>
    <t xml:space="preserve">稽核制度</t>
  </si>
  <si>
    <t xml:space="preserve">施工綱要</t>
  </si>
  <si>
    <t xml:space="preserve">履約管理、職業安全衛生、政府採購</t>
  </si>
  <si>
    <t xml:space="preserve">政府採購法立法宗旨為建立政府採購制度，依公平、公開之採購程序，提升採購效率與功能，確保採購品質本法所稱主管機關為？</t>
  </si>
  <si>
    <t xml:space="preserve">法務部</t>
  </si>
  <si>
    <t xml:space="preserve">司法院</t>
  </si>
  <si>
    <t xml:space="preserve">有關履約管理事項，下列何者為非？</t>
  </si>
  <si>
    <t xml:space="preserve">契約價金得採部分依契約價金總額結算，部分依實際施作或供應之項目及數量結算</t>
  </si>
  <si>
    <t xml:space="preserve">品質缺失依個案瑕疵情形而定，懲罰性違約金之總額無上限</t>
  </si>
  <si>
    <t xml:space="preserve">預付款之扣回方式，應自估驗金額達契約價金總額20%起至80%止，隨估驗計價逐期依計價比例扣回</t>
  </si>
  <si>
    <t xml:space="preserve">品質缺失懲罰性違約金之總額，以契約價金總額之20%為上限</t>
  </si>
  <si>
    <t xml:space="preserve">因天候影響或不可抗力事故，致影響要徑作業時，得申請展延工期，</t>
  </si>
  <si>
    <t xml:space="preserve">因契約變更追加價金或展延工期時，營造綜合保險單之保險金額應增加，保險期間應比照順延，</t>
  </si>
  <si>
    <t xml:space="preserve">依施工階段契約約定權責分工表約定，施工日誌應報業主核定，</t>
  </si>
  <si>
    <t xml:space="preserve">營造綜合保險單應以機關及其技術服務廠商、施工廠商及全部分包廠商為共同被保險人</t>
  </si>
  <si>
    <t xml:space="preserve">有關減價收受辦理原則，下列何者正確？</t>
  </si>
  <si>
    <t xml:space="preserve">工程採購不論金額大小，減價收受報經機關首長或其授權人員核准後為之</t>
  </si>
  <si>
    <t xml:space="preserve">查核金額以上之採購，減價收受應先報經上級機關核准</t>
  </si>
  <si>
    <t xml:space="preserve">個別項目之減價金額及違約金之合計，不受限制</t>
  </si>
  <si>
    <t xml:space="preserve">竣工確認時如發現與圖說、規定不符，無須待正式驗收即可辦理減價收受作業</t>
  </si>
  <si>
    <t xml:space="preserve">工程、財物或勞務採購之驗收，廠商未派員機關仍得為之</t>
  </si>
  <si>
    <t xml:space="preserve">營造業之專任工程人員及工地主任未在現場說明者，機關應不予驗收</t>
  </si>
  <si>
    <t xml:space="preserve">機關如有部分先行使用之必要者，應先就該部分辦理驗收，並得就該部分支付價金</t>
  </si>
  <si>
    <t xml:space="preserve">驗收合格後，機關應依「公共工程施工廠商履約情形計分要點」於完成驗收後，將完整之計分事實資料填報於工程會「公共工程標案管理系統」，並辦理計分作業</t>
  </si>
  <si>
    <t xml:space="preserve">履約管理、驗收</t>
  </si>
  <si>
    <t xml:space="preserve">契約價金採總額結算者，下列敘述何者為非？</t>
  </si>
  <si>
    <t xml:space="preserve">工程之個別項目實作數量較契約所定數量增減達3%以上時，其逾3%之部分，依原契約單價以契約變更增減契約價金，</t>
  </si>
  <si>
    <t xml:space="preserve">工程之個別項目實作數量較契約所定數量增加達30%以上時，其逾30%之部分，應以契約變更合理調整契約單價及計算契約價金，</t>
  </si>
  <si>
    <t xml:space="preserve">工程之個別項目實作數量較契約所定數量增減未達3%者，契約價金不予增減，</t>
  </si>
  <si>
    <t xml:space="preserve">經確認屬漏列項目，仍應由廠商負責供應或施作，不得據以請求加價</t>
  </si>
  <si>
    <t xml:space="preserve">有關剩餘土石方之處理，下列何者為非？</t>
  </si>
  <si>
    <t xml:space="preserve">工程設計階段，機關應責成規劃設計單位符合工程挖填土石方之平衡原則，</t>
  </si>
  <si>
    <t xml:space="preserve">工程出土期間應依「營建剩餘土石方處理方案」規定辦理紙本流向證明文件簽發、網路申報勾稽及查核作業，</t>
  </si>
  <si>
    <t xml:space="preserve">營建剩餘土石方之處理屬廠商自主管理事項，無須提報處理計畫，</t>
  </si>
  <si>
    <t xml:space="preserve">剩餘土石方處理計畫，由廠商負責人、專任工程人員、工地負責人會同簽章後，報機關(建築工程應含主管建築機關)據以核發剩餘土石方流向證明文件</t>
  </si>
  <si>
    <t xml:space="preserve">下列何者非屬辦理變更契約應注意之事項？</t>
  </si>
  <si>
    <t xml:space="preserve">決標簽約後，漏列項目及數量均應由廠商自行負擔，</t>
  </si>
  <si>
    <t xml:space="preserve">契約原有項目，因機關要求契約變更，如變更之部分，其價格或施工條件改變，得就該等變更部分另行議價，</t>
  </si>
  <si>
    <t xml:space="preserve">新增工程項目單價編列方式，應以原預算相關單價分析資料為基礎，並考慮市場價格波動情形，</t>
  </si>
  <si>
    <t xml:space="preserve">於機關接受其所提出須變更之相關文件前，廠商不得自行變更契約</t>
  </si>
  <si>
    <t xml:space="preserve">下列何者非屬廠商得要求變更契約之情形？</t>
  </si>
  <si>
    <t xml:space="preserve">契約原標示之廠牌或型號不再製造或供應，</t>
  </si>
  <si>
    <t xml:space="preserve">契約所定技術規格違反採購法第26條規定，</t>
  </si>
  <si>
    <t xml:space="preserve">契約原標示之廠牌或型號，契約價金與市場行情明顯差異者，</t>
  </si>
  <si>
    <t xml:space="preserve">較契約原標示者更優或對機關更有利</t>
  </si>
  <si>
    <t xml:space="preserve">有關估驗計價作業，下列何者為非？</t>
  </si>
  <si>
    <t xml:space="preserve">每期估驗款應扣除之保留款額度，得由機關依個案特性或實際需要決定</t>
  </si>
  <si>
    <t xml:space="preserve">每期估驗款應依契約約定扣除5%保留款</t>
  </si>
  <si>
    <t xml:space="preserve">如因可歸責於廠商之事由，而有施工查核結果列為丙等、發生重大勞安或環保事故之情形，機關得將估驗計價保留款提高為原規定之2倍</t>
  </si>
  <si>
    <t xml:space="preserve">依採購法第73-1條規定，定期估驗或分階段付款者，廠商提出估驗證明文件後，機關應於15日內完成審核程序，並於接到廠商提出之請款單據後，15日內付款</t>
  </si>
  <si>
    <t xml:space="preserve">有關工程材料設備之檢驗或抽驗事宜，下列何者為非？</t>
  </si>
  <si>
    <t xml:space="preserve">材料設備屬正字標記產品者，得免辦理材料設備送審之「出廠檢驗」</t>
  </si>
  <si>
    <t xml:space="preserve">產品檢驗報告書，實驗室應印有國家標準(CNS)之認可標誌</t>
  </si>
  <si>
    <t xml:space="preserve">機關就廠商履約標的為查驗、測試或檢驗之權利，應不受該標的曾通過其他查驗、測試或檢驗之限制</t>
  </si>
  <si>
    <t xml:space="preserve">契約規定以外之查驗、測試或檢驗，其結果符合者，由機關負擔費用</t>
  </si>
  <si>
    <t xml:space="preserve">履約期間，機關對廠商履約瑕疵得採行之措施，下列何者為非？</t>
  </si>
  <si>
    <t xml:space="preserve">自行或使第三人改正，並得向廠商請求償還改正必要之費用</t>
  </si>
  <si>
    <t xml:space="preserve">得依契約約定暫停發放估驗款</t>
  </si>
  <si>
    <t xml:space="preserve">擅自減省工料情節重大者，應依採購法第101條至第103條規定處理</t>
  </si>
  <si>
    <t xml:space="preserve">留待辦理初驗或驗收時再全部一併限期改善</t>
  </si>
  <si>
    <t xml:space="preserve">廠商延誤履約進度之處理，下列何者非屬機關得採行之措施？</t>
  </si>
  <si>
    <t xml:space="preserve">要求廠商提趕工計畫，</t>
  </si>
  <si>
    <t xml:space="preserve">如施工進度已達百分之50%以上，機關得評估同意廠商及分包廠商共同申請採監督付款方式，由分包廠商繼續施工，</t>
  </si>
  <si>
    <t xml:space="preserve">契約訂有連帶保證廠商責任規定者，機關得評估由連帶保證廠商接辦，</t>
  </si>
  <si>
    <t xml:space="preserve">終止或解除契約重新招標</t>
  </si>
  <si>
    <t xml:space="preserve">有關進度管理，下列何者為非？</t>
  </si>
  <si>
    <t xml:space="preserve">履約期間若因天候影響無法施工，廠商應於辦理結算作業時，檢具事證以書面向機關申請不計工期</t>
  </si>
  <si>
    <t xml:space="preserve">開工前依規劃之施工步驟繪製施工預定進度網圖及要徑作業，以為管控基準</t>
  </si>
  <si>
    <t xml:space="preserve">履約期間若因天候影響無法施工，廠商應於事故發生或消滅後7日內通知機關，並於45日內檢具事證，以書面向機關申請展延工期</t>
  </si>
  <si>
    <t xml:space="preserve">進度落後達一定程度，且經通知限期改善後未積極改善者，機關得暫停核發估驗計價款</t>
  </si>
  <si>
    <t xml:space="preserve">有關建造執照或雜項執照，下列何者為非？</t>
  </si>
  <si>
    <t xml:space="preserve">起造人自接獲通知領取建造執照或雜項執照之日起，應於三個月內領照，</t>
  </si>
  <si>
    <t xml:space="preserve">起造人自領得建造執照或雜項執照之日起，應於一年內開工，</t>
  </si>
  <si>
    <t xml:space="preserve">起造人自領得建造執照或雜項執照之日起，應於六個月內開工，</t>
  </si>
  <si>
    <t xml:space="preserve">起造人因故不能於期限內開工時，應敘明原因，申請展期一次，期限為三個月</t>
  </si>
  <si>
    <t xml:space="preserve">下列何者非屬開工前之準備作業？</t>
  </si>
  <si>
    <t xml:space="preserve">廠商須提報整體施工計畫及整體品質計畫</t>
  </si>
  <si>
    <t xml:space="preserve">公有新建建築物建造經費達新臺幣5,000萬元以上者，應申請綠建築標章</t>
  </si>
  <si>
    <t xml:space="preserve">廠商辦理營造綜合保險</t>
  </si>
  <si>
    <t xml:space="preserve">提報剩餘土石方處理計畫</t>
  </si>
  <si>
    <t xml:space="preserve">有關履約保證金規定，下列何者正確？</t>
  </si>
  <si>
    <t xml:space="preserve">履約保證金之發還，不得以履約進度、驗收、維修或保固期間等條件，一次或分次發還</t>
  </si>
  <si>
    <t xml:space="preserve">履約保證金之額度如係一定比率，以不逾契約金額之10%為原則</t>
  </si>
  <si>
    <t xml:space="preserve">履約保證金之額度如係一定比率，以不逾契約金額之20%為原則</t>
  </si>
  <si>
    <t xml:space="preserve">同一廠商同時作為各機關採購契約之連帶保證廠商者，以契約為限</t>
  </si>
  <si>
    <t xml:space="preserve">有關逾期違約金，下列何者為非？</t>
  </si>
  <si>
    <t xml:space="preserve">民法第252條規定，約定之違約金過高者，法院得減至相當之數額，</t>
  </si>
  <si>
    <t xml:space="preserve">廠商未能依契約規定期限完成履約者，應依契約規定繳納違約金，</t>
  </si>
  <si>
    <t xml:space="preserve">逾期違約金之總額以契約價金總額之20％為上限，</t>
  </si>
  <si>
    <t xml:space="preserve">逾期違約金之總額以契約價金總額之40％為上限</t>
  </si>
  <si>
    <t xml:space="preserve">有關轉包規定，下列何者為非？</t>
  </si>
  <si>
    <t xml:space="preserve">招標文件標示屬於主要部分或應由得標廠商自行履行之部分，得標廠商不得轉包</t>
  </si>
  <si>
    <t xml:space="preserve">廠商如違反規定轉包尚無須刊登為拒絕往來廠商，</t>
  </si>
  <si>
    <t xml:space="preserve">不得轉包之主要部分，係指招標文件標示為主要部分者；招標文件標示或依其他法規規定應由得標廠商自行履行之部分，</t>
  </si>
  <si>
    <t xml:space="preserve">廠商如違反規定轉包，得解除契約、終止契約或沒收保證金，並得要求損害賠償</t>
  </si>
  <si>
    <t xml:space="preserve">有關採購契約責任規定，下列何者為非？</t>
  </si>
  <si>
    <t xml:space="preserve">受機關委託辦理規劃、設計、審查、監造、專案管理或代辦採購廠商之人員，不得意圖為私人不法之利益，對技術、工法、材料、設備或規格</t>
  </si>
  <si>
    <t xml:space="preserve">營造業之工地主任擔任其所承攬工程之施工技術指導及施工安全之人員</t>
  </si>
  <si>
    <t xml:space="preserve">綜合營造業之專任工程人員(主任技師或主任建築師)，為擔任其所承攬工程之施工技術指導及施工安全之人員</t>
  </si>
  <si>
    <t xml:space="preserve">下列何者不正確:</t>
  </si>
  <si>
    <t xml:space="preserve">整體品質計畫應於開工前提出，並經機關或監造單位核備;</t>
  </si>
  <si>
    <t xml:space="preserve">分項品質計畫配合各分項施工計畫依施工時程先後，於工程開工前提出，並報機關或監造單位核備後施工;</t>
  </si>
  <si>
    <t xml:space="preserve">未達新臺幣一千萬元之工程僅需提送整體品質計報機關或監造單位核備;</t>
  </si>
  <si>
    <t xml:space="preserve">新臺幣一百萬元以上工程，應符合CNS 17025規定之實驗室辦理，並出具檢驗或抽驗報告印有依標準法授權之實驗室認證機構之認可標誌</t>
  </si>
  <si>
    <t xml:space="preserve">因可歸責於廠商之事由，致解除或終止契約者，機關應將其事實及理由通知廠商，並刊登政府採購公報</t>
  </si>
  <si>
    <t xml:space="preserve">工程總預定進度表應能清楚說明工期與施工進度之相對關係，並能清楚看出要徑作業，明確標示契約規定之里程碑、重要工程界面管制點及每月累計預定進度等</t>
  </si>
  <si>
    <t xml:space="preserve">因可歸責於廠商之事由，致施工進度落後百分之十五以上時，機關處理廠商延誤履約進度案件，得視機關與廠商所訂契約之約定及廠商履約情形，就下列事項綜合評估</t>
  </si>
  <si>
    <t xml:space="preserve">機關得以書面通知廠商終止契約或解除契約之部分或全部，且不補償廠商因此所生之損失</t>
  </si>
  <si>
    <t xml:space="preserve">履約期間之計算，由機關載明於契約辦理之敘述下列何者不正確:</t>
  </si>
  <si>
    <t xml:space="preserve">以限期完成者星期例假日、國定假日或其他休息日均應計入;</t>
  </si>
  <si>
    <t xml:space="preserve">以日曆天計者星期例假日、國定假日或其他休息日，是否計入，應於契約中明定;</t>
  </si>
  <si>
    <t xml:space="preserve">以工作天計者星期例假日、國定假日或其他休息日，均應不計入;</t>
  </si>
  <si>
    <t xml:space="preserve">以工作天計者星期例假日、國定假日或其他休息日，均應計入</t>
  </si>
  <si>
    <t xml:space="preserve">下列有關開工前準備作業包括何者不正確:</t>
  </si>
  <si>
    <t xml:space="preserve">廠商應在施工範圍內之適當地點，設置固定或臨時水準點與座標基準點，俾便隨時檢測;</t>
  </si>
  <si>
    <t xml:space="preserve">主辦工程機關應建立施工品質管制系統，指派具工程相關學經歷之適當人員或委託適當機構負責監造、並設置工程督導小組;</t>
  </si>
  <si>
    <t xml:space="preserve">機關應召開施工前說明會;並邀集規劃、設計、監造單位、廠商等均應到場參加;</t>
  </si>
  <si>
    <t xml:space="preserve">監造單位及廠商應依契約及核定之送審文件管制一覽表的期限提送監造計畫、整體施工計畫、品質計畫、各項保證金、工程保險等相關文件</t>
  </si>
  <si>
    <t xml:space="preserve">下列敘述何者正確：</t>
  </si>
  <si>
    <t xml:space="preserve">契約變更以機關公文通知即為有效;</t>
  </si>
  <si>
    <t xml:space="preserve">廠商履約結果涉及智慧財產權者，機關應取得全部權利;</t>
  </si>
  <si>
    <t xml:space="preserve">機關對於廠商及其人員因履約所致之人體傷亡或財物損失，不負賠償責任;</t>
  </si>
  <si>
    <t xml:space="preserve">機關應就廠商向保險人索賠所費時間給予延長履約期限</t>
  </si>
  <si>
    <t xml:space="preserve">下列有關契約之規定何者不正確？</t>
  </si>
  <si>
    <t xml:space="preserve">工程未經完成驗收前，所有已完成之工程及到場之材料、機具、設備，包括機關供給及廠商自備者，均由廠商依契約規定負責保管;</t>
  </si>
  <si>
    <t xml:space="preserve">工程自驗收合格之日起，由廠商負責保固，保固期內發現瑕疵，應由廠商於機關指定之期限內負責免費無條件改正;</t>
  </si>
  <si>
    <t xml:space="preserve">保固期內發現瑕疵，廠商逾期不為改正者，機關得逕為處理，所需費用，由廠商負擔，或動用保固保證金逕為處理，不足時向廠商追償;</t>
  </si>
  <si>
    <t xml:space="preserve">機關對於廠商及其人員因履約所致之人體傷亡或財物損失，負賠償責任</t>
  </si>
  <si>
    <t xml:space="preserve">下列各項情形發生時主張機關應賠償承攬人之損害賠償是不正確：</t>
  </si>
  <si>
    <t xml:space="preserve">因政策變更，廠商依契約繼續履行反而不符公共利益者，機關得終止或解除部分或全部契約;</t>
  </si>
  <si>
    <t xml:space="preserve">因可歸責於廠商之事由依契約規定終止或解除契約者，機關宜賠償承攬人;</t>
  </si>
  <si>
    <t xml:space="preserve">因可歸責於機關得依契約終止或解除部分或全部契約，機關應賠償承攬人因契約終止或解除而生之損害;</t>
  </si>
  <si>
    <t xml:space="preserve">工作未完成前，定作人得隨時終止契約</t>
  </si>
  <si>
    <t xml:space="preserve">下列何者為非？</t>
  </si>
  <si>
    <t xml:space="preserve">工程保證包括履約保證、差額保證、預付款還款保證、保固保證等</t>
  </si>
  <si>
    <t xml:space="preserve">保證金應由廠商以現金、金融機構簽發之本票或支票、保付支票、郵政匯票、無記名政府公債、設定質權之金融機構定期存款單、銀行開發或保兌之不可撤銷擔保信用狀繳納，或取具銀行之書面連帶保證、保險公司之連帶保證保險單為之</t>
  </si>
  <si>
    <t xml:space="preserve">招標文件中規定，同一廠商同時作為各機關採購契約之連帶保證廠商者，以二契約為限</t>
  </si>
  <si>
    <t xml:space="preserve">招標文件中規定優良廠商應繳納之押標金、履約保證金或保固保證金金額得予減收，其額度以不逾原定應繳總額之50%以內為限;繳納後方為優良廠商者，溯及適用減收規定</t>
  </si>
  <si>
    <t xml:space="preserve">廠商所提之施工計畫應依職業安全衛生法有關安全衛生之規定辦理之敘述何者錯誤？</t>
  </si>
  <si>
    <t xml:space="preserve">營繕工程如屬公告指定之營造工程危險性工作場所者，廠商應於工程施工前一個月填具申請書，並檢附相關必要之資料及文件，向當地檢查機構申請審查</t>
  </si>
  <si>
    <t xml:space="preserve">廠商應按工程需求，量化編列；無法量化項目得採一式編列</t>
  </si>
  <si>
    <t xml:space="preserve">屬危險性工作場所之營造工程，廠商應於施工前向機關提送包含職業安全衛生管理計畫之施工計畫書時應副送乙份至當地勞動檢查機構備查</t>
  </si>
  <si>
    <t xml:space="preserve">廠商所提之施工計畫，應包括職業安全衛生管理計畫及繪製相關設施之施工詳圖等項目，估驗時應確實依廠商實際施作之數量辦理估驗，以落實勞安之目標</t>
  </si>
  <si>
    <t xml:space="preserve">機關業於招標文件標示屬於主要部分或應由得標廠商自行履行之部分，得標廠商不得轉包</t>
  </si>
  <si>
    <t xml:space="preserve">發現得標廠商將招標文件標示屬於主要部分或應由得標廠商自行履行之部分交其他廠商執行者，機關得依採購法第66條及契約規定解除契約、終止契約或沒收保證金，並得要求損害賠償</t>
  </si>
  <si>
    <t xml:space="preserve">其經發現者，逕依政府採購法第103條規定刊登政府採購公報辦理不良廠商停權公告</t>
  </si>
  <si>
    <t xml:space="preserve">招標文件標示或依其他法規規定應由得標廠商自行履行之部分，得標廠商不得轉包</t>
  </si>
  <si>
    <t xml:space="preserve">下列何者錯誤？</t>
  </si>
  <si>
    <t xml:space="preserve">工程主管或主辦機關於勘驗、查驗或驗收工程時，營造業之工地主任得在現場說明，並視工程規模於工程查驗文件簽名或蓋章</t>
  </si>
  <si>
    <t xml:space="preserve">民法規定承攬人因執行承攬事項，不法侵害他人之權利者，定作人不負損害賠償責任但定作人於定作或指示有過失者，不在此限</t>
  </si>
  <si>
    <t xml:space="preserve">廠商應對其工地作業及施工方法之適當性、可靠性及安全性負完全責任</t>
  </si>
  <si>
    <t xml:space="preserve">專任工程人員依營造業法第35條規定，督察按圖施工、解決施工技術問題等</t>
  </si>
  <si>
    <t xml:space="preserve">技術顧問公司承接技術業務，應依規定交由相關科別執業技師負責辦理，下列何者錯誤？</t>
  </si>
  <si>
    <t xml:space="preserve">技師執行簽證，應親自為之，並僅得就本人或在本人監督下完成之工作為簽證</t>
  </si>
  <si>
    <t xml:space="preserve">涉及現場作業者，技師應親自赴現場實地查核後，始得為之</t>
  </si>
  <si>
    <t xml:space="preserve">技師執行簽證時，應於所製作之圖樣、書表及簽證報告上簽署，並加蓋技師執業圖記建築師受委託辦理建築物之設計，應負該工程設計之責任</t>
  </si>
  <si>
    <t xml:space="preserve">受委託監造者，應負該工程施工之責任，有關建築物結構與設備等專業工程部分，交由建築師負責辦理</t>
  </si>
  <si>
    <t xml:space="preserve">刊登於政府採購公報受停權處分之廠商，在停權期間內，下列敘述何者正確？</t>
  </si>
  <si>
    <t xml:space="preserve">不得參加投標</t>
  </si>
  <si>
    <t xml:space="preserve">不得作為決標對象或分包廠商</t>
  </si>
  <si>
    <t xml:space="preserve">不得作為採購契約之連帶保證廠商</t>
  </si>
  <si>
    <t xml:space="preserve">機關通知廠商變更契約，廠商於機關接受其所提出須變更之相關文件前，不得自行變更契約；</t>
  </si>
  <si>
    <t xml:space="preserve">機關於接受廠商所提出須變更之事項前即請求廠商先行施作，其後如未依原通知辦理契約變更者，應補償廠商所增加之必要費用；</t>
  </si>
  <si>
    <t xml:space="preserve">各類採購契約以採用主管機關訂定之範本為原則，其要項及內容由主管機關參考國際及國內慣例定之；</t>
  </si>
  <si>
    <t xml:space="preserve">機關以正式公文通知廠商變更契約，縱廠商表示反對，契約變更仍生效力</t>
  </si>
  <si>
    <t xml:space="preserve">下列何者非公共工程履約管理的範疇？</t>
  </si>
  <si>
    <t xml:space="preserve">風險管理，</t>
  </si>
  <si>
    <t xml:space="preserve">履約爭議，</t>
  </si>
  <si>
    <t xml:space="preserve">營運管理，</t>
  </si>
  <si>
    <t xml:space="preserve">界面整合</t>
  </si>
  <si>
    <t xml:space="preserve">關於工程結算規定，下列何者有誤？</t>
  </si>
  <si>
    <t xml:space="preserve">工程之個別項目實作數量較契約所定數量增加達30%以上時，其逾30%之部分，應以契約變更合理調整契約單價及計算契約價金</t>
  </si>
  <si>
    <t xml:space="preserve">統包工程契約之結算，契約價金詳細表，如有變更，經雙方同意者，得於契約總價不變下調整流用</t>
  </si>
  <si>
    <t xml:space="preserve">機關應於驗收完畢後30日內填具驗收證明書，但有特殊情形必須延期，須經機關首長或其授權人員核准</t>
  </si>
  <si>
    <t xml:space="preserve">經得標廠商同意於第3頁填列分包部分資料者，該結算驗收證明書並同時副知該等分包廠商，且不影響得標廠商依政府採購法令規定參與政府工程採購投標之經驗或實績</t>
  </si>
  <si>
    <t xml:space="preserve">關於工程驗收之規定，下列何者有誤？</t>
  </si>
  <si>
    <t xml:space="preserve">無初驗程序者，除契約另有規定者外，機關應於接獲廠商通知備驗或可得驗收之程序完成後30日內辦理驗收，並作成驗收紀錄</t>
  </si>
  <si>
    <t xml:space="preserve">有初驗程序者，初驗合格後，除契約另有規定者外，機關應於30日內辦理驗收，並作成驗收紀錄</t>
  </si>
  <si>
    <t xml:space="preserve">機關應依「公共工程施工廠商履約情形計分要點」於工程驗收完成後15日內，將完整之計分事實資料填報於工程會「公共工程標案管理系統」，並辦理計分作業</t>
  </si>
  <si>
    <t xml:space="preserve">工程部分竣工後，如有部分先行使用之必要或已履約之部分有減損滅失之虞者，應先就該部分辦理驗收或分段查驗供驗收之用</t>
  </si>
  <si>
    <t xml:space="preserve">關於工程竣工、驗收之規定，下列何者有誤？</t>
  </si>
  <si>
    <t xml:space="preserve">機關應於收到廠商竣工日期書面通知之日起7日內會同監造單位及廠商，確定是否竣工，</t>
  </si>
  <si>
    <t xml:space="preserve">除契約另有規定者外，監造單位應於竣工後7日內，將竣工圖表、工程結算明細表及契約規定之其他資料，送請機關審核，</t>
  </si>
  <si>
    <t xml:space="preserve">有初驗程序者，機關應於收受全部資料之日起30日內辦理初驗，並作成初驗紀錄，</t>
  </si>
  <si>
    <t xml:space="preserve">關於品質缺失懲罰性違約金之規定，下列何者有誤？</t>
  </si>
  <si>
    <t xml:space="preserve">依查核小組查核之品質缺失扣點數，巨額工程施工廠商每點罰8000元，</t>
  </si>
  <si>
    <t xml:space="preserve">依查核小組查核之品質缺失扣點數，新臺幣1,000萬元以上未達查核金額之工程每點罰2,000元，</t>
  </si>
  <si>
    <t xml:space="preserve">查核成績為丙等且可歸責於廠商者，其品質缺失懲罰性違約金金額，另需加計該工程品管費用之10%(招標時契約未載明者)，</t>
  </si>
  <si>
    <t xml:space="preserve">依查核小組查核之品質缺失扣點數，查核金額以上未達巨額之工程每點罰4,000元</t>
  </si>
  <si>
    <t xml:space="preserve">關於公共工程施工期間之職業安全衛生規定，下列何者有誤？</t>
  </si>
  <si>
    <t xml:space="preserve">安全衛生設施應予以量化並據以估驗計價</t>
  </si>
  <si>
    <t xml:space="preserve">屬丁類營造工地危險性工作場所者，應向工程主辦機關申請審查合格後方可作業</t>
  </si>
  <si>
    <t xml:space="preserve">工程開工前，廠商向機關報備工作場所人員名單(含分包廠商員工)，並提報該等人員之勞工保險資料及依職業安全衛生法規應完成之安全衛生教育訓練紀錄送機關備查，方可使勞工進場</t>
  </si>
  <si>
    <t xml:space="preserve">施工廠商應於施工計畫(或安全生管理計畫)之施工程序明定安全衛生查驗點</t>
  </si>
  <si>
    <t xml:space="preserve">關於設計變更之規定，下列何者正確？</t>
  </si>
  <si>
    <t xml:space="preserve">新增工作中如包括原有契約項目，廠商即應依原單價施作，不得要求議價，</t>
  </si>
  <si>
    <t xml:space="preserve">設計變更工期之核計，可將原工期按變更設計增加金額與原契約金額之比例，等比例增加，無須考量是否屬要徑，</t>
  </si>
  <si>
    <t xml:space="preserve">經契約雙方確定之設計變更新增工程項目，未經議價程序議定單價者，不得辦理估驗計價，</t>
  </si>
  <si>
    <t xml:space="preserve">設計變更在未完成議價程序前，機關得於設計變更方案核定後，協調廠商先行施工</t>
  </si>
  <si>
    <t xml:space="preserve">依政府採購法第73-1條機關辦理工程採購之付款及審核程序之規定，下列何者有誤？</t>
  </si>
  <si>
    <t xml:space="preserve">機關應於廠商提出估驗或階段完成之證明文件後，15日內完成審核程序，</t>
  </si>
  <si>
    <t xml:space="preserve">依規定期限完成審核程序，於接到廠商提出之請款單據後，15日內付款，</t>
  </si>
  <si>
    <t xml:space="preserve">應向上級機關申請核撥補助款者，付款期限為45日，</t>
  </si>
  <si>
    <t xml:space="preserve">上開日數日數係指實際工作日，不包括例假日、特定假日及退請受款人補正之日數</t>
  </si>
  <si>
    <t xml:space="preserve">有關應由技師本人簽署並加蓋技師執業圖記之圖樣、書表及技師簽署方式，下列何者有誤？</t>
  </si>
  <si>
    <t xml:space="preserve">細部設計圖應逐頁簽署並加蓋技師執業圖記</t>
  </si>
  <si>
    <t xml:space="preserve">工程預算書應逐頁簽署並加蓋技師執業圖記</t>
  </si>
  <si>
    <t xml:space="preserve">測量、地質調查及其他補充調查或勘測報告應於封面或內容首頁簽署並加蓋技師執業圖記</t>
  </si>
  <si>
    <t xml:space="preserve">施工廠商之品質計畫於相關審查意見表(單)簽署並加蓋技師執業圖記</t>
  </si>
  <si>
    <t xml:space="preserve">關於施工品管之規定，下列何者有誤？</t>
  </si>
  <si>
    <t xml:space="preserve">招標文件應明訂廠商於開工前將重要施工項目，由廠商專任工程人員負責指導施工人員相關作業程序並於工地現場製作樣品</t>
  </si>
  <si>
    <t xml:space="preserve">廠商應由品管人員按各類自主檢查表，執行第一層級品管，並於檢查完畢後當場簽名</t>
  </si>
  <si>
    <t xml:space="preserve">屬機關或監造單位指定之重要施工項目、隱蔽部分之施工項目或檢驗停留點，應報經監造單位核備或抽(查)驗合格後，始得進行次一階段之施工項目</t>
  </si>
  <si>
    <t xml:space="preserve">品管人員對品質缺失探討原因採取矯正與預防措施，除追蹤缺失之限期改善外，並回饋至制度面，防止缺失重複發生</t>
  </si>
  <si>
    <t xml:space="preserve">關於三級品管之規定，下列何者有誤？</t>
  </si>
  <si>
    <t xml:space="preserve">施工廠商之自主檢查屬一級品管</t>
  </si>
  <si>
    <t xml:space="preserve">監造單位之抽(查)驗屬二級品管</t>
  </si>
  <si>
    <t xml:space="preserve">主辦機關之上級機關設置工程督導小組辦理工程督導，屬三級品管</t>
  </si>
  <si>
    <t xml:space="preserve">主管機關設置施工查核小組辦理品質查核，屬三級品管</t>
  </si>
  <si>
    <t xml:space="preserve">關於監造計畫及品質計畫之規定，下列何者有誤？</t>
  </si>
  <si>
    <t xml:space="preserve">品質計畫應於開工前核定，提供監造單位作為編製監造計畫依據，</t>
  </si>
  <si>
    <t xml:space="preserve">監造計畫及品質計畫的內容項目，依採購金額級距不同，有不同的規定，</t>
  </si>
  <si>
    <t xml:space="preserve">分項品質計畫之內容，除機關及監造單位另有規定外，應包括施工要領、品質管理標準、材料及施工檢驗程序、自主檢查表等項目，</t>
  </si>
  <si>
    <t xml:space="preserve">工程具機電設備者，品質計畫應增訂設備功能運轉檢測程序及標準</t>
  </si>
  <si>
    <t xml:space="preserve">有關廠商延誤履約進度之處理方式，下列何者有誤？</t>
  </si>
  <si>
    <t xml:space="preserve">如因可歸責於廠商之事由，致進度落後達一定程度，且經通知限期改善後未積極改善者，機關得依契約約定暫停核發估驗計價款，</t>
  </si>
  <si>
    <t xml:space="preserve">如廠商依提報趕工計畫實施後，其進度落後情形經機關認定已有改善者，機關得恢復核發估驗計價款，</t>
  </si>
  <si>
    <t xml:space="preserve">機關通知連帶保證廠商履約時，得考量公共利益及連帶保證廠商申請之動員進場施工時間，重新核定工期，</t>
  </si>
  <si>
    <t xml:space="preserve">如施工進度已達百分之七十五以上，機關得經評估後，同意廠商及分包廠商共同申請採監督付款方式，由分包廠商繼續施工</t>
  </si>
  <si>
    <t xml:space="preserve">關於履約期間之計算，下列何者有誤？</t>
  </si>
  <si>
    <t xml:space="preserve">以限期完成者，星期例假日、國定假日或其他休息日均應計入，</t>
  </si>
  <si>
    <t xml:space="preserve">以日曆天計者，星期例假日、國定假日或其他休息日均應計入，</t>
  </si>
  <si>
    <t xml:space="preserve">以日曆天計者，星期例假日、國定假日或其他休息日，是否計入，應於契約中明定，</t>
  </si>
  <si>
    <t xml:space="preserve">以工作天計者星期例假日、國定假日或其他休息日，均應不計入</t>
  </si>
  <si>
    <t xml:space="preserve">關於開工前準備事項，下列何者有誤？</t>
  </si>
  <si>
    <t xml:space="preserve">由機關邀集(專案管理單位)、規劃、設計、監造單位、廠商召開施工前說明會</t>
  </si>
  <si>
    <t xml:space="preserve">機關應要求監造單位及廠商依契約及核定之送審文件管制一覽表的期限提送監造計畫、整體施工計畫、品質計畫、各項保證金、工程保險等相關文件</t>
  </si>
  <si>
    <t xml:space="preserve">機關通知廠商於契約約定限期內申報開工，申報開工時廠商應提出「開工報告書」</t>
  </si>
  <si>
    <t xml:space="preserve">屬建築工程者，起造人自領得建造執照或雜項執照之日起，應於一年內開工</t>
  </si>
  <si>
    <t xml:space="preserve">下列何者非屬履約爭議之處理方式？</t>
  </si>
  <si>
    <t xml:space="preserve">向採購申訴審議委員會提出申訴</t>
  </si>
  <si>
    <t xml:space="preserve">向鄉、鎮、市公所所設調解委員會聲請調解</t>
  </si>
  <si>
    <t xml:space="preserve">於個案契約約定由契約雙方自行成立「爭議處理小組」進行爭議處理</t>
  </si>
  <si>
    <t xml:space="preserve">經雙方合意向仲裁機構申請調解或訂立仲裁協議後提付仲裁</t>
  </si>
  <si>
    <t xml:space="preserve">關於逾期違約金之規定，下列何者有誤？</t>
  </si>
  <si>
    <t xml:space="preserve">為損害賠償額預定性違約金</t>
  </si>
  <si>
    <t xml:space="preserve">一般以每日依契約價金千分之一計算</t>
  </si>
  <si>
    <t xml:space="preserve">逾期違約金之總額以契約價金總額之30％為上限</t>
  </si>
  <si>
    <t xml:space="preserve">約定之違約金過高者，法院得減至相當之數額</t>
  </si>
  <si>
    <t xml:space="preserve">依公共工程施工品質管理作業要點規定，下列何者非廠商專任工程人員工作重點？</t>
  </si>
  <si>
    <t xml:space="preserve">依據營造業法第35條規定，辦理相關工作</t>
  </si>
  <si>
    <t xml:space="preserve">工地之人員、機具及材料等管理，並按日填報施工日誌</t>
  </si>
  <si>
    <t xml:space="preserve">查核小組辦理查核時，廠商之專任工程人員應配合到場說明</t>
  </si>
  <si>
    <t xml:space="preserve">督察品管人員及現場施工人員，落實執行品質計畫，並填具督察紀錄表</t>
  </si>
  <si>
    <t xml:space="preserve">驗收人員及其權責，何者為會驗人員</t>
  </si>
  <si>
    <t xml:space="preserve">主(會)計人員，</t>
  </si>
  <si>
    <t xml:space="preserve">施工廠商，</t>
  </si>
  <si>
    <t xml:space="preserve">監造單位人員，</t>
  </si>
  <si>
    <t xml:space="preserve">接管或使用機關人員</t>
  </si>
  <si>
    <t xml:space="preserve">驗收結果與規定不符，而不妨礙安全及使用需求，亦無減少通常效用或契約預定效用，經機關檢討不必拆換或拆換確有困難者，</t>
  </si>
  <si>
    <t xml:space="preserve">不得採取減價驗收方式處理，</t>
  </si>
  <si>
    <t xml:space="preserve">得於必要時減價收受方式處理，</t>
  </si>
  <si>
    <t xml:space="preserve">不減價亦可，</t>
  </si>
  <si>
    <t xml:space="preserve">履約管理、契約管理、驗收</t>
  </si>
  <si>
    <t xml:space="preserve">竣工計價，監造單位應於結算驗收證明書機關核定後，檢具竣工計價單、竣工照片，連同廠商保固保證金、統一發票或收據，陳報機關於幾日內完成付款手續？</t>
  </si>
  <si>
    <r>
      <rPr>
        <sz val="10"/>
        <rFont val="Arial"/>
        <family val="0"/>
        <charset val="1"/>
      </rPr>
      <t xml:space="preserve">3</t>
    </r>
    <r>
      <rPr>
        <sz val="10"/>
        <rFont val="Noto Sans CJK SC"/>
        <family val="2"/>
      </rPr>
      <t xml:space="preserve">日內</t>
    </r>
  </si>
  <si>
    <r>
      <rPr>
        <sz val="10"/>
        <rFont val="Arial"/>
        <family val="0"/>
        <charset val="1"/>
      </rPr>
      <t xml:space="preserve">7</t>
    </r>
    <r>
      <rPr>
        <sz val="10"/>
        <rFont val="Noto Sans CJK SC"/>
        <family val="2"/>
      </rPr>
      <t xml:space="preserve">日內</t>
    </r>
  </si>
  <si>
    <r>
      <rPr>
        <sz val="10"/>
        <rFont val="Arial"/>
        <family val="0"/>
        <charset val="1"/>
      </rPr>
      <t xml:space="preserve">15</t>
    </r>
    <r>
      <rPr>
        <sz val="10"/>
        <rFont val="Noto Sans CJK SC"/>
        <family val="2"/>
      </rPr>
      <t xml:space="preserve">日內</t>
    </r>
  </si>
  <si>
    <r>
      <rPr>
        <sz val="10"/>
        <rFont val="Arial"/>
        <family val="0"/>
        <charset val="1"/>
      </rPr>
      <t xml:space="preserve">30</t>
    </r>
    <r>
      <rPr>
        <sz val="10"/>
        <rFont val="Noto Sans CJK SC"/>
        <family val="2"/>
      </rPr>
      <t xml:space="preserve">日內</t>
    </r>
  </si>
  <si>
    <t xml:space="preserve">履約管理、監造、驗收</t>
  </si>
  <si>
    <t xml:space="preserve">有初驗程序者，機關應於收受全部資料之日起</t>
  </si>
  <si>
    <r>
      <rPr>
        <sz val="10"/>
        <rFont val="Arial"/>
        <family val="0"/>
        <charset val="1"/>
      </rPr>
      <t xml:space="preserve">10</t>
    </r>
    <r>
      <rPr>
        <sz val="10"/>
        <rFont val="Noto Sans CJK SC"/>
        <family val="2"/>
      </rPr>
      <t xml:space="preserve">日內</t>
    </r>
  </si>
  <si>
    <r>
      <rPr>
        <sz val="10"/>
        <rFont val="Arial"/>
        <family val="0"/>
        <charset val="1"/>
      </rPr>
      <t xml:space="preserve">20</t>
    </r>
    <r>
      <rPr>
        <sz val="10"/>
        <rFont val="Noto Sans CJK SC"/>
        <family val="2"/>
      </rPr>
      <t xml:space="preserve">日內</t>
    </r>
  </si>
  <si>
    <r>
      <rPr>
        <sz val="10"/>
        <rFont val="Arial"/>
        <family val="0"/>
        <charset val="1"/>
      </rPr>
      <t xml:space="preserve">30</t>
    </r>
    <r>
      <rPr>
        <sz val="10"/>
        <rFont val="Noto Sans CJK SC"/>
        <family val="2"/>
      </rPr>
      <t xml:space="preserve">日內辦理初驗，並作成初驗紀錄</t>
    </r>
  </si>
  <si>
    <t xml:space="preserve">工程竣工後，除契約另有規定者外，監造單位應於竣工後</t>
  </si>
  <si>
    <t xml:space="preserve">3</t>
  </si>
  <si>
    <t xml:space="preserve">7</t>
  </si>
  <si>
    <t xml:space="preserve">15</t>
  </si>
  <si>
    <r>
      <rPr>
        <sz val="10"/>
        <rFont val="Arial"/>
        <family val="0"/>
        <charset val="1"/>
      </rPr>
      <t xml:space="preserve">30</t>
    </r>
    <r>
      <rPr>
        <sz val="10"/>
        <rFont val="Noto Sans CJK SC"/>
        <family val="2"/>
      </rPr>
      <t xml:space="preserve">日內，將竣工圖表、工程結算明細表及契約規定之其他資料，送請機關審核</t>
    </r>
  </si>
  <si>
    <t xml:space="preserve">履約管理、契約管理、監造</t>
  </si>
  <si>
    <t xml:space="preserve">契約約定之採購標的，得標廠商其有下列情形之一者，廠商得敘明理由，檢附規格、功能、效益及價格比較表，徵得機關書面同意後，以其他規格、功能及效益相同或較優者代之。但不得據以增加契約價金。其因而減省廠商履約費用者，應自契約價金中扣除</t>
  </si>
  <si>
    <t xml:space="preserve">所交之工程標的不符契約規定</t>
  </si>
  <si>
    <t xml:space="preserve">廠商所施作之工法不符契約規定</t>
  </si>
  <si>
    <t xml:space="preserve">契約原標示之廠牌或型號不再製造或供應</t>
  </si>
  <si>
    <t xml:space="preserve">所使用之材料不符契約規定要求減價收受</t>
  </si>
  <si>
    <t xml:space="preserve">起造人因故不能於自領得建造執照或雜項執照之日起6個月內開工時，應敘明原因，申請展期1次，期限為</t>
  </si>
  <si>
    <t xml:space="preserve">2</t>
  </si>
  <si>
    <r>
      <rPr>
        <sz val="10"/>
        <rFont val="Arial"/>
        <family val="0"/>
        <charset val="1"/>
      </rPr>
      <t xml:space="preserve">6</t>
    </r>
    <r>
      <rPr>
        <sz val="10"/>
        <rFont val="Noto Sans CJK SC"/>
        <family val="2"/>
      </rPr>
      <t xml:space="preserve">個月未依規定申請展期，或已逾展期期限仍未開工者，其建造執照或雜項執照自規定得展期之期限屆滿之日起，失其效力</t>
    </r>
  </si>
  <si>
    <t xml:space="preserve">起造人自接獲通知領取建造執照或雜項執照之日起，逾</t>
  </si>
  <si>
    <r>
      <rPr>
        <sz val="10"/>
        <rFont val="Arial"/>
        <family val="0"/>
        <charset val="1"/>
      </rPr>
      <t xml:space="preserve">6 </t>
    </r>
    <r>
      <rPr>
        <sz val="10"/>
        <rFont val="Noto Sans CJK SC"/>
        <family val="2"/>
      </rPr>
      <t xml:space="preserve">個月未領取者，主管建築機關得將該執照予以廢止</t>
    </r>
  </si>
  <si>
    <t xml:space="preserve">採購之驗收，有初驗程序者，初驗合格後，除契約另有規定者外，機關應於多少日內辦理驗收，並作成驗收紀錄</t>
  </si>
  <si>
    <r>
      <rPr>
        <sz val="10"/>
        <rFont val="Arial"/>
        <family val="0"/>
        <charset val="1"/>
      </rPr>
      <t xml:space="preserve">15</t>
    </r>
    <r>
      <rPr>
        <sz val="10"/>
        <rFont val="Noto Sans CJK SC"/>
        <family val="2"/>
      </rPr>
      <t xml:space="preserve">日內，</t>
    </r>
  </si>
  <si>
    <r>
      <rPr>
        <sz val="10"/>
        <rFont val="Arial"/>
        <family val="0"/>
        <charset val="1"/>
      </rPr>
      <t xml:space="preserve">20</t>
    </r>
    <r>
      <rPr>
        <sz val="10"/>
        <rFont val="Noto Sans CJK SC"/>
        <family val="2"/>
      </rPr>
      <t xml:space="preserve">日內，</t>
    </r>
  </si>
  <si>
    <r>
      <rPr>
        <sz val="10"/>
        <rFont val="Arial"/>
        <family val="0"/>
        <charset val="1"/>
      </rPr>
      <t xml:space="preserve">25</t>
    </r>
    <r>
      <rPr>
        <sz val="10"/>
        <rFont val="Noto Sans CJK SC"/>
        <family val="2"/>
      </rPr>
      <t xml:space="preserve">日內，</t>
    </r>
  </si>
  <si>
    <t xml:space="preserve">查核成績列為丙等者，機關除應依契約約定處理外，並依個案缺失情節檢討人員之責任歸屬後，通知廠商依契約撤換</t>
  </si>
  <si>
    <t xml:space="preserve">工地負責人</t>
  </si>
  <si>
    <t xml:space="preserve">安全衛生人員</t>
  </si>
  <si>
    <t xml:space="preserve">履約管理、契約管理、工程查核</t>
  </si>
  <si>
    <t xml:space="preserve">風險管理計畫之內容應包括那些事項？</t>
  </si>
  <si>
    <t xml:space="preserve">風險因素之評估，</t>
  </si>
  <si>
    <t xml:space="preserve">風險處理對策，</t>
  </si>
  <si>
    <t xml:space="preserve">應變流程及監控措施，</t>
  </si>
  <si>
    <t xml:space="preserve">以上均是</t>
  </si>
  <si>
    <t xml:space="preserve">防止崩塌、倒塌施工開挖超過幾公尺必須裝設擋土支撐等？</t>
  </si>
  <si>
    <r>
      <rPr>
        <sz val="10"/>
        <rFont val="Arial"/>
        <family val="0"/>
        <charset val="1"/>
      </rPr>
      <t xml:space="preserve">1</t>
    </r>
    <r>
      <rPr>
        <sz val="10"/>
        <rFont val="Noto Sans CJK SC"/>
        <family val="2"/>
      </rPr>
      <t xml:space="preserve">公尺</t>
    </r>
  </si>
  <si>
    <r>
      <rPr>
        <sz val="10"/>
        <rFont val="Arial"/>
        <family val="0"/>
        <charset val="1"/>
      </rPr>
      <t xml:space="preserve">1.5</t>
    </r>
    <r>
      <rPr>
        <sz val="10"/>
        <rFont val="Noto Sans CJK SC"/>
        <family val="2"/>
      </rPr>
      <t xml:space="preserve">公尺</t>
    </r>
  </si>
  <si>
    <r>
      <rPr>
        <sz val="10"/>
        <rFont val="Arial"/>
        <family val="0"/>
        <charset val="1"/>
      </rPr>
      <t xml:space="preserve">2</t>
    </r>
    <r>
      <rPr>
        <sz val="10"/>
        <rFont val="Noto Sans CJK SC"/>
        <family val="2"/>
      </rPr>
      <t xml:space="preserve">公尺</t>
    </r>
  </si>
  <si>
    <r>
      <rPr>
        <sz val="10"/>
        <rFont val="Arial"/>
        <family val="0"/>
        <charset val="1"/>
      </rPr>
      <t xml:space="preserve">2.5</t>
    </r>
    <r>
      <rPr>
        <sz val="10"/>
        <rFont val="Noto Sans CJK SC"/>
        <family val="2"/>
      </rPr>
      <t xml:space="preserve">公尺</t>
    </r>
  </si>
  <si>
    <t xml:space="preserve">交維計畫先送請那個單位審查核可？</t>
  </si>
  <si>
    <t xml:space="preserve">主辦單位</t>
  </si>
  <si>
    <t xml:space="preserve">交通主管單位</t>
  </si>
  <si>
    <t xml:space="preserve">規劃單位</t>
  </si>
  <si>
    <t xml:space="preserve">履約管理、工程查核</t>
  </si>
  <si>
    <t xml:space="preserve">機電系統工程各關連性廠商在各工項施工前，應提出設備元件安裝計畫(稱為初步安裝計畫)，由什麼廠商綜整出總和的安裝計畫或是安裝時程，進而繪製施工網圖？</t>
  </si>
  <si>
    <t xml:space="preserve">機電廠商</t>
  </si>
  <si>
    <t xml:space="preserve">土建廠商</t>
  </si>
  <si>
    <t xml:space="preserve">水電廠商</t>
  </si>
  <si>
    <t xml:space="preserve">機械廠商</t>
  </si>
  <si>
    <t xml:space="preserve">如有新增工程項目，其變更原則核准有案者，未經議價前，機關完成施工預算後，經機關核定之修正契約總價表預估單價，依契約約定之百分比估驗計價，契約未明訂百分比者，得先按擬定單價幾成估驗，俟奉核定並與廠商協議後，再行調整計價</t>
  </si>
  <si>
    <r>
      <rPr>
        <sz val="10"/>
        <rFont val="Arial"/>
        <family val="0"/>
        <charset val="1"/>
      </rPr>
      <t xml:space="preserve">6</t>
    </r>
    <r>
      <rPr>
        <sz val="10"/>
        <rFont val="Noto Sans CJK SC"/>
        <family val="2"/>
      </rPr>
      <t xml:space="preserve">成，</t>
    </r>
  </si>
  <si>
    <r>
      <rPr>
        <sz val="10"/>
        <rFont val="Arial"/>
        <family val="0"/>
        <charset val="1"/>
      </rPr>
      <t xml:space="preserve">7</t>
    </r>
    <r>
      <rPr>
        <sz val="10"/>
        <rFont val="Noto Sans CJK SC"/>
        <family val="2"/>
      </rPr>
      <t xml:space="preserve">成，</t>
    </r>
  </si>
  <si>
    <r>
      <rPr>
        <sz val="10"/>
        <rFont val="Arial"/>
        <family val="0"/>
        <charset val="1"/>
      </rPr>
      <t xml:space="preserve">8</t>
    </r>
    <r>
      <rPr>
        <sz val="10"/>
        <rFont val="Noto Sans CJK SC"/>
        <family val="2"/>
      </rPr>
      <t xml:space="preserve">成，</t>
    </r>
  </si>
  <si>
    <r>
      <rPr>
        <sz val="10"/>
        <rFont val="Arial"/>
        <family val="0"/>
        <charset val="1"/>
      </rPr>
      <t xml:space="preserve">9</t>
    </r>
    <r>
      <rPr>
        <sz val="10"/>
        <rFont val="Noto Sans CJK SC"/>
        <family val="2"/>
      </rPr>
      <t xml:space="preserve">成</t>
    </r>
  </si>
  <si>
    <t xml:space="preserve">品質計畫之內容除機關及監造單位另有規定外，新臺幣1千萬元以上未達查核金額之工程應包含那些內容？</t>
  </si>
  <si>
    <t xml:space="preserve">品質管理標準，</t>
  </si>
  <si>
    <t xml:space="preserve">材料及施工檢驗程序，</t>
  </si>
  <si>
    <t xml:space="preserve">自主檢查表及文件紀錄管理系統等，</t>
  </si>
  <si>
    <t xml:space="preserve">履約管理、監造、工程查核</t>
  </si>
  <si>
    <t xml:space="preserve">為達成工程品質目標，由廠商建立什麼系統？</t>
  </si>
  <si>
    <t xml:space="preserve">施工品質查證系統</t>
  </si>
  <si>
    <t xml:space="preserve">施工品質管制系統</t>
  </si>
  <si>
    <t xml:space="preserve">工程施工查核小組</t>
  </si>
  <si>
    <t xml:space="preserve">廠商延誤履約進度案件，如施工進度已達多少%以上，機關得經評估後，同意廠商及分包廠商共同申請採監督付款方式，由分包廠商繼續施工</t>
  </si>
  <si>
    <r>
      <rPr>
        <sz val="10"/>
        <rFont val="Arial"/>
        <family val="0"/>
        <charset val="1"/>
      </rPr>
      <t xml:space="preserve">65%</t>
    </r>
    <r>
      <rPr>
        <sz val="10"/>
        <rFont val="Noto Sans CJK SC"/>
        <family val="2"/>
      </rPr>
      <t xml:space="preserve">以上，</t>
    </r>
  </si>
  <si>
    <r>
      <rPr>
        <sz val="10"/>
        <rFont val="Arial"/>
        <family val="0"/>
        <charset val="1"/>
      </rPr>
      <t xml:space="preserve">70%</t>
    </r>
    <r>
      <rPr>
        <sz val="10"/>
        <rFont val="Noto Sans CJK SC"/>
        <family val="2"/>
      </rPr>
      <t xml:space="preserve">以上，</t>
    </r>
  </si>
  <si>
    <r>
      <rPr>
        <sz val="10"/>
        <rFont val="Arial"/>
        <family val="0"/>
        <charset val="1"/>
      </rPr>
      <t xml:space="preserve">75%</t>
    </r>
    <r>
      <rPr>
        <sz val="10"/>
        <rFont val="Noto Sans CJK SC"/>
        <family val="2"/>
      </rPr>
      <t xml:space="preserve">以上，</t>
    </r>
  </si>
  <si>
    <r>
      <rPr>
        <sz val="10"/>
        <rFont val="Arial"/>
        <family val="0"/>
        <charset val="1"/>
      </rPr>
      <t xml:space="preserve">80%</t>
    </r>
    <r>
      <rPr>
        <sz val="10"/>
        <rFont val="Noto Sans CJK SC"/>
        <family val="2"/>
      </rPr>
      <t xml:space="preserve">以上</t>
    </r>
  </si>
  <si>
    <t xml:space="preserve">履約期間之計算，以日曆天計者是否計入，應於契約中明定，是那些日子？</t>
  </si>
  <si>
    <t xml:space="preserve">星期例假日，</t>
  </si>
  <si>
    <t xml:space="preserve">國定假日，</t>
  </si>
  <si>
    <t xml:space="preserve">其他休息日，</t>
  </si>
  <si>
    <t xml:space="preserve">新建公有建築物之總造價在新台幣幾萬元以上者，應先取得候選綠建築證書，始得申報開工？</t>
  </si>
  <si>
    <r>
      <rPr>
        <sz val="10"/>
        <rFont val="Arial"/>
        <family val="0"/>
        <charset val="1"/>
      </rPr>
      <t xml:space="preserve">2000</t>
    </r>
    <r>
      <rPr>
        <sz val="10"/>
        <rFont val="Noto Sans CJK SC"/>
        <family val="2"/>
      </rPr>
      <t xml:space="preserve">萬元以上，</t>
    </r>
  </si>
  <si>
    <r>
      <rPr>
        <sz val="10"/>
        <rFont val="Arial"/>
        <family val="0"/>
        <charset val="1"/>
      </rPr>
      <t xml:space="preserve">3000</t>
    </r>
    <r>
      <rPr>
        <sz val="10"/>
        <rFont val="Noto Sans CJK SC"/>
        <family val="2"/>
      </rPr>
      <t xml:space="preserve">萬元以上，</t>
    </r>
  </si>
  <si>
    <r>
      <rPr>
        <sz val="10"/>
        <rFont val="Arial"/>
        <family val="0"/>
        <charset val="1"/>
      </rPr>
      <t xml:space="preserve">4000</t>
    </r>
    <r>
      <rPr>
        <sz val="10"/>
        <rFont val="Noto Sans CJK SC"/>
        <family val="2"/>
      </rPr>
      <t xml:space="preserve">萬元以上，</t>
    </r>
  </si>
  <si>
    <r>
      <rPr>
        <sz val="10"/>
        <rFont val="Arial"/>
        <family val="0"/>
        <charset val="1"/>
      </rPr>
      <t xml:space="preserve">5000</t>
    </r>
    <r>
      <rPr>
        <sz val="10"/>
        <rFont val="Noto Sans CJK SC"/>
        <family val="2"/>
      </rPr>
      <t xml:space="preserve">萬元以上</t>
    </r>
  </si>
  <si>
    <t xml:space="preserve">履約管理、綠建築</t>
  </si>
  <si>
    <t xml:space="preserve">開工前說明會，由機關邀集那些單位召開施工前說明會</t>
  </si>
  <si>
    <t xml:space="preserve">專案管理單位</t>
  </si>
  <si>
    <t xml:space="preserve">規劃、設計單位</t>
  </si>
  <si>
    <t xml:space="preserve">監造單位、廠商</t>
  </si>
  <si>
    <t xml:space="preserve">工程執行過程，涉及之單位包括機關、專案管理單位、設計單位、監造單位、廠商等，應建立幾層級品質管理機制？</t>
  </si>
  <si>
    <t xml:space="preserve">一層</t>
  </si>
  <si>
    <t xml:space="preserve">二層</t>
  </si>
  <si>
    <t xml:space="preserve">三層</t>
  </si>
  <si>
    <t xml:space="preserve">四層</t>
  </si>
  <si>
    <t xml:space="preserve">同一廠商同時作為各機關採購契約之連帶保證廠商者，以幾個契約為限？</t>
  </si>
  <si>
    <t xml:space="preserve">一個，</t>
  </si>
  <si>
    <t xml:space="preserve">二個，</t>
  </si>
  <si>
    <t xml:space="preserve">三個，</t>
  </si>
  <si>
    <t xml:space="preserve">四個</t>
  </si>
  <si>
    <t xml:space="preserve">逾期違約金，一般以每日依契約價金千分之一計算，逾期違約金之總額以契約價金總額之幾％為上限)扣抵？</t>
  </si>
  <si>
    <r>
      <rPr>
        <sz val="10"/>
        <rFont val="Arial"/>
        <family val="0"/>
        <charset val="1"/>
      </rPr>
      <t xml:space="preserve">10%</t>
    </r>
    <r>
      <rPr>
        <sz val="10"/>
        <rFont val="Noto Sans CJK SC"/>
        <family val="2"/>
      </rPr>
      <t xml:space="preserve">，</t>
    </r>
  </si>
  <si>
    <r>
      <rPr>
        <sz val="10"/>
        <rFont val="Arial"/>
        <family val="0"/>
        <charset val="1"/>
      </rPr>
      <t xml:space="preserve">15%</t>
    </r>
    <r>
      <rPr>
        <sz val="10"/>
        <rFont val="Noto Sans CJK SC"/>
        <family val="2"/>
      </rPr>
      <t xml:space="preserve">，</t>
    </r>
  </si>
  <si>
    <r>
      <rPr>
        <sz val="10"/>
        <rFont val="Arial"/>
        <family val="0"/>
        <charset val="1"/>
      </rPr>
      <t xml:space="preserve">20%</t>
    </r>
    <r>
      <rPr>
        <sz val="10"/>
        <rFont val="Noto Sans CJK SC"/>
        <family val="2"/>
      </rPr>
      <t xml:space="preserve">，</t>
    </r>
  </si>
  <si>
    <t xml:space="preserve">履約管理之目的為公共工程於有效的管理作業下，為使那些單位均能善盡契約責任？</t>
  </si>
  <si>
    <t xml:space="preserve">機關、專案管理單位</t>
  </si>
  <si>
    <t xml:space="preserve">設計、監造單位</t>
  </si>
  <si>
    <t xml:space="preserve">施工廠商</t>
  </si>
  <si>
    <t xml:space="preserve">因非可歸責於廠商的事由，接管單位有異議或藉故拒絕、拖延時，機關應負責處理，並在驗收合格後</t>
  </si>
  <si>
    <r>
      <rPr>
        <sz val="10"/>
        <rFont val="Arial"/>
        <family val="0"/>
        <charset val="1"/>
      </rPr>
      <t xml:space="preserve">30</t>
    </r>
    <r>
      <rPr>
        <sz val="10"/>
        <rFont val="Noto Sans CJK SC"/>
        <family val="2"/>
      </rPr>
      <t xml:space="preserve">日內處理完畢，否則應由機關自行接管</t>
    </r>
  </si>
  <si>
    <t xml:space="preserve">機關應於驗收完畢後</t>
  </si>
  <si>
    <t xml:space="preserve">10</t>
  </si>
  <si>
    <r>
      <rPr>
        <sz val="10"/>
        <rFont val="Arial"/>
        <family val="0"/>
        <charset val="1"/>
      </rPr>
      <t xml:space="preserve">30</t>
    </r>
    <r>
      <rPr>
        <sz val="10"/>
        <rFont val="Noto Sans CJK SC"/>
        <family val="2"/>
      </rPr>
      <t xml:space="preserve">日內，填具驗收證明書，並經主驗及監驗人員分別簽認</t>
    </r>
  </si>
  <si>
    <t xml:space="preserve">初驗合格後，除契約另有規定者外，機關應於</t>
  </si>
  <si>
    <t xml:space="preserve">20</t>
  </si>
  <si>
    <r>
      <rPr>
        <sz val="10"/>
        <rFont val="Arial"/>
        <family val="0"/>
        <charset val="1"/>
      </rPr>
      <t xml:space="preserve">30</t>
    </r>
    <r>
      <rPr>
        <sz val="10"/>
        <rFont val="Noto Sans CJK SC"/>
        <family val="2"/>
      </rPr>
      <t xml:space="preserve">日內辦理驗收，並作成驗收記錄</t>
    </r>
  </si>
  <si>
    <t xml:space="preserve">無初驗程序者，除契約另有規定外，機關應於接獲廠商通知備驗或可得驗收之程序完成後，幾日內辦理驗收，並做成驗收紀錄</t>
  </si>
  <si>
    <t xml:space="preserve">30</t>
  </si>
  <si>
    <r>
      <rPr>
        <sz val="10"/>
        <rFont val="Arial"/>
        <family val="0"/>
        <charset val="1"/>
      </rPr>
      <t xml:space="preserve">7</t>
    </r>
    <r>
      <rPr>
        <sz val="10"/>
        <rFont val="Noto Sans CJK SC"/>
        <family val="2"/>
      </rPr>
      <t xml:space="preserve">日</t>
    </r>
  </si>
  <si>
    <t xml:space="preserve">工程之個別項目實作數量較契約所定數量增加【達___%】以上時，其【逾___%】之部分，應以契約變更合理調整契約單價及計算契約價金</t>
  </si>
  <si>
    <r>
      <rPr>
        <sz val="10"/>
        <rFont val="Arial"/>
        <family val="0"/>
        <charset val="1"/>
      </rPr>
      <t xml:space="preserve">30</t>
    </r>
    <r>
      <rPr>
        <sz val="10"/>
        <rFont val="Noto Sans CJK SC"/>
        <family val="2"/>
      </rPr>
      <t xml:space="preserve">％</t>
    </r>
  </si>
  <si>
    <t xml:space="preserve">廠商應於工程預定竣工日前或竣工當日，將竣工日期書面通知監造單位及機關除契約另有規定者外，機關應於收到該書面通知之日起幾日內會同監造單位及廠商，依據契約、圖說或貨樣核對竣工之項目及數量，確定是否竣工；廠商未依機關通知派代表參加者，仍得予確定？</t>
  </si>
  <si>
    <t xml:space="preserve">經契約雙方確定之設計變更新增工程項目，未經議價程序議定單價者，機關得以完成設計變更之總價預估單之</t>
  </si>
  <si>
    <r>
      <rPr>
        <sz val="10"/>
        <rFont val="Arial"/>
        <family val="0"/>
        <charset val="1"/>
      </rPr>
      <t xml:space="preserve">80</t>
    </r>
    <r>
      <rPr>
        <sz val="10"/>
        <rFont val="Noto Sans CJK SC"/>
        <family val="2"/>
      </rPr>
      <t xml:space="preserve">％</t>
    </r>
  </si>
  <si>
    <r>
      <rPr>
        <sz val="10"/>
        <rFont val="Arial"/>
        <family val="0"/>
        <charset val="1"/>
      </rPr>
      <t xml:space="preserve">100%</t>
    </r>
    <r>
      <rPr>
        <sz val="10"/>
        <rFont val="Noto Sans CJK SC"/>
        <family val="2"/>
      </rPr>
      <t xml:space="preserve">，並依實際施工情形給付部分估驗款</t>
    </r>
  </si>
  <si>
    <t xml:space="preserve">廠商於徵得機關書面同意後，以其他規格、功能及效益與契約約定之採購標的相同或較優者代之時</t>
  </si>
  <si>
    <t xml:space="preserve">因此增加之費用由機關負責，</t>
  </si>
  <si>
    <t xml:space="preserve">不得據以增加契約價金，</t>
  </si>
  <si>
    <t xml:space="preserve">不增減契約價金，</t>
  </si>
  <si>
    <t xml:space="preserve">契約價金按實際需要調整增減</t>
  </si>
  <si>
    <t xml:space="preserve">約定之採購標的，得標廠商其有下列情形之一者，得請求契約變更：</t>
  </si>
  <si>
    <t xml:space="preserve">契約原標示之分包廠商有營業且可供應，</t>
  </si>
  <si>
    <t xml:space="preserve">較契約原標示者較差或對機關不利</t>
  </si>
  <si>
    <t xml:space="preserve">依政府採購法第73-1條機關辦理工程採購之付款及審核程序，除契約另有約定外，應依下列規定辦理：其中定期估驗或分階段付款者，機關應於廠商提出估驗或階段完成之證明文件後，幾日內完成審核程序，並於接到廠商提出之請款單據後，幾日內付款</t>
  </si>
  <si>
    <r>
      <rPr>
        <sz val="10"/>
        <rFont val="Arial"/>
        <family val="0"/>
        <charset val="1"/>
      </rPr>
      <t xml:space="preserve">10</t>
    </r>
    <r>
      <rPr>
        <sz val="10"/>
        <rFont val="Noto Sans CJK SC"/>
        <family val="2"/>
      </rPr>
      <t xml:space="preserve">日</t>
    </r>
    <r>
      <rPr>
        <sz val="10"/>
        <rFont val="Arial"/>
        <family val="0"/>
        <charset val="1"/>
      </rPr>
      <t xml:space="preserve">,10</t>
    </r>
    <r>
      <rPr>
        <sz val="10"/>
        <rFont val="Noto Sans CJK SC"/>
        <family val="2"/>
      </rPr>
      <t xml:space="preserve">日</t>
    </r>
  </si>
  <si>
    <r>
      <rPr>
        <sz val="10"/>
        <rFont val="Arial"/>
        <family val="0"/>
        <charset val="1"/>
      </rPr>
      <t xml:space="preserve">15</t>
    </r>
    <r>
      <rPr>
        <sz val="10"/>
        <rFont val="Noto Sans CJK SC"/>
        <family val="2"/>
      </rPr>
      <t xml:space="preserve">日</t>
    </r>
    <r>
      <rPr>
        <sz val="10"/>
        <rFont val="Arial"/>
        <family val="0"/>
        <charset val="1"/>
      </rPr>
      <t xml:space="preserve">,15</t>
    </r>
    <r>
      <rPr>
        <sz val="10"/>
        <rFont val="Noto Sans CJK SC"/>
        <family val="2"/>
      </rPr>
      <t xml:space="preserve">日</t>
    </r>
  </si>
  <si>
    <r>
      <rPr>
        <sz val="10"/>
        <rFont val="Arial"/>
        <family val="0"/>
        <charset val="1"/>
      </rPr>
      <t xml:space="preserve">20</t>
    </r>
    <r>
      <rPr>
        <sz val="10"/>
        <rFont val="Noto Sans CJK SC"/>
        <family val="2"/>
      </rPr>
      <t xml:space="preserve">日</t>
    </r>
    <r>
      <rPr>
        <sz val="10"/>
        <rFont val="Arial"/>
        <family val="0"/>
        <charset val="1"/>
      </rPr>
      <t xml:space="preserve">,20</t>
    </r>
    <r>
      <rPr>
        <sz val="10"/>
        <rFont val="Noto Sans CJK SC"/>
        <family val="2"/>
      </rPr>
      <t xml:space="preserve">日</t>
    </r>
  </si>
  <si>
    <r>
      <rPr>
        <sz val="10"/>
        <rFont val="Arial"/>
        <family val="0"/>
        <charset val="1"/>
      </rPr>
      <t xml:space="preserve">30</t>
    </r>
    <r>
      <rPr>
        <sz val="10"/>
        <rFont val="Noto Sans CJK SC"/>
        <family val="2"/>
      </rPr>
      <t xml:space="preserve">日</t>
    </r>
    <r>
      <rPr>
        <sz val="10"/>
        <rFont val="Arial"/>
        <family val="0"/>
        <charset val="1"/>
      </rPr>
      <t xml:space="preserve">,30</t>
    </r>
    <r>
      <rPr>
        <sz val="10"/>
        <rFont val="Noto Sans CJK SC"/>
        <family val="2"/>
      </rPr>
      <t xml:space="preserve">日</t>
    </r>
  </si>
  <si>
    <t xml:space="preserve">分項施工計畫則配合各分項工程依施工時程先後，於分項工程</t>
  </si>
  <si>
    <t xml:space="preserve">施工後</t>
  </si>
  <si>
    <t xml:space="preserve">施工前</t>
  </si>
  <si>
    <t xml:space="preserve">決標後訂約前</t>
  </si>
  <si>
    <t xml:space="preserve">驗收後提出，並報機關或監造單位核備後施工</t>
  </si>
  <si>
    <t xml:space="preserve">整體施工計畫應於下列哪階段或依契約約定時間提出，並經機關或監造單位核備</t>
  </si>
  <si>
    <t xml:space="preserve">開工後隨時</t>
  </si>
  <si>
    <t xml:space="preserve">可併分項施工計畫同時送審</t>
  </si>
  <si>
    <t xml:space="preserve">行政院核定三個層次之公共工程施工品質管理制度，其目的在確保工程的施工成果能符合設計及規範其中主辦機關屬</t>
  </si>
  <si>
    <t xml:space="preserve">第一層級品質管制</t>
  </si>
  <si>
    <t xml:space="preserve">第二層級品質查證</t>
  </si>
  <si>
    <t xml:space="preserve">第二層級施工查核</t>
  </si>
  <si>
    <t xml:space="preserve">第三層級施工查核</t>
  </si>
  <si>
    <t xml:space="preserve">履約期間之計算，除契約另有規定者外，以工作天計者星期例假日、國定假日或其他休息日，是否計入？</t>
  </si>
  <si>
    <t xml:space="preserve">均應計入</t>
  </si>
  <si>
    <t xml:space="preserve">均應不計入</t>
  </si>
  <si>
    <t xml:space="preserve">均得計入</t>
  </si>
  <si>
    <t xml:space="preserve">新建公有建築物之總造價在新臺幣多少錢以上者，於申請一樓樓版勘驗前，應先取得候選綠建築證書？</t>
  </si>
  <si>
    <r>
      <rPr>
        <sz val="10"/>
        <rFont val="Arial"/>
        <family val="0"/>
        <charset val="1"/>
      </rPr>
      <t xml:space="preserve">2,000</t>
    </r>
    <r>
      <rPr>
        <sz val="10"/>
        <rFont val="Noto Sans CJK SC"/>
        <family val="2"/>
      </rPr>
      <t xml:space="preserve">萬</t>
    </r>
  </si>
  <si>
    <r>
      <rPr>
        <sz val="10"/>
        <rFont val="Arial"/>
        <family val="0"/>
        <charset val="1"/>
      </rPr>
      <t xml:space="preserve">5,000</t>
    </r>
    <r>
      <rPr>
        <sz val="10"/>
        <rFont val="Noto Sans CJK SC"/>
        <family val="2"/>
      </rPr>
      <t xml:space="preserve">萬</t>
    </r>
  </si>
  <si>
    <r>
      <rPr>
        <sz val="10"/>
        <rFont val="Arial"/>
        <family val="0"/>
        <charset val="1"/>
      </rPr>
      <t xml:space="preserve">1</t>
    </r>
    <r>
      <rPr>
        <sz val="10"/>
        <rFont val="Noto Sans CJK SC"/>
        <family val="2"/>
      </rPr>
      <t xml:space="preserve">億</t>
    </r>
  </si>
  <si>
    <t xml:space="preserve">起造人自領得建造執照或雜項執照之日起，應於多久時間內開工？</t>
  </si>
  <si>
    <r>
      <rPr>
        <sz val="10"/>
        <rFont val="Arial"/>
        <family val="0"/>
        <charset val="1"/>
      </rPr>
      <t xml:space="preserve">1</t>
    </r>
    <r>
      <rPr>
        <sz val="10"/>
        <rFont val="Noto Sans CJK SC"/>
        <family val="2"/>
      </rPr>
      <t xml:space="preserve">個月</t>
    </r>
  </si>
  <si>
    <r>
      <rPr>
        <sz val="10"/>
        <rFont val="Arial"/>
        <family val="0"/>
        <charset val="1"/>
      </rPr>
      <t xml:space="preserve">2</t>
    </r>
    <r>
      <rPr>
        <sz val="10"/>
        <rFont val="Noto Sans CJK SC"/>
        <family val="2"/>
      </rPr>
      <t xml:space="preserve">個月</t>
    </r>
  </si>
  <si>
    <t xml:space="preserve">採購契約得訂明因政策變更，廠商依契約繼續履約反而不符合公共利益者，機關得報經</t>
  </si>
  <si>
    <t xml:space="preserve">機關首長，</t>
  </si>
  <si>
    <t xml:space="preserve">主管機關，</t>
  </si>
  <si>
    <t xml:space="preserve">審計機關，</t>
  </si>
  <si>
    <t xml:space="preserve">上級機關核准，終止或解除部分或全部契約，並補償廠商因此所生之損失</t>
  </si>
  <si>
    <t xml:space="preserve">機關辦理採購，得於招標文件中規定優良廠商應繳納之押標金、履約保證金或保固保證金金額得予減收，其額度以不逾原定應繳總額之【___%】為限</t>
  </si>
  <si>
    <t xml:space="preserve">15%</t>
  </si>
  <si>
    <t xml:space="preserve">80%</t>
  </si>
  <si>
    <t xml:space="preserve">機關業於招標文件標示屬於主要部分或應由得標廠商自行履行之部分，得標廠商得否轉包？</t>
  </si>
  <si>
    <t xml:space="preserve">可以</t>
  </si>
  <si>
    <t xml:space="preserve">不得</t>
  </si>
  <si>
    <t xml:space="preserve">看情況</t>
  </si>
  <si>
    <t xml:space="preserve">都可以</t>
  </si>
  <si>
    <t xml:space="preserve">建築師受委託辦理建築物之設計，應負該工程設計之責任；其受委託監造者，應負監督該工程施工之責任，有關建築物結構與設備等專業工程部分，交由依法登記開業之專業技師負責辦理時，建築師並須負下列哪些責任？</t>
  </si>
  <si>
    <t xml:space="preserve">無須負</t>
  </si>
  <si>
    <t xml:space="preserve">負連帶</t>
  </si>
  <si>
    <t xml:space="preserve">負全部</t>
  </si>
  <si>
    <t xml:space="preserve">懲罰性違約金金額，應依查核小組查核之品質缺失扣點數計算之，查核金額以上未達巨額之工程，每點罰款金額為：</t>
  </si>
  <si>
    <t xml:space="preserve">新臺幣6,000元，</t>
  </si>
  <si>
    <t xml:space="preserve">新臺幣5,000元，</t>
  </si>
  <si>
    <t xml:space="preserve">新臺幣4,000元，</t>
  </si>
  <si>
    <t xml:space="preserve">新臺幣2,000元</t>
  </si>
  <si>
    <t xml:space="preserve">依政府採購法第73條之1規定，機關辦理工程採購之付款及審核程序，除契約另有約定或向上級機關申請核撥補助款外，其屬驗收付款者，機關應於驗收合格後，填具結算驗收證明文件，並於接到廠商請款單據後幾日內付款？</t>
  </si>
  <si>
    <r>
      <rPr>
        <sz val="10"/>
        <rFont val="Arial"/>
        <family val="0"/>
        <charset val="1"/>
      </rPr>
      <t xml:space="preserve">10</t>
    </r>
    <r>
      <rPr>
        <sz val="10"/>
        <rFont val="Noto Sans CJK SC"/>
        <family val="2"/>
      </rPr>
      <t xml:space="preserve">日</t>
    </r>
  </si>
  <si>
    <r>
      <rPr>
        <sz val="10"/>
        <rFont val="Arial"/>
        <family val="0"/>
        <charset val="1"/>
      </rPr>
      <t xml:space="preserve">15</t>
    </r>
    <r>
      <rPr>
        <sz val="10"/>
        <rFont val="Noto Sans CJK SC"/>
        <family val="2"/>
      </rPr>
      <t xml:space="preserve">日</t>
    </r>
  </si>
  <si>
    <r>
      <rPr>
        <sz val="10"/>
        <rFont val="Arial"/>
        <family val="0"/>
        <charset val="1"/>
      </rPr>
      <t xml:space="preserve">30</t>
    </r>
    <r>
      <rPr>
        <sz val="10"/>
        <rFont val="Noto Sans CJK SC"/>
        <family val="2"/>
      </rPr>
      <t xml:space="preserve">日</t>
    </r>
  </si>
  <si>
    <r>
      <rPr>
        <sz val="10"/>
        <rFont val="Arial"/>
        <family val="0"/>
        <charset val="1"/>
      </rPr>
      <t xml:space="preserve">45</t>
    </r>
    <r>
      <rPr>
        <sz val="10"/>
        <rFont val="Noto Sans CJK SC"/>
        <family val="2"/>
      </rPr>
      <t xml:space="preserve">日</t>
    </r>
  </si>
  <si>
    <t xml:space="preserve">分項品質計畫之內容，除機關另有規定外，不包含下列何者？</t>
  </si>
  <si>
    <t xml:space="preserve">施工要領</t>
  </si>
  <si>
    <t xml:space="preserve">材料及施工檢驗程序</t>
  </si>
  <si>
    <t xml:space="preserve">文件紀錄管理系統</t>
  </si>
  <si>
    <t xml:space="preserve">新臺幣150萬元以上未達1,000萬元之工程，其整體品質計畫內容不包含下列何者？</t>
  </si>
  <si>
    <t xml:space="preserve">管理權責及分工</t>
  </si>
  <si>
    <t xml:space="preserve">自主檢查表</t>
  </si>
  <si>
    <t xml:space="preserve">新臺幣1,000萬元以上未達5,000萬元之工程，除機關另有規定外，其整體品質計畫內容不包含下列何者？</t>
  </si>
  <si>
    <t xml:space="preserve">新臺幣150萬元以上未達1,000萬元之工程，其監造計畫內容不包含下列何者？</t>
  </si>
  <si>
    <t xml:space="preserve">品質計畫審查作業程序，</t>
  </si>
  <si>
    <t xml:space="preserve">施工計畫審查作業程序，</t>
  </si>
  <si>
    <t xml:space="preserve">品質稽核，</t>
  </si>
  <si>
    <t xml:space="preserve">施工抽查程序及標準</t>
  </si>
  <si>
    <t xml:space="preserve">機關依政府採購法第101條規定通知廠商有違反第65條規定轉包之情形，且該廠商於機關通知日起前5年內已被任一機關刊登累計3次，則經廠商提出異議申訴審議結果並無不實者，自刊登公報之次日起多少期間內不得參加投標或作為決標或分包廠商？</t>
  </si>
  <si>
    <t xml:space="preserve">分包廠商及於得標廠商對於機關之價金或報酬請求權之條件？</t>
  </si>
  <si>
    <t xml:space="preserve">分包契約報備於採購機關，並經得標廠商就分包部分設定權利質權予分包廠商者</t>
  </si>
  <si>
    <t xml:space="preserve">分包契約報備於採購機關，或經得標廠商就分包部分設定權利質權予分包廠商者</t>
  </si>
  <si>
    <t xml:space="preserve">得標廠商之投標文件載明分包廠商者</t>
  </si>
  <si>
    <t xml:space="preserve">分包契約報備於採購機關，並經機關同意者</t>
  </si>
  <si>
    <t xml:space="preserve">下列有關營造業專任工程人員敘述，何者錯誤？</t>
  </si>
  <si>
    <t xml:space="preserve">為擔任其所承攬工程之施工技術指導及施工安全之人員，</t>
  </si>
  <si>
    <t xml:space="preserve">應負責填寫所有承攬工程之施工日誌，</t>
  </si>
  <si>
    <t xml:space="preserve">工程主管或主辦機關於勘驗、查驗或驗收工程時，應在現場說明，並於勘驗、查驗或驗收文件上簽名或蓋章，</t>
  </si>
  <si>
    <t xml:space="preserve">應督察品管人員及現場施工人員，落實執行品質計畫</t>
  </si>
  <si>
    <t xml:space="preserve">第四章 永續公共工程</t>
  </si>
  <si>
    <t xml:space="preserve">單元一：第四章 永續公共工程</t>
  </si>
  <si>
    <t xml:space="preserve">在生態保育措施原則下，何者非為優先考量？</t>
  </si>
  <si>
    <t xml:space="preserve">迴避</t>
  </si>
  <si>
    <t xml:space="preserve">縮小</t>
  </si>
  <si>
    <t xml:space="preserve">減輕</t>
  </si>
  <si>
    <t xml:space="preserve">成本</t>
  </si>
  <si>
    <t xml:space="preserve">永續工程</t>
  </si>
  <si>
    <t xml:space="preserve">在生態保育措施原則下，所應檢和之工作內容，下列何者為非？</t>
  </si>
  <si>
    <t xml:space="preserve">因地制宜</t>
  </si>
  <si>
    <t xml:space="preserve">需綜合考量個案特性</t>
  </si>
  <si>
    <t xml:space="preserve">用地空間</t>
  </si>
  <si>
    <t xml:space="preserve">經費</t>
  </si>
  <si>
    <t xml:space="preserve">在生態檢核作業原則下，何者為非？</t>
  </si>
  <si>
    <t xml:space="preserve">災後緊急處理亦適用</t>
  </si>
  <si>
    <t xml:space="preserve">計畫核定及規劃階段併環評辦理</t>
  </si>
  <si>
    <t xml:space="preserve">設計依環評承諾之環境保護對策辦理檢核</t>
  </si>
  <si>
    <t xml:space="preserve">適用範圍含新建公共工程</t>
  </si>
  <si>
    <t xml:space="preserve">在節能減碳原則納入工程設計中，在水利工程綠色工法中不包含哪項？</t>
  </si>
  <si>
    <t xml:space="preserve">工區內土方平衡</t>
  </si>
  <si>
    <t xml:space="preserve">近自然工法</t>
  </si>
  <si>
    <t xml:space="preserve">預鑄工法</t>
  </si>
  <si>
    <t xml:space="preserve">最少成本</t>
  </si>
  <si>
    <t xml:space="preserve">在節能減碳原則納入工程設計中在水利工程綠色環境中不包含哪項？</t>
  </si>
  <si>
    <t xml:space="preserve">植生綠化</t>
  </si>
  <si>
    <t xml:space="preserve">水域環境</t>
  </si>
  <si>
    <t xml:space="preserve">智慧控制</t>
  </si>
  <si>
    <t xml:space="preserve">在節能減碳原則納入工程設計中，在道路橋梁工程綠色工法中不包含哪項？</t>
  </si>
  <si>
    <t xml:space="preserve">減廢</t>
  </si>
  <si>
    <t xml:space="preserve">減量</t>
  </si>
  <si>
    <t xml:space="preserve">延壽</t>
  </si>
  <si>
    <t xml:space="preserve">強度</t>
  </si>
  <si>
    <t xml:space="preserve">在節能減碳原則納入工程設計中，其道路橋梁工程綠色環境中不包含哪項？</t>
  </si>
  <si>
    <t xml:space="preserve">生態(景觀、綠化)</t>
  </si>
  <si>
    <t xml:space="preserve">不透水鋪面</t>
  </si>
  <si>
    <t xml:space="preserve">保水</t>
  </si>
  <si>
    <t xml:space="preserve">隔音牆設置</t>
  </si>
  <si>
    <t xml:space="preserve">在節能減碳原則納入工程設計中，在建築工程之綠色環境中不包含哪項？</t>
  </si>
  <si>
    <t xml:space="preserve">優生物多樣性</t>
  </si>
  <si>
    <t xml:space="preserve">最小成本支出</t>
  </si>
  <si>
    <t xml:space="preserve">基地綠化</t>
  </si>
  <si>
    <t xml:space="preserve">節能減碳原則納入工程設計中，在廣採綠色工法中不包含哪項？</t>
  </si>
  <si>
    <t xml:space="preserve">因地制宜，選擇適當工法</t>
  </si>
  <si>
    <t xml:space="preserve">優先採用可節省資材、能源</t>
  </si>
  <si>
    <t xml:space="preserve">採用再生能源發電系統</t>
  </si>
  <si>
    <t xml:space="preserve">施工自動化之工法及措施</t>
  </si>
  <si>
    <t xml:space="preserve">節能減碳原則納入工程設計中在營造綠色環境下不包含哪項？</t>
  </si>
  <si>
    <t xml:space="preserve">採用太陽光電發電系統</t>
  </si>
  <si>
    <t xml:space="preserve">最小營建規模</t>
  </si>
  <si>
    <t xml:space="preserve">資源最佳化利用</t>
  </si>
  <si>
    <t xml:space="preserve">創造節能減碳環境</t>
  </si>
  <si>
    <t xml:space="preserve">何者不屬於「綠建築」的九大指標？</t>
  </si>
  <si>
    <t xml:space="preserve">生態綠化</t>
  </si>
  <si>
    <t xml:space="preserve">自動化管理</t>
  </si>
  <si>
    <t xml:space="preserve">牆面綠化</t>
  </si>
  <si>
    <t xml:space="preserve">人工地盤綠化技術</t>
  </si>
  <si>
    <t xml:space="preserve">永續工程、綠建築</t>
  </si>
  <si>
    <t xml:space="preserve">行政院97年6月5日第3095次通過之「永續能源政策綱領」：全國二氧化碳排放減量，於2016年至2020年間回歸到何時的排放量？</t>
  </si>
  <si>
    <t xml:space="preserve">1970</t>
  </si>
  <si>
    <t xml:space="preserve">1980</t>
  </si>
  <si>
    <t xml:space="preserve">2008</t>
  </si>
  <si>
    <t xml:space="preserve">2004</t>
  </si>
  <si>
    <t xml:space="preserve">行政院永續會發表「台灣二十一世紀議程－國家永續發展願景與策略綱領」？</t>
  </si>
  <si>
    <t xml:space="preserve">1990</t>
  </si>
  <si>
    <t xml:space="preserve">聯合國何時召開「人類環境會議」，發表「人類環境宣言」，開啟國際環保時代？</t>
  </si>
  <si>
    <t xml:space="preserve">1972</t>
  </si>
  <si>
    <t xml:space="preserve">永續工程、環境保護</t>
  </si>
  <si>
    <t xml:space="preserve">「智慧綠建築」將建構何者三生一體的優質居住環境使建築物更安全健康、便利舒適、節能減碳又環保？</t>
  </si>
  <si>
    <t xml:space="preserve">生產</t>
  </si>
  <si>
    <t xml:space="preserve">生活</t>
  </si>
  <si>
    <t xml:space="preserve">生態</t>
  </si>
  <si>
    <t xml:space="preserve">在節能減碳議題中，我們常使用何者來代表自己生活的排碳量？</t>
  </si>
  <si>
    <t xml:space="preserve">碳排放</t>
  </si>
  <si>
    <t xml:space="preserve">碳足跡</t>
  </si>
  <si>
    <t xml:space="preserve">碳使用</t>
  </si>
  <si>
    <t xml:space="preserve">因應氣候快速變遷，政府推動節能減碳的相關策略與方案有：</t>
  </si>
  <si>
    <t xml:space="preserve">永續發展行動計畫</t>
  </si>
  <si>
    <t xml:space="preserve">節能減碳政策白皮書</t>
  </si>
  <si>
    <t xml:space="preserve">國家節能減碳總計畫</t>
  </si>
  <si>
    <t xml:space="preserve">「購買具有環保張、節能標章、省水標章及EER值高的商品」是節能減碳十大無悔措施的哪一項？</t>
  </si>
  <si>
    <t xml:space="preserve">綠色採購看標章</t>
  </si>
  <si>
    <t xml:space="preserve">惜用資源顧地球</t>
  </si>
  <si>
    <t xml:space="preserve">節能省水更省錢</t>
  </si>
  <si>
    <t xml:space="preserve">多吃蔬菜少吃肉</t>
  </si>
  <si>
    <t xml:space="preserve">政府除積極進行法制化工作外，已於第幾年金質獎增列「永續及節能減碳獎」獎項？</t>
  </si>
  <si>
    <t xml:space="preserve">95</t>
  </si>
  <si>
    <t xml:space="preserve">96</t>
  </si>
  <si>
    <t xml:space="preserve">97</t>
  </si>
  <si>
    <t xml:space="preserve">98</t>
  </si>
  <si>
    <t xml:space="preserve">全球平均溫度變化逐漸上升，氣候越來越溫暖，這樣的溫度變化會對地球造成什麼影響呢？</t>
  </si>
  <si>
    <t xml:space="preserve">海平面上升</t>
  </si>
  <si>
    <t xml:space="preserve">全球氣候變遷</t>
  </si>
  <si>
    <t xml:space="preserve">生態環境改變</t>
  </si>
  <si>
    <t xml:space="preserve">在「永續發展」之世界潮流下，資源永續再利用原則，下列敘述何者有誤？</t>
  </si>
  <si>
    <t xml:space="preserve">垃圾掩埋或燃燒</t>
  </si>
  <si>
    <t xml:space="preserve">利用廢棄物減量</t>
  </si>
  <si>
    <t xml:space="preserve">再生利用</t>
  </si>
  <si>
    <t xml:space="preserve">能源回收</t>
  </si>
  <si>
    <t xml:space="preserve">依據4年5,000億振興經濟擴大公共建設，應有多少比例用於採用綠色工法或綠色能源等相關產品？</t>
  </si>
  <si>
    <t xml:space="preserve">0%</t>
  </si>
  <si>
    <t xml:space="preserve">工程全生命週期考量節能減碳，維護管理階段須考量重點為何？</t>
  </si>
  <si>
    <t xml:space="preserve">建置維護及營運管理機制</t>
  </si>
  <si>
    <t xml:space="preserve">減少閒置公共設施及提昇利用率</t>
  </si>
  <si>
    <t xml:space="preserve">建立公共設施延壽評估與推動機制</t>
  </si>
  <si>
    <t xml:space="preserve">生態保育策略運用，有關迴避策略運用，為下列何者？</t>
  </si>
  <si>
    <t xml:space="preserve">取消工程，避免於生態敏感區施作</t>
  </si>
  <si>
    <t xml:space="preserve">工區整體評估，保留無災害或無治理需求的區域</t>
  </si>
  <si>
    <t xml:space="preserve">因回填及工程干擾而形成的裸露地，完工後噴植原生適生植物種子，加速植被復原</t>
  </si>
  <si>
    <t xml:space="preserve">生態保育策略運用，下列敘述何者正確？</t>
  </si>
  <si>
    <t xml:space="preserve">依環保署訂編｢焚化再生粒料應用於控制性低強度回填材料(CLSM)使用手冊｣說明CLSM材料天然粒料與焚化底渣再生粒料的比例為</t>
  </si>
  <si>
    <t xml:space="preserve">1:1</t>
  </si>
  <si>
    <t xml:space="preserve">1:2</t>
  </si>
  <si>
    <t xml:space="preserve">1:3</t>
  </si>
  <si>
    <t xml:space="preserve">1:4</t>
  </si>
  <si>
    <t xml:space="preserve">依據環保署「垃圾焚化廠焚化底渣再利用管理方式」第六點，焚化再生粒料用途包括？</t>
  </si>
  <si>
    <t xml:space="preserve">基地填築及路堤填築</t>
  </si>
  <si>
    <t xml:space="preserve">道路級配粒料底層及基層</t>
  </si>
  <si>
    <t xml:space="preserve">控制性低強度回填材料</t>
  </si>
  <si>
    <t xml:space="preserve">轉爐石具備之特性，下列敘述何者正確？</t>
  </si>
  <si>
    <t xml:space="preserve">耐磨</t>
  </si>
  <si>
    <t xml:space="preserve">高硬度</t>
  </si>
  <si>
    <t xml:space="preserve">內摩擦角大</t>
  </si>
  <si>
    <t xml:space="preserve">以下何者為「再生粒料運用於公共工程跨部會推動小組」推動公共工程使用再生材料？</t>
  </si>
  <si>
    <t xml:space="preserve">轉爐石</t>
  </si>
  <si>
    <t xml:space="preserve">瀝青混凝土刨除料</t>
  </si>
  <si>
    <t xml:space="preserve">循環經濟的核心內涵是生命週期、經濟資源的循環利用，強調系統性的設計，下列何者為非？</t>
  </si>
  <si>
    <t xml:space="preserve">污染減量</t>
  </si>
  <si>
    <t xml:space="preserve">再利用</t>
  </si>
  <si>
    <t xml:space="preserve">再循環</t>
  </si>
  <si>
    <t xml:space="preserve">關於風力發電敘述，下列敘述何者正確？</t>
  </si>
  <si>
    <t xml:space="preserve">風力機以推動發電機之旋轉軸來分類，可分成水平軸和垂直軸風力機兩種，垂直軸風力發電效率低於水平軸風力機</t>
  </si>
  <si>
    <t xml:space="preserve">就各式再生能源發電技術成熟度及經濟性等方面，除水力發電外，風力發電的技術最成熟、最有效率、最經濟及產能最大，且發電成本可與傳統燃油發電成本相抗衡，甚至更低於天然氣發電成本</t>
  </si>
  <si>
    <t xml:space="preserve">垂直軸式風力機的葉片環繞者垂直地面之旋轉軸，由於不需要調整風力機片葉片與風向位置，因此對於風向改變所受的影響較小，是為了在都市中所發展出來的類型</t>
  </si>
  <si>
    <t xml:space="preserve">下述何者得免辦理生態檢核之工程</t>
  </si>
  <si>
    <t xml:space="preserve">新建公共工程</t>
  </si>
  <si>
    <t xml:space="preserve">需辦理環評工程</t>
  </si>
  <si>
    <t xml:space="preserve">設計、施工及維護管理階段</t>
  </si>
  <si>
    <t xml:space="preserve">災後緊急處理、搶修、搶險、災後原地復建</t>
  </si>
  <si>
    <t xml:space="preserve">因回填及工程干擾而形成的裸露地，完工後噴植原生適生植物種子，加速植被復原。此為何種生態保育策略運用</t>
  </si>
  <si>
    <t xml:space="preserve">補償</t>
  </si>
  <si>
    <t xml:space="preserve">國道六號南投路段之節能減碳與保育對策規設考量對環境干擾最小化，使用新材料、新工法以節能減碳，並應用生態工法、配合地方環境、人文意象與景觀特色一條符合</t>
  </si>
  <si>
    <t xml:space="preserve">環保、生態</t>
  </si>
  <si>
    <t xml:space="preserve">景觀</t>
  </si>
  <si>
    <t xml:space="preserve">交通需求</t>
  </si>
  <si>
    <t xml:space="preserve">以上皆是，的永續公路</t>
  </si>
  <si>
    <t xml:space="preserve">湖山水庫計畫相關工程，施工中所採取各項生態保育措施，符合工程會推動永續公共工程之理念，其對八色鳥保育是屬</t>
  </si>
  <si>
    <t xml:space="preserve">植物保育</t>
  </si>
  <si>
    <t xml:space="preserve">棲地營造</t>
  </si>
  <si>
    <t xml:space="preserve">動物保育</t>
  </si>
  <si>
    <t xml:space="preserve">推動生態檢核機制生態檢核作業原則之適用範圍,直轄市政府及縣(市)政府受中央政府補助比率逾工程建造經費多少時需辦理</t>
  </si>
  <si>
    <t xml:space="preserve">推動生態檢核機制之生態保育措施</t>
  </si>
  <si>
    <t xml:space="preserve">縮小、減輕</t>
  </si>
  <si>
    <t xml:space="preserve">下述何者符合振興經濟擴大公共建設投資計畫落實節能減碳執行方案具體措施？</t>
  </si>
  <si>
    <t xml:space="preserve">節能減碳原則納入工程設計中並落實於施工及維護管理階段</t>
  </si>
  <si>
    <t xml:space="preserve">採用再生能源、節約能源產品</t>
  </si>
  <si>
    <t xml:space="preserve">建築工程依行政院核定｢生態城市綠建築推動方案｣辦理其中｢日常節能｣與｢水資源｣等二項指標為必要指標</t>
  </si>
  <si>
    <t xml:space="preserve">工程全生命週期考量節能減碳下述何者不包含？</t>
  </si>
  <si>
    <t xml:space="preserve">修改採購制度</t>
  </si>
  <si>
    <t xml:space="preserve">可行性階段</t>
  </si>
  <si>
    <t xml:space="preserve">規劃設計階段</t>
  </si>
  <si>
    <t xml:space="preserve">維護管理階段</t>
  </si>
  <si>
    <t xml:space="preserve">下述何者不符合永續公共工程定義</t>
  </si>
  <si>
    <t xml:space="preserve">環境保育</t>
  </si>
  <si>
    <t xml:space="preserve">社會公義</t>
  </si>
  <si>
    <t xml:space="preserve">經濟成長所規劃、建置</t>
  </si>
  <si>
    <t xml:space="preserve">消化年度多餘預算之公共工程</t>
  </si>
  <si>
    <t xml:space="preserve">生態檢核機制之目的，是希望透過自評表提醒工程主辦機關減輕工程對生態環境之衝擊，進一步營造優質生態環境，以下何者非屬生態檢核階段</t>
  </si>
  <si>
    <t xml:space="preserve">設計階段</t>
  </si>
  <si>
    <t xml:space="preserve">施工階段</t>
  </si>
  <si>
    <t xml:space="preserve">籌劃階段</t>
  </si>
  <si>
    <t xml:space="preserve">維護階段</t>
  </si>
  <si>
    <t xml:space="preserve">再生粒料運用於公共工程，以下何者非目前推動的重點項目</t>
  </si>
  <si>
    <t xml:space="preserve">天然砂石料</t>
  </si>
  <si>
    <t xml:space="preserve">氧化碴及瀝青混凝土刨除料</t>
  </si>
  <si>
    <t xml:space="preserve">循環經濟的核心內涵是</t>
  </si>
  <si>
    <t xml:space="preserve">綠色環境</t>
  </si>
  <si>
    <t xml:space="preserve">綠色工法</t>
  </si>
  <si>
    <t xml:space="preserve">綠色材料</t>
  </si>
  <si>
    <t xml:space="preserve">生命週期經濟資源的循環利用；得以強調系統性的設計，以實現環境保護和經濟永續成長的目的</t>
  </si>
  <si>
    <t xml:space="preserve">節能減碳原則納入工程設計中，並據以落實於施工及維護管理階段，何者非工程的四大重點管控指標？</t>
  </si>
  <si>
    <t xml:space="preserve">綠色採購</t>
  </si>
  <si>
    <t xml:space="preserve">採用再生能源、節約能源產品或設備，以扶植國內產業發展。何者非重點扶植項目？</t>
  </si>
  <si>
    <r>
      <rPr>
        <sz val="10"/>
        <rFont val="Arial"/>
        <family val="0"/>
        <charset val="1"/>
      </rPr>
      <t xml:space="preserve">LED</t>
    </r>
    <r>
      <rPr>
        <sz val="10"/>
        <rFont val="Noto Sans CJK SC"/>
        <family val="2"/>
      </rPr>
      <t xml:space="preserve">應用產品</t>
    </r>
  </si>
  <si>
    <t xml:space="preserve">太陽光電發電系統</t>
  </si>
  <si>
    <t xml:space="preserve">資訊系統</t>
  </si>
  <si>
    <t xml:space="preserve">風力發電系統</t>
  </si>
  <si>
    <t xml:space="preserve">環境友善的保育策略，乃為減少對原有生態環境的衝擊，以下何者非其保育策略？</t>
  </si>
  <si>
    <t xml:space="preserve">民眾參與</t>
  </si>
  <si>
    <t xml:space="preserve">永續公共工程在節能減碳的整體推動策略技術面要項中以下哪項係未在其範疇內？</t>
  </si>
  <si>
    <t xml:space="preserve">可行性評估</t>
  </si>
  <si>
    <t xml:space="preserve">規劃、設計</t>
  </si>
  <si>
    <t xml:space="preserve">建構永續綠色採購環境</t>
  </si>
  <si>
    <t xml:space="preserve">施工、維護管理</t>
  </si>
  <si>
    <t xml:space="preserve">以下那項係不符合永續公共工程定義</t>
  </si>
  <si>
    <t xml:space="preserve">技術提升</t>
  </si>
  <si>
    <t xml:space="preserve">經濟成長</t>
  </si>
  <si>
    <t xml:space="preserve">保持本(21)世紀末全球氣溫升高不超過工業化前水準的2℃，並驅動工作努力以進一步限制不超過1.5℃係以下那個會議</t>
  </si>
  <si>
    <t xml:space="preserve">巴黎協定</t>
  </si>
  <si>
    <t xml:space="preserve">地球高峰會</t>
  </si>
  <si>
    <t xml:space="preserve">約翰尼斯堡永續發展宣言</t>
  </si>
  <si>
    <t xml:space="preserve">人類環境會議</t>
  </si>
  <si>
    <r>
      <rPr>
        <sz val="10"/>
        <rFont val="Arial"/>
        <family val="0"/>
        <charset val="1"/>
      </rPr>
      <t xml:space="preserve">1972</t>
    </r>
    <r>
      <rPr>
        <sz val="10"/>
        <rFont val="Noto Sans CJK SC"/>
        <family val="2"/>
      </rPr>
      <t xml:space="preserve">年聯合國召開</t>
    </r>
  </si>
  <si>
    <t xml:space="preserve">世界永續發展會議</t>
  </si>
  <si>
    <t xml:space="preserve">世界環境與發展委員會，發表「人類環境宣言」，開啟國際環保時代</t>
  </si>
  <si>
    <t xml:space="preserve">第五章 工程倫理</t>
  </si>
  <si>
    <t xml:space="preserve">單元一：第五章 工程倫理</t>
  </si>
  <si>
    <t xml:space="preserve">工程師八大倫理守則，何者為非？</t>
  </si>
  <si>
    <t xml:space="preserve">強化專業形象</t>
  </si>
  <si>
    <t xml:space="preserve">共創團隊績效</t>
  </si>
  <si>
    <t xml:space="preserve">迎合上意</t>
  </si>
  <si>
    <t xml:space="preserve">增進公眾福祉</t>
  </si>
  <si>
    <t xml:space="preserve">工程倫理</t>
  </si>
  <si>
    <t xml:space="preserve">工程師對同僚的責任，何者為非？</t>
  </si>
  <si>
    <t xml:space="preserve">分工合作</t>
  </si>
  <si>
    <t xml:space="preserve">彼此利用</t>
  </si>
  <si>
    <t xml:space="preserve">主動積極</t>
  </si>
  <si>
    <t xml:space="preserve">相互協助提攜</t>
  </si>
  <si>
    <t xml:space="preserve">工程師對雇主的責任，何者為非？</t>
  </si>
  <si>
    <t xml:space="preserve">真誠服務</t>
  </si>
  <si>
    <t xml:space="preserve">彼此相互尊重，開誠佈公</t>
  </si>
  <si>
    <t xml:space="preserve">互信互利</t>
  </si>
  <si>
    <t xml:space="preserve">實問虛答</t>
  </si>
  <si>
    <t xml:space="preserve">工程師對專業的責任，何者為非？</t>
  </si>
  <si>
    <t xml:space="preserve">發揮專業知能</t>
  </si>
  <si>
    <t xml:space="preserve">嚴守職業本分</t>
  </si>
  <si>
    <t xml:space="preserve">吸收科技新知</t>
  </si>
  <si>
    <t xml:space="preserve">經營人際關係</t>
  </si>
  <si>
    <t xml:space="preserve">工程師對人文社會的責任，何者為非？</t>
  </si>
  <si>
    <t xml:space="preserve">揣摩上意</t>
  </si>
  <si>
    <t xml:space="preserve">參與公益活動</t>
  </si>
  <si>
    <t xml:space="preserve">保障公共安全</t>
  </si>
  <si>
    <t xml:space="preserve">造福人群</t>
  </si>
  <si>
    <t xml:space="preserve">有關「工程師的職責」包含下列何者？</t>
  </si>
  <si>
    <t xml:space="preserve">對個人的責任；</t>
  </si>
  <si>
    <t xml:space="preserve">對專業的責任；</t>
  </si>
  <si>
    <t xml:space="preserve">對雇主的責任；</t>
  </si>
  <si>
    <t xml:space="preserve">下列何者屬於公務員不倫理行為？</t>
  </si>
  <si>
    <t xml:space="preserve">廉潔自持</t>
  </si>
  <si>
    <t xml:space="preserve">圖利他人</t>
  </si>
  <si>
    <t xml:space="preserve">依法行政</t>
  </si>
  <si>
    <t xml:space="preserve">公務員適用公務員廉政規範如有疑義，可洽詢的管道有哪些？</t>
  </si>
  <si>
    <t xml:space="preserve">向機關內政風人員洽詢</t>
  </si>
  <si>
    <t xml:space="preserve">機關未設政風者，由兼辦政風或首長指定之人員處理</t>
  </si>
  <si>
    <t xml:space="preserve">受理諮詢人員有疑義者，送請上一級政風機構處理</t>
  </si>
  <si>
    <t xml:space="preserve">當公務員面臨到親朋好友的人情壓力時，思考如何扮演好一個公平、公正又不違法的公務人員角色，這是屬於那一類的倫理困境？</t>
  </si>
  <si>
    <t xml:space="preserve">利益衝突</t>
  </si>
  <si>
    <t xml:space="preserve">責任衝突</t>
  </si>
  <si>
    <t xml:space="preserve">角色衝突</t>
  </si>
  <si>
    <t xml:space="preserve">行政倫理的核心概念，包括以下何者？</t>
  </si>
  <si>
    <t xml:space="preserve">道德；</t>
  </si>
  <si>
    <t xml:space="preserve">責任；</t>
  </si>
  <si>
    <t xml:space="preserve">價值；</t>
  </si>
  <si>
    <t xml:space="preserve">請問公務員接受下列何種餽贈，會違反行政倫理？</t>
  </si>
  <si>
    <t xml:space="preserve">職務升遷，長官贈送對聯一幅</t>
  </si>
  <si>
    <t xml:space="preserve">接受與職務有關的承包商招待高級餐廳用餐</t>
  </si>
  <si>
    <t xml:space="preserve">因救災有功，獲贈獎金1千元</t>
  </si>
  <si>
    <t xml:space="preserve">下列何者違反公務員行政倫理？</t>
  </si>
  <si>
    <t xml:space="preserve">將公務用品帶回家；</t>
  </si>
  <si>
    <t xml:space="preserve">不在外自行投資設立公司；</t>
  </si>
  <si>
    <t xml:space="preserve">所屬單位最近要新聘雇約聘人員，告知親朋好友可報名參加甄試；</t>
  </si>
  <si>
    <t xml:space="preserve">下列何者可界定為違法的請託關說事件？</t>
  </si>
  <si>
    <t xml:space="preserve">關說某受刑人的提早假釋</t>
  </si>
  <si>
    <t xml:space="preserve">教師介聘時利用關係，調往想要的學校</t>
  </si>
  <si>
    <t xml:space="preserve">請求違建暫緩拆除</t>
  </si>
  <si>
    <t xml:space="preserve">下面有幾個關於公務員參加飲宴應酬的例子，請判斷何者較不宜參加？</t>
  </si>
  <si>
    <t xml:space="preserve">機關首長或主管邀宴同仁年終聚餐</t>
  </si>
  <si>
    <t xml:space="preserve">機關工程人員受邀參加工程包商工地開工之招待邀宴</t>
  </si>
  <si>
    <t xml:space="preserve">公益團體成立週年活動，邀請公務員出席慶祝茶會或餐會</t>
  </si>
  <si>
    <t xml:space="preserve">下列何者不具有公務員的身份？</t>
  </si>
  <si>
    <t xml:space="preserve">政府機關委外業務辦理人員</t>
  </si>
  <si>
    <t xml:space="preserve">國稅局稅捐稽查員</t>
  </si>
  <si>
    <t xml:space="preserve">國立大學會計主任</t>
  </si>
  <si>
    <t xml:space="preserve">現代公務人員的角色，受到時代環境的影響逐漸轉變，以下何者非現代公務人員的要求？</t>
  </si>
  <si>
    <t xml:space="preserve">公務人員須成為政策的回應者；</t>
  </si>
  <si>
    <t xml:space="preserve">公務人員只需執行上級長官交付工作，服從命令；</t>
  </si>
  <si>
    <t xml:space="preserve">公務人員須調和倫理衝突；</t>
  </si>
  <si>
    <t xml:space="preserve">請問下列哪些選項屬於"面對衝突抉擇八大步驟"？</t>
  </si>
  <si>
    <t xml:space="preserve">收集事實資料</t>
  </si>
  <si>
    <t xml:space="preserve">推卸自身責任</t>
  </si>
  <si>
    <t xml:space="preserve">找長官關說</t>
  </si>
  <si>
    <t xml:space="preserve">請問下列關於工程人員之作為，何者正確？</t>
  </si>
  <si>
    <t xml:space="preserve">就算有職務上的利害關係也可以多參加交際應酬</t>
  </si>
  <si>
    <t xml:space="preserve">若客戶送上貴重禮物收下也無妨</t>
  </si>
  <si>
    <t xml:space="preserve">如認為該應酬係屬公務禮儀或民俗節慶公開舉辦且邀請一般人參加之活動，應簽報長官核准並知會政風機構後，始得參加</t>
  </si>
  <si>
    <t xml:space="preserve">在重大節日時收受與職務有利害關係者饋贈財物</t>
  </si>
  <si>
    <t xml:space="preserve">請問下列關於工程人員之作為敘述，何者正確？</t>
  </si>
  <si>
    <t xml:space="preserve">工程人員不得假借職務上之權力、方法、機會圖本人或第三人不正之利益</t>
  </si>
  <si>
    <t xml:space="preserve">對於承辦本機關或所屬機關之工程者，視情況可私相借貸，訂立互利契約或享受其他不正利益</t>
  </si>
  <si>
    <t xml:space="preserve">與承包商聯絡感情屬於正常交際，常常一起喝酒打牌也沒關係</t>
  </si>
  <si>
    <t xml:space="preserve">為了公平起見，如果收受廠商的招待就要在日後驗收時放寬標準</t>
  </si>
  <si>
    <t xml:space="preserve">下列對於「倫理」之敘述何者正確？</t>
  </si>
  <si>
    <t xml:space="preserve">個人行為及思想的規範</t>
  </si>
  <si>
    <t xml:space="preserve">群體所共同認定之行為思想準則</t>
  </si>
  <si>
    <t xml:space="preserve">明訂之法令，是道德與倫理之基本要求與最低標準</t>
  </si>
  <si>
    <t xml:space="preserve">請問下列敘述哪些是正確的？</t>
  </si>
  <si>
    <t xml:space="preserve">法律具有高約束性，內容具體</t>
  </si>
  <si>
    <t xml:space="preserve">道德、倫理是由社會規範，屬於他律行為</t>
  </si>
  <si>
    <t xml:space="preserve">道德指的是組織行為及思想的規範</t>
  </si>
  <si>
    <t xml:space="preserve">只要不觸犯法令，就算違背道德倫理也沒關係</t>
  </si>
  <si>
    <t xml:space="preserve">請問下列關於「工程人員對業主與客戶之責任」，何者敘述正確？</t>
  </si>
  <si>
    <t xml:space="preserve">對所承辦業務能隨時隨地與任何人討論</t>
  </si>
  <si>
    <t xml:space="preserve">應視自己需求，不計代價達成加薪目標</t>
  </si>
  <si>
    <t xml:space="preserve">秉持專業判斷對於不當指示或要求予以拒絕及勸導</t>
  </si>
  <si>
    <t xml:space="preserve">照自己覺得最好的方式去做，業主與客戶之需求只需參考就好</t>
  </si>
  <si>
    <t xml:space="preserve">評選委員接受不正當利益招待後，共同為廠商護航得標，違反採購人員倫理準則第七條下述不得有之行為</t>
  </si>
  <si>
    <t xml:space="preserve">不依法令規定辦理採購</t>
  </si>
  <si>
    <t xml:space="preserve">未公正辦理採購</t>
  </si>
  <si>
    <t xml:space="preserve">接受與職務有關廠商招待</t>
  </si>
  <si>
    <t xml:space="preserve">工程倫理、政府採購</t>
  </si>
  <si>
    <t xml:space="preserve">技師依照他人提供之鑽探成果進行簽證，違反採購人員倫理準則第七條下述不得有之行為</t>
  </si>
  <si>
    <t xml:space="preserve">妨礙採購效率</t>
  </si>
  <si>
    <t xml:space="preserve">浪費國家資源</t>
  </si>
  <si>
    <t xml:space="preserve">夫代機關擬招標文件，其妻依該招標文件投標並得標。違反採購人員倫理準則第七條下述不得有之行為</t>
  </si>
  <si>
    <t xml:space="preserve">洩漏應保守秘密之採購資訊</t>
  </si>
  <si>
    <t xml:space="preserve">從事足以影響採購人員尊嚴</t>
  </si>
  <si>
    <t xml:space="preserve">採購人員不接受與職務或利益有關廠商之下列餽贈或招待，反不符合社會禮儀或習俗者，得予接受。其價值在新臺幣多少金額以下？</t>
  </si>
  <si>
    <r>
      <rPr>
        <sz val="10"/>
        <rFont val="Arial"/>
        <family val="0"/>
        <charset val="1"/>
      </rPr>
      <t xml:space="preserve">2,000</t>
    </r>
    <r>
      <rPr>
        <sz val="10"/>
        <rFont val="Noto Sans CJK SC"/>
        <family val="2"/>
      </rPr>
      <t xml:space="preserve">元</t>
    </r>
  </si>
  <si>
    <r>
      <rPr>
        <sz val="10"/>
        <rFont val="Arial"/>
        <family val="0"/>
        <charset val="1"/>
      </rPr>
      <t xml:space="preserve">500</t>
    </r>
    <r>
      <rPr>
        <sz val="10"/>
        <rFont val="Noto Sans CJK SC"/>
        <family val="2"/>
      </rPr>
      <t xml:space="preserve">元</t>
    </r>
  </si>
  <si>
    <r>
      <rPr>
        <sz val="10"/>
        <rFont val="Arial"/>
        <family val="0"/>
        <charset val="1"/>
      </rPr>
      <t xml:space="preserve">1,000</t>
    </r>
    <r>
      <rPr>
        <sz val="10"/>
        <rFont val="Noto Sans CJK SC"/>
        <family val="2"/>
      </rPr>
      <t xml:space="preserve">元</t>
    </r>
  </si>
  <si>
    <r>
      <rPr>
        <sz val="10"/>
        <rFont val="Arial"/>
        <family val="0"/>
        <charset val="1"/>
      </rPr>
      <t xml:space="preserve">1,500</t>
    </r>
    <r>
      <rPr>
        <sz val="10"/>
        <rFont val="Noto Sans CJK SC"/>
        <family val="2"/>
      </rPr>
      <t xml:space="preserve">元</t>
    </r>
  </si>
  <si>
    <t xml:space="preserve">八大倫理守則實行細則，工程人員應致力發展及優先考量採用低污染、低耗能之技術與工法，以降低工程對環境之不當影響，是指對</t>
  </si>
  <si>
    <t xml:space="preserve">涵蘊創意思維，持續技術成長</t>
  </si>
  <si>
    <t xml:space="preserve">重視自然生態，珍惜地球資源</t>
  </si>
  <si>
    <t xml:space="preserve">落實安全環保，增進公眾福祉</t>
  </si>
  <si>
    <t xml:space="preserve">工程倫理依據</t>
  </si>
  <si>
    <t xml:space="preserve">政府採購法第112條</t>
  </si>
  <si>
    <t xml:space="preserve">採購人員倫理準則</t>
  </si>
  <si>
    <t xml:space="preserve">工程倫理手冊</t>
  </si>
  <si>
    <t xml:space="preserve">採購人員倫理準則適用對象，除機關辦理採購事項之人員外，不包括</t>
  </si>
  <si>
    <t xml:space="preserve">全體國民適用</t>
  </si>
  <si>
    <t xml:space="preserve">受機關委託代辦採購之法人或團體</t>
  </si>
  <si>
    <t xml:space="preserve">機關委託之專案管理之廠商</t>
  </si>
  <si>
    <t xml:space="preserve">機關委託之規劃、設計、監造或管理廠商</t>
  </si>
  <si>
    <t xml:space="preserve">採購人員不接受與職務或利益有關廠商之餽贈或招待，反不符合社會禮儀或習俗者，得予接受，以下何者非在其範疇內</t>
  </si>
  <si>
    <t xml:space="preserve">價值在新臺幣500元以下之廣告物、促銷品、紀念品、禮物、折扣或服務</t>
  </si>
  <si>
    <t xml:space="preserve">價值在新臺幣500元以下之飲食招待</t>
  </si>
  <si>
    <t xml:space="preserve">價值在新臺幣1,000元以下之飲食招待</t>
  </si>
  <si>
    <t xml:space="preserve">其他經主管機關認定者</t>
  </si>
  <si>
    <t xml:space="preserve">價值逾新臺幣500元，退還有困難者，得於獲贈或知悉獲贈日起幾日內付費收受、歸公或轉贈慈善機構？</t>
  </si>
  <si>
    <r>
      <rPr>
        <sz val="10"/>
        <rFont val="Arial"/>
        <family val="0"/>
        <charset val="1"/>
      </rPr>
      <t xml:space="preserve">3</t>
    </r>
    <r>
      <rPr>
        <sz val="10"/>
        <rFont val="Noto Sans CJK SC"/>
        <family val="2"/>
      </rPr>
      <t xml:space="preserve">日</t>
    </r>
  </si>
  <si>
    <r>
      <rPr>
        <sz val="10"/>
        <rFont val="Arial"/>
        <family val="0"/>
        <charset val="1"/>
      </rPr>
      <t xml:space="preserve">14</t>
    </r>
    <r>
      <rPr>
        <sz val="10"/>
        <rFont val="Noto Sans CJK SC"/>
        <family val="2"/>
      </rPr>
      <t xml:space="preserve">日</t>
    </r>
  </si>
  <si>
    <t xml:space="preserve">工程倫理手冊中以下哪項不在其範疇中？</t>
  </si>
  <si>
    <t xml:space="preserve">對個人的責任</t>
  </si>
  <si>
    <t xml:space="preserve">對政府的責任</t>
  </si>
  <si>
    <t xml:space="preserve">對專業的責任</t>
  </si>
  <si>
    <t xml:space="preserve">對同僚的責任</t>
  </si>
  <si>
    <t xml:space="preserve">以下何者非工程師責任範疇</t>
  </si>
  <si>
    <t xml:space="preserve">工程師對個人的責任</t>
  </si>
  <si>
    <t xml:space="preserve">工程師對專業的責任</t>
  </si>
  <si>
    <t xml:space="preserve">工程師對政府的責任</t>
  </si>
  <si>
    <t xml:space="preserve">工程師對業主與雇主的責任</t>
  </si>
  <si>
    <t xml:space="preserve">一套價值規範系統中，其適用社會所有成員係以下何者</t>
  </si>
  <si>
    <t xml:space="preserve">規範</t>
  </si>
  <si>
    <t xml:space="preserve">一般倫理</t>
  </si>
  <si>
    <t xml:space="preserve">專業倫理</t>
  </si>
  <si>
    <t xml:space="preserve">法律</t>
  </si>
  <si>
    <t xml:space="preserve">藉由他律來規範，為社會大眾所接受，需要以下面何者來規範</t>
  </si>
  <si>
    <t xml:space="preserve">思想</t>
  </si>
  <si>
    <t xml:space="preserve">道德</t>
  </si>
  <si>
    <t xml:space="preserve">倫理</t>
  </si>
  <si>
    <t xml:space="preserve">規範、法律</t>
  </si>
  <si>
    <t xml:space="preserve">個人與團體自律需藉由以下何者來約束？</t>
  </si>
  <si>
    <t xml:space="preserve">倫理道德</t>
  </si>
  <si>
    <t xml:space="preserve">國家競爭力</t>
  </si>
  <si>
    <t xml:space="preserve">單元二</t>
  </si>
  <si>
    <t xml:space="preserve">第一章 監造計畫與品質計畫指導</t>
  </si>
  <si>
    <t xml:space="preserve">單元二：第一章 監造計畫與品質計畫指導</t>
  </si>
  <si>
    <t xml:space="preserve">集合式電表離地面之高度為多少</t>
  </si>
  <si>
    <r>
      <rPr>
        <sz val="10"/>
        <rFont val="Arial"/>
        <family val="0"/>
        <charset val="1"/>
      </rPr>
      <t xml:space="preserve">0.5~1</t>
    </r>
    <r>
      <rPr>
        <sz val="10"/>
        <rFont val="Noto Sans CJK SC"/>
        <family val="2"/>
      </rPr>
      <t xml:space="preserve">公尺</t>
    </r>
  </si>
  <si>
    <r>
      <rPr>
        <sz val="10"/>
        <rFont val="Arial"/>
        <family val="0"/>
        <charset val="1"/>
      </rPr>
      <t xml:space="preserve">1~2</t>
    </r>
    <r>
      <rPr>
        <sz val="10"/>
        <rFont val="Noto Sans CJK SC"/>
        <family val="2"/>
      </rPr>
      <t xml:space="preserve">公尺</t>
    </r>
  </si>
  <si>
    <r>
      <rPr>
        <sz val="10"/>
        <rFont val="Arial"/>
        <family val="0"/>
        <charset val="1"/>
      </rPr>
      <t xml:space="preserve">2~2.5</t>
    </r>
    <r>
      <rPr>
        <sz val="10"/>
        <rFont val="Noto Sans CJK SC"/>
        <family val="2"/>
      </rPr>
      <t xml:space="preserve">公尺</t>
    </r>
  </si>
  <si>
    <r>
      <rPr>
        <sz val="10"/>
        <rFont val="Arial"/>
        <family val="0"/>
        <charset val="1"/>
      </rPr>
      <t xml:space="preserve">1.5~2</t>
    </r>
    <r>
      <rPr>
        <sz val="10"/>
        <rFont val="Noto Sans CJK SC"/>
        <family val="2"/>
      </rPr>
      <t xml:space="preserve">公尺以上</t>
    </r>
  </si>
  <si>
    <t xml:space="preserve">監造與品質計畫</t>
  </si>
  <si>
    <t xml:space="preserve">施工管理標準，檢查方式應</t>
  </si>
  <si>
    <t xml:space="preserve">定性</t>
  </si>
  <si>
    <t xml:space="preserve">定量</t>
  </si>
  <si>
    <t xml:space="preserve">留查存證</t>
  </si>
  <si>
    <t xml:space="preserve">舉凡材料、設備、系統及結構物等對整體機電系統運轉功能具有影響可靠性者，應訂定</t>
  </si>
  <si>
    <t xml:space="preserve">檢驗停留點</t>
  </si>
  <si>
    <t xml:space="preserve">見證檢驗點</t>
  </si>
  <si>
    <t xml:space="preserve">管制點</t>
  </si>
  <si>
    <t xml:space="preserve">控制點</t>
  </si>
  <si>
    <t xml:space="preserve">施工缺失重複發生幾次以上，應訂定檢驗停留點</t>
  </si>
  <si>
    <t xml:space="preserve">三次</t>
  </si>
  <si>
    <t xml:space="preserve">四次</t>
  </si>
  <si>
    <t xml:space="preserve">五次</t>
  </si>
  <si>
    <t xml:space="preserve">六次</t>
  </si>
  <si>
    <t xml:space="preserve">重複發生三次以上屬經常性發生缺失者，應加強訂定</t>
  </si>
  <si>
    <t xml:space="preserve">檢查頻率僅檢查一次者，應訂定</t>
  </si>
  <si>
    <t xml:space="preserve">具施工危險性者，應訂定</t>
  </si>
  <si>
    <t xml:space="preserve">隱蔽性、隱藏危險性或施工後無法目視查看者，應訂定</t>
  </si>
  <si>
    <t xml:space="preserve">舉凡材料、設備、系統及結構物等對人民生命財產、整體結構建物或整體機電系統運轉功能具有影響安全性者，應訂定</t>
  </si>
  <si>
    <t xml:space="preserve">訂定施工抽查標準時，方式不切實際，或文字說明過於含糊，是下列何項應注意避免情形？</t>
  </si>
  <si>
    <t xml:space="preserve">不符合之處理</t>
  </si>
  <si>
    <t xml:space="preserve">管理標準</t>
  </si>
  <si>
    <t xml:space="preserve">抽查時機</t>
  </si>
  <si>
    <t xml:space="preserve">抽查頻率</t>
  </si>
  <si>
    <t xml:space="preserve">訂定施工抽查標準時，管理項目欠具體，以致下列何項無法精確訂定？</t>
  </si>
  <si>
    <t xml:space="preserve">施工流程</t>
  </si>
  <si>
    <t xml:space="preserve">執行該項抽驗所使用之品質管制文件或須留存符合管理標準之相關證明文件，屬於施工抽查標準表中哪一個項目執行事項？</t>
  </si>
  <si>
    <t xml:space="preserve">管理紀錄</t>
  </si>
  <si>
    <t xml:space="preserve">管理項目</t>
  </si>
  <si>
    <t xml:space="preserve">需說明檢驗之工具，屬於施工抽查標準表中哪一個項目執行事項？</t>
  </si>
  <si>
    <t xml:space="preserve">抽查方法</t>
  </si>
  <si>
    <t xml:space="preserve">需說明應清楚標示監造單位規定之檢驗停留點，屬於施工抽查標準表中哪一個項目執行事項？</t>
  </si>
  <si>
    <t xml:space="preserve">監造與品質計畫、監造</t>
  </si>
  <si>
    <t xml:space="preserve">除了管理標準外，下列何項之訂定，應依契約規定儘量予以量化，並訂定容許誤差？</t>
  </si>
  <si>
    <t xml:space="preserve">施工步驟</t>
  </si>
  <si>
    <t xml:space="preserve">監造與品質計畫、契約管理</t>
  </si>
  <si>
    <t xml:space="preserve">施工抽查標準之訂定，應依下列哪一項目檢討訂定日後需重點管理之項目？</t>
  </si>
  <si>
    <t xml:space="preserve">監造單位執行施工品質之抽查時機為下列哪一項目？</t>
  </si>
  <si>
    <t xml:space="preserve">與廠商同步進行檢查</t>
  </si>
  <si>
    <t xml:space="preserve">由廠商已完成自主檢查部分進行抽查</t>
  </si>
  <si>
    <t xml:space="preserve">趁廠商尚未自主檢查前</t>
  </si>
  <si>
    <t xml:space="preserve">任何時間均可，不受限制</t>
  </si>
  <si>
    <t xml:space="preserve">廠商遇到檢驗停留點應提出檢驗申請</t>
  </si>
  <si>
    <t xml:space="preserve">材料的抽驗時機分為檢驗停留點及不定期</t>
  </si>
  <si>
    <t xml:space="preserve">監造單位應在廠商自主檢查表上簽署</t>
  </si>
  <si>
    <t xml:space="preserve">發現施工缺失頻率過高即辦理矯正與預防措施</t>
  </si>
  <si>
    <t xml:space="preserve">依勞動部訂定之「加強公共工程職業安全衛生管理作業要點」第12點規定，將下列哪些假設工程項目，列為監督查核重點？</t>
  </si>
  <si>
    <t xml:space="preserve">施工架</t>
  </si>
  <si>
    <t xml:space="preserve">支撐架</t>
  </si>
  <si>
    <t xml:space="preserve">擋土設施</t>
  </si>
  <si>
    <t xml:space="preserve">監造與品質計畫、職業安全衛生、工程查核</t>
  </si>
  <si>
    <t xml:space="preserve">材料的檢驗停留點，應訂定於下列哪一項目中？</t>
  </si>
  <si>
    <t xml:space="preserve">材料進場前</t>
  </si>
  <si>
    <t xml:space="preserve">材料進場時</t>
  </si>
  <si>
    <t xml:space="preserve">材料試驗時</t>
  </si>
  <si>
    <t xml:space="preserve">材料施作完成時</t>
  </si>
  <si>
    <t xml:space="preserve">檢驗停留點之訂定，不包括下列何項？</t>
  </si>
  <si>
    <t xml:space="preserve">工項施作完成時</t>
  </si>
  <si>
    <t xml:space="preserve">關鍵隱蔽作業點</t>
  </si>
  <si>
    <t xml:space="preserve">影響結構強度之關鍵作業點</t>
  </si>
  <si>
    <t xml:space="preserve">施工抽查程序及標準規定，為有效查證廠商之施工品質，監造單位應明確列出施工檢驗停留點及下列哪一查核重點？</t>
  </si>
  <si>
    <t xml:space="preserve">安全衛生監督</t>
  </si>
  <si>
    <t xml:space="preserve">不定期抽查</t>
  </si>
  <si>
    <t xml:space="preserve">自主檢查點</t>
  </si>
  <si>
    <t xml:space="preserve">監造與品質計畫、監造、工程查核</t>
  </si>
  <si>
    <t xml:space="preserve">施工相關法規，應訂定在施工抽查標準表中下列哪一項目内？</t>
  </si>
  <si>
    <t xml:space="preserve">備考</t>
  </si>
  <si>
    <t xml:space="preserve">應留存之客觀佐證資料或合格證明文件，應訂定在施工抽查標準表中下列哪一項目内？</t>
  </si>
  <si>
    <t xml:space="preserve">停留檢驗點又可稱為</t>
  </si>
  <si>
    <t xml:space="preserve">檢停點</t>
  </si>
  <si>
    <t xml:space="preserve">限止點</t>
  </si>
  <si>
    <t xml:space="preserve">電信機房為了降溫散熱，下列何種配置最恰當</t>
  </si>
  <si>
    <t xml:space="preserve">設空調設備</t>
  </si>
  <si>
    <t xml:space="preserve">設通風系統</t>
  </si>
  <si>
    <t xml:space="preserve">設通風百葉</t>
  </si>
  <si>
    <t xml:space="preserve">維持40°C</t>
  </si>
  <si>
    <t xml:space="preserve">電信機房配置，下列何種管線不得穿越</t>
  </si>
  <si>
    <t xml:space="preserve">高壓電力管</t>
  </si>
  <si>
    <t xml:space="preserve">水管</t>
  </si>
  <si>
    <t xml:space="preserve">汙水管</t>
  </si>
  <si>
    <t xml:space="preserve">發電機煙囪排放之氣體為防止黑煙，應加設</t>
  </si>
  <si>
    <t xml:space="preserve">黑煙淨化器</t>
  </si>
  <si>
    <t xml:space="preserve">消音器</t>
  </si>
  <si>
    <t xml:space="preserve">避震器</t>
  </si>
  <si>
    <t xml:space="preserve">緩衝器</t>
  </si>
  <si>
    <t xml:space="preserve">監造與品質計畫、發電設備</t>
  </si>
  <si>
    <t xml:space="preserve">天花板上裸露的電線，施作時管線應以何種管線包覆</t>
  </si>
  <si>
    <r>
      <rPr>
        <sz val="10"/>
        <rFont val="Arial"/>
        <family val="0"/>
        <charset val="1"/>
      </rPr>
      <t xml:space="preserve">PVC</t>
    </r>
    <r>
      <rPr>
        <sz val="10"/>
        <rFont val="Noto Sans CJK SC"/>
        <family val="2"/>
      </rPr>
      <t xml:space="preserve">管</t>
    </r>
  </si>
  <si>
    <r>
      <rPr>
        <sz val="10"/>
        <rFont val="Arial"/>
        <family val="0"/>
        <charset val="1"/>
      </rPr>
      <t xml:space="preserve">CD</t>
    </r>
    <r>
      <rPr>
        <sz val="10"/>
        <rFont val="Noto Sans CJK SC"/>
        <family val="2"/>
      </rPr>
      <t xml:space="preserve">管</t>
    </r>
  </si>
  <si>
    <r>
      <rPr>
        <sz val="10"/>
        <rFont val="Arial"/>
        <family val="0"/>
        <charset val="1"/>
      </rPr>
      <t xml:space="preserve">PF</t>
    </r>
    <r>
      <rPr>
        <sz val="10"/>
        <rFont val="Noto Sans CJK SC"/>
        <family val="2"/>
      </rPr>
      <t xml:space="preserve">管</t>
    </r>
  </si>
  <si>
    <t xml:space="preserve">一般軟管</t>
  </si>
  <si>
    <t xml:space="preserve">金屬鋼管要拉線之前，為避免刮傷絕緣皮，切口處要套上</t>
  </si>
  <si>
    <t xml:space="preserve">喇叭口</t>
  </si>
  <si>
    <t xml:space="preserve">護圈</t>
  </si>
  <si>
    <t xml:space="preserve">不需施作</t>
  </si>
  <si>
    <t xml:space="preserve">監造與品質計畫、電氣安全</t>
  </si>
  <si>
    <r>
      <rPr>
        <sz val="10"/>
        <rFont val="Arial"/>
        <family val="0"/>
        <charset val="1"/>
      </rPr>
      <t xml:space="preserve">PVC</t>
    </r>
    <r>
      <rPr>
        <sz val="10"/>
        <rFont val="Noto Sans CJK SC"/>
        <family val="2"/>
      </rPr>
      <t xml:space="preserve">配管拉線之前，為避免刮傷絕緣皮，切口處要套上</t>
    </r>
  </si>
  <si>
    <t xml:space="preserve">機水電預埋管路，應留意下列何事</t>
  </si>
  <si>
    <t xml:space="preserve">管路不能過度集中</t>
  </si>
  <si>
    <t xml:space="preserve">管路間距要大於3D</t>
  </si>
  <si>
    <t xml:space="preserve">要埋設在雙層鋼筋中間</t>
  </si>
  <si>
    <t xml:space="preserve">管線必須穿樑施作時，管路間距、中心點間的間距應如何配置</t>
  </si>
  <si>
    <t xml:space="preserve">大於1D</t>
  </si>
  <si>
    <t xml:space="preserve">大於2D</t>
  </si>
  <si>
    <t xml:space="preserve">大於3D</t>
  </si>
  <si>
    <t xml:space="preserve">管線與出線匣施設完成後，應以軟鐵線將管路固定於配筋上以防脫落，軟鐵線間距以何者最恰當</t>
  </si>
  <si>
    <r>
      <rPr>
        <sz val="10"/>
        <rFont val="Arial"/>
        <family val="0"/>
        <charset val="1"/>
      </rPr>
      <t xml:space="preserve">3</t>
    </r>
    <r>
      <rPr>
        <sz val="10"/>
        <rFont val="Noto Sans CJK SC"/>
        <family val="2"/>
      </rPr>
      <t xml:space="preserve">公尺</t>
    </r>
  </si>
  <si>
    <t xml:space="preserve">機水電管線要埋設在梁柱裡，應如何埋設</t>
  </si>
  <si>
    <t xml:space="preserve">埋設於箍筋內</t>
  </si>
  <si>
    <t xml:space="preserve">埋設於箍筋外</t>
  </si>
  <si>
    <t xml:space="preserve">無規定</t>
  </si>
  <si>
    <t xml:space="preserve">規劃工地內所作各項相關紀錄資料之作業程序，及如何配合文件之何項？將其紀錄成果作有系統之歸檔</t>
  </si>
  <si>
    <t xml:space="preserve">登錄、收發</t>
  </si>
  <si>
    <t xml:space="preserve">核定、保存</t>
  </si>
  <si>
    <t xml:space="preserve">分類、編碼</t>
  </si>
  <si>
    <t xml:space="preserve">保存、作廢</t>
  </si>
  <si>
    <t xml:space="preserve">文件紀錄管理系統中文件紀錄移轉及存檔，需規劃文件紀錄資料最終之存檔位置及下列何項？</t>
  </si>
  <si>
    <t xml:space="preserve">存檔年限</t>
  </si>
  <si>
    <t xml:space="preserve">存檔密碼</t>
  </si>
  <si>
    <t xml:space="preserve">存檔櫃址</t>
  </si>
  <si>
    <t xml:space="preserve">存檔密級</t>
  </si>
  <si>
    <t xml:space="preserve">稽核流程，不包含下列何項？</t>
  </si>
  <si>
    <t xml:space="preserve">稽核結果通知</t>
  </si>
  <si>
    <t xml:space="preserve">起始會議</t>
  </si>
  <si>
    <t xml:space="preserve">矯正及預防措施</t>
  </si>
  <si>
    <t xml:space="preserve">不合格品之管制</t>
  </si>
  <si>
    <t xml:space="preserve">監造與品質計畫、品質稽核</t>
  </si>
  <si>
    <t xml:space="preserve">工地品管人員對工地管理組織的內部稽核項目不包括？</t>
  </si>
  <si>
    <t xml:space="preserve">施工人員確實了解執行工作的標準</t>
  </si>
  <si>
    <t xml:space="preserve">施工人員應具備執行工作的基本知能</t>
  </si>
  <si>
    <t xml:space="preserve">矯正與預防措施是否落實執行</t>
  </si>
  <si>
    <t xml:space="preserve">對於工地之各項計畫是否落實執行</t>
  </si>
  <si>
    <t xml:space="preserve">預防措施執行過程倘發現效果不彰，則應檢討其產生之原因，針對該缺失原因辦理改善，並執行下列何項？</t>
  </si>
  <si>
    <t xml:space="preserve">矯正措施</t>
  </si>
  <si>
    <t xml:space="preserve">預防措施</t>
  </si>
  <si>
    <t xml:space="preserve">矯正與預防措施</t>
  </si>
  <si>
    <t xml:space="preserve">預防措施此處所強調的項目為下列何項？</t>
  </si>
  <si>
    <t xml:space="preserve">「事前」之「防患未然」</t>
  </si>
  <si>
    <t xml:space="preserve">不再發生的「管制流程」</t>
  </si>
  <si>
    <t xml:space="preserve">回饋到品質制度面</t>
  </si>
  <si>
    <t xml:space="preserve">追查並消除現存不符合事項之原因</t>
  </si>
  <si>
    <t xml:space="preserve">矯正與預防措施，下列何項正確？</t>
  </si>
  <si>
    <t xml:space="preserve">預防措施若達成效，回饋至矯正措施</t>
  </si>
  <si>
    <t xml:space="preserve">預防措施效果不彰，重新執行矯正措施</t>
  </si>
  <si>
    <t xml:space="preserve">矯正措施若達成效，回饋到品質制度面</t>
  </si>
  <si>
    <t xml:space="preserve">矯正廣義定義在防患未然</t>
  </si>
  <si>
    <t xml:space="preserve">矯正採行之措施，不包含下列何項？</t>
  </si>
  <si>
    <t xml:space="preserve">程序修改</t>
  </si>
  <si>
    <t xml:space="preserve">消除潛在不符合之原因</t>
  </si>
  <si>
    <t xml:space="preserve">人員調派</t>
  </si>
  <si>
    <t xml:space="preserve">制度面修改</t>
  </si>
  <si>
    <t xml:space="preserve">有關矯正措施，下列何項有誤？</t>
  </si>
  <si>
    <t xml:space="preserve">所關切的是缺失本身</t>
  </si>
  <si>
    <t xml:space="preserve">是確保不符合事項不再發生的管制流程</t>
  </si>
  <si>
    <t xml:space="preserve">追查並消除現存不符合事項之原因，以回饋到下一階段之施工</t>
  </si>
  <si>
    <t xml:space="preserve">廠商應依所訂定之矯正時機適時辦理矯正措施</t>
  </si>
  <si>
    <t xml:space="preserve">於不符合事項提出矯正及預防措施，且對矯正結果辦理追蹤，並留存紀錄，為下列何種人員的職掌？</t>
  </si>
  <si>
    <t xml:space="preserve">監造人員</t>
  </si>
  <si>
    <t xml:space="preserve">依「公共工程施工品質管理作業要點」規定，應先辦理下列何項工作，才對不符合事項提出矯正及預防措施？</t>
  </si>
  <si>
    <t xml:space="preserve">品質稽核</t>
  </si>
  <si>
    <t xml:space="preserve">品管統計分析</t>
  </si>
  <si>
    <t xml:space="preserve">對於施工缺失頻率高或重大缺失項目，應該與下列何項目做連結？</t>
  </si>
  <si>
    <t xml:space="preserve">矯正防措施</t>
  </si>
  <si>
    <t xml:space="preserve">預防措施序</t>
  </si>
  <si>
    <t xml:space="preserve">下列何項情況，不屬於應辦理不合格報告及通知的時機？</t>
  </si>
  <si>
    <t xml:space="preserve">材料不合格</t>
  </si>
  <si>
    <t xml:space="preserve">施工缺失頻率高</t>
  </si>
  <si>
    <t xml:space="preserve">重大缺失項目</t>
  </si>
  <si>
    <t xml:space="preserve">施工有缺失產生</t>
  </si>
  <si>
    <t xml:space="preserve">不合格品之管制之措施，下列何項有誤？</t>
  </si>
  <si>
    <t xml:space="preserve">可即時改正或重大缺失，訂定相同之管制方法</t>
  </si>
  <si>
    <t xml:space="preserve">訂定經檢驗不合格之處理方式</t>
  </si>
  <si>
    <t xml:space="preserve">訂定對不合格施工之後續處理追蹤機制</t>
  </si>
  <si>
    <t xml:space="preserve">訂定對不合格施工之管制表單</t>
  </si>
  <si>
    <t xml:space="preserve">不合格品之管制，應該針對下列何項進行管制？</t>
  </si>
  <si>
    <t xml:space="preserve">材料部分</t>
  </si>
  <si>
    <t xml:space="preserve">設備部分</t>
  </si>
  <si>
    <t xml:space="preserve">施工部分</t>
  </si>
  <si>
    <t xml:space="preserve">材料/設備與施工部分</t>
  </si>
  <si>
    <t xml:space="preserve">自主檢查表於製作時注意事項，下列何項有誤？</t>
  </si>
  <si>
    <t xml:space="preserve">自主檢查的方法如係抽樣檢查，應紀錄檢查的「點(位置)」與結果</t>
  </si>
  <si>
    <t xml:space="preserve">自主檢查表不應考量方便性</t>
  </si>
  <si>
    <t xml:space="preserve">表單的簽署欄位不應該有主辦機關的簽署欄位</t>
  </si>
  <si>
    <t xml:space="preserve">表單的簽署欄位不應該監造單位的簽署欄位</t>
  </si>
  <si>
    <t xml:space="preserve">下列哪一張表單是屬於工作現場的使用表單？</t>
  </si>
  <si>
    <t xml:space="preserve">材料設備檢(試)驗管制總表</t>
  </si>
  <si>
    <t xml:space="preserve">品質管理標準表</t>
  </si>
  <si>
    <t xml:space="preserve">設備功能運轉檢測標準表</t>
  </si>
  <si>
    <t xml:space="preserve">施工自主檢查之填寫，為下列何種人員的職掌？</t>
  </si>
  <si>
    <t xml:space="preserve">現場工程師</t>
  </si>
  <si>
    <t xml:space="preserve">確認自主檢查之落實性，為下列何種人員的職掌？</t>
  </si>
  <si>
    <t xml:space="preserve">應透過下列何種程序，予以確認自主檢查之落實性？</t>
  </si>
  <si>
    <t xml:space="preserve">品質檢驗</t>
  </si>
  <si>
    <t xml:space="preserve">品質查驗</t>
  </si>
  <si>
    <t xml:space="preserve">自主檢查表於製作時，應依下列何項予以表列？</t>
  </si>
  <si>
    <t xml:space="preserve">施工要領及品質管理標準</t>
  </si>
  <si>
    <t xml:space="preserve">施工檢驗流程</t>
  </si>
  <si>
    <t xml:space="preserve">自主檢查表之訂定，下列何項有誤？</t>
  </si>
  <si>
    <t xml:space="preserve">依主要施工項目，列出自主檢查表項目</t>
  </si>
  <si>
    <t xml:space="preserve">未列出之施工項目，不必於分項工程自主檢查表內容中檢討訂定</t>
  </si>
  <si>
    <t xml:space="preserve">品管人員爰不需於自主檢查表內簽署核章</t>
  </si>
  <si>
    <t xml:space="preserve">自主檢查表所列內容無法辦理檢查，即失去訂定檢查表之效用</t>
  </si>
  <si>
    <t xml:space="preserve">下列何項不屬於自主檢查表中所訂定的項目？</t>
  </si>
  <si>
    <t xml:space="preserve">檢查數量</t>
  </si>
  <si>
    <t xml:space="preserve">檢查位置</t>
  </si>
  <si>
    <t xml:space="preserve">協力廠商</t>
  </si>
  <si>
    <t xml:space="preserve">下列何項屬於自主檢查表中之施工流程？</t>
  </si>
  <si>
    <t xml:space="preserve">材料檢測</t>
  </si>
  <si>
    <t xml:space="preserve">單機檢測</t>
  </si>
  <si>
    <t xml:space="preserve">整體功能運轉檢測</t>
  </si>
  <si>
    <t xml:space="preserve">自主檢查表是針對下列何項加以檢查？</t>
  </si>
  <si>
    <t xml:space="preserve">部分工作項目之施工成果</t>
  </si>
  <si>
    <t xml:space="preserve">整體功能運轉</t>
  </si>
  <si>
    <t xml:space="preserve">全部工作項目之施工成果</t>
  </si>
  <si>
    <t xml:space="preserve">某一特定工作項目之施工成果</t>
  </si>
  <si>
    <t xml:space="preserve">自主檢查表之執行，下列何項有誤？</t>
  </si>
  <si>
    <t xml:space="preserve">不宜事後以蓋章方式或由文書人員處理</t>
  </si>
  <si>
    <t xml:space="preserve">應註明檢查人員</t>
  </si>
  <si>
    <t xml:space="preserve">自主檢查表是針對廣泛的作業流程來管制</t>
  </si>
  <si>
    <t xml:space="preserve">應註明檢查時機</t>
  </si>
  <si>
    <t xml:space="preserve">分項工程自主檢查表內之檢查標準，須依下列何項訂定？</t>
  </si>
  <si>
    <t xml:space="preserve">設備功能運轉檢測標準</t>
  </si>
  <si>
    <t xml:space="preserve">制定設備功能運轉檢測程序時，應先提出下列何項？以表達單機項目、系統、整體間之關聯性</t>
  </si>
  <si>
    <t xml:space="preserve">製造過程中之作業計畫</t>
  </si>
  <si>
    <t xml:space="preserve">施工(或組裝)過程之文件</t>
  </si>
  <si>
    <t xml:space="preserve">機電系統架構圖</t>
  </si>
  <si>
    <t xml:space="preserve">下列何項不是設備功能運轉檢測標準表中之檢測流程？</t>
  </si>
  <si>
    <t xml:space="preserve">系統檢測</t>
  </si>
  <si>
    <t xml:space="preserve">設備功能運轉檢測紀錄表應由工地主任(工地負責人)及下列何種人員簽名？</t>
  </si>
  <si>
    <t xml:space="preserve">施工人員</t>
  </si>
  <si>
    <t xml:space="preserve">監造現場人員</t>
  </si>
  <si>
    <t xml:space="preserve">檢測人員</t>
  </si>
  <si>
    <t xml:space="preserve">設備功能運轉檢測未完成改善，應透過何種表單進行追蹤改善？</t>
  </si>
  <si>
    <t xml:space="preserve">材料設備送審管制總表</t>
  </si>
  <si>
    <t xml:space="preserve">材料設備品質管理標準表</t>
  </si>
  <si>
    <t xml:space="preserve">對於各項設備功能運轉之檢測，依所訂定之檢測程序及檢測項目，分別檢討訂定應達到何項所訂之標準？</t>
  </si>
  <si>
    <t xml:space="preserve">設計單位自訂設計圖說</t>
  </si>
  <si>
    <t xml:space="preserve">甲乙雙方訂定之工程契約</t>
  </si>
  <si>
    <t xml:space="preserve">施工單位自訂施工說明書</t>
  </si>
  <si>
    <t xml:space="preserve">供料廠商自訂規範</t>
  </si>
  <si>
    <t xml:space="preserve">下列敘述何項錯誤？</t>
  </si>
  <si>
    <t xml:space="preserve">對材料設備之試驗，應依品質管理標準表內所訂內容辦理</t>
  </si>
  <si>
    <t xml:space="preserve">材料/設備選定前之作業，應事先瞭解監造單位或主辦機關之要求</t>
  </si>
  <si>
    <t xml:space="preserve">監造單位指定的停留點，該點的工作非經監造單位同意，不能進行後續工作</t>
  </si>
  <si>
    <t xml:space="preserve">監造單位檢驗停留點之訂定，可依工程規模性質及各分項工程間之關聯性，訂定於各分項施工計畫內</t>
  </si>
  <si>
    <t xml:space="preserve">對材料設備之檢(試)驗結果，應該填寫哪一張表單進行控管？</t>
  </si>
  <si>
    <t xml:space="preserve">承攬廠商於材料設備自主檢查合格後，應進行下列哪一個步驟？</t>
  </si>
  <si>
    <t xml:space="preserve">開始使用材料設備</t>
  </si>
  <si>
    <t xml:space="preserve">送實驗室試驗</t>
  </si>
  <si>
    <t xml:space="preserve">口頭通知監造單位辦理查驗</t>
  </si>
  <si>
    <t xml:space="preserve">書面通知監造單位辦理查驗</t>
  </si>
  <si>
    <t xml:space="preserve">承攬廠商於材料與設備進場時，應該填寫哪一張表單進行檢查？</t>
  </si>
  <si>
    <t xml:space="preserve">材料/設備品質抽驗紀錄表</t>
  </si>
  <si>
    <t xml:space="preserve">材料自主檢查表</t>
  </si>
  <si>
    <t xml:space="preserve">下列何項不屬於材料設備進料前之管制項目？</t>
  </si>
  <si>
    <t xml:space="preserve">是否取樣送驗</t>
  </si>
  <si>
    <t xml:space="preserve">是否驗廠</t>
  </si>
  <si>
    <t xml:space="preserve">送審資料</t>
  </si>
  <si>
    <t xml:space="preserve">預定進場日期</t>
  </si>
  <si>
    <t xml:space="preserve">監造與品質計畫、進料檢驗</t>
  </si>
  <si>
    <t xml:space="preserve">材料設備檢(試)驗管制總表應管制下列何種的材料設備？</t>
  </si>
  <si>
    <t xml:space="preserve">管制現場抽樣檢驗之材料設備</t>
  </si>
  <si>
    <t xml:space="preserve">管制送實驗室試驗之材料設備</t>
  </si>
  <si>
    <t xml:space="preserve">同時管制現場抽樣檢驗及送實驗室試驗項目之材料設備</t>
  </si>
  <si>
    <t xml:space="preserve">管制不需送審之材料設備</t>
  </si>
  <si>
    <t xml:space="preserve">下列何項不屬於材料設備檢(試)驗管制總表的管制項目？</t>
  </si>
  <si>
    <t xml:space="preserve">規定抽樣頻率</t>
  </si>
  <si>
    <t xml:space="preserve">累積進場數量</t>
  </si>
  <si>
    <t xml:space="preserve">檢(試)驗及會同人員</t>
  </si>
  <si>
    <t xml:space="preserve">下列何項不是屬於材料設備送審資料的管制項目？</t>
  </si>
  <si>
    <t xml:space="preserve">協力廠商資料</t>
  </si>
  <si>
    <t xml:space="preserve">契約數量</t>
  </si>
  <si>
    <t xml:space="preserve">型錄</t>
  </si>
  <si>
    <t xml:space="preserve">相關試驗報告</t>
  </si>
  <si>
    <t xml:space="preserve">材料與設備及施工檢驗程序中，施工檢驗流程應包含下列何項？</t>
  </si>
  <si>
    <t xml:space="preserve">自主檢查及檢驗停留點抽查</t>
  </si>
  <si>
    <t xml:space="preserve">檢驗停留點抽查及向監造單位申請檢驗程序</t>
  </si>
  <si>
    <t xml:space="preserve">不定期抽查及檢驗停留點抽查</t>
  </si>
  <si>
    <t xml:space="preserve">自主檢查及向監造單位申請檢驗程序</t>
  </si>
  <si>
    <t xml:space="preserve">材料與設備選定前，應該使用下列哪一張表單進行檢討？</t>
  </si>
  <si>
    <t xml:space="preserve">材料/設備品質管理標準表</t>
  </si>
  <si>
    <t xml:space="preserve">品質管理標準表內有關材料管理項目之訂定，是應針對材料的何項時機訂定？</t>
  </si>
  <si>
    <t xml:space="preserve">送試驗室試驗項目</t>
  </si>
  <si>
    <t xml:space="preserve">進至工地現場檢查項目</t>
  </si>
  <si>
    <t xml:space="preserve">送試驗室試驗項目及進至工地現場檢查項目</t>
  </si>
  <si>
    <t xml:space="preserve">廠驗之檢測項目</t>
  </si>
  <si>
    <t xml:space="preserve">有關品質管理標準表之訂定，下列敘述何項錯誤？</t>
  </si>
  <si>
    <t xml:space="preserve">材料管理項目針對試驗項目訂定</t>
  </si>
  <si>
    <t xml:space="preserve">材料進場時應辦理材料自主檢查</t>
  </si>
  <si>
    <t xml:space="preserve">檢討出之管理項目回饋至材料自主檢查表內</t>
  </si>
  <si>
    <t xml:space="preserve">針對材料進至工地現場應檢查之項目訂定</t>
  </si>
  <si>
    <t xml:space="preserve">下列何項不是品質管理標準應避免情形？</t>
  </si>
  <si>
    <t xml:space="preserve">管理項目欠具體</t>
  </si>
  <si>
    <t xml:space="preserve">檢查時機與檢查頻率混淆</t>
  </si>
  <si>
    <t xml:space="preserve">管理紀錄方式不切實際</t>
  </si>
  <si>
    <t xml:space="preserve">不符合之處理文字說明過於含糊</t>
  </si>
  <si>
    <t xml:space="preserve">需說明檢驗之工具或方式，是指品質管理標準的哪一項目？</t>
  </si>
  <si>
    <t xml:space="preserve">檢查頻率</t>
  </si>
  <si>
    <t xml:space="preserve">檢查時機</t>
  </si>
  <si>
    <t xml:space="preserve">檢查項目</t>
  </si>
  <si>
    <t xml:space="preserve">檢查方法</t>
  </si>
  <si>
    <t xml:space="preserve">即為自主檢查點，並清楚標示監造單位規定之檢驗停留點，是指品質管理標準的哪一項目？</t>
  </si>
  <si>
    <t xml:space="preserve">廠商辦理材料檢驗時，若將預拌混凝土每100M³，製作一組試體共5個，請問此種規定是屬管理要項之下列何項？</t>
  </si>
  <si>
    <t xml:space="preserve">訂定多久或多少數量檢查一次，是指品質管理標準的哪一項目？</t>
  </si>
  <si>
    <t xml:space="preserve">品質管理標準是將施工過程中之管理重點，作系統性之整理</t>
  </si>
  <si>
    <t xml:space="preserve">詳細品質管理標準內容訂定，併入各分項施工計畫內</t>
  </si>
  <si>
    <t xml:space="preserve">管理標準，即為日後應辦理自主檢查合格之判定標準</t>
  </si>
  <si>
    <t xml:space="preserve">管理標準之訂定，定性有困難才予以定量</t>
  </si>
  <si>
    <t xml:space="preserve">各分項工程於檢討「管理項目」時，應依下列何項訂定？以檢討出應管理(檢查)之項目</t>
  </si>
  <si>
    <t xml:space="preserve">施工方法</t>
  </si>
  <si>
    <t xml:space="preserve">施工注意事項</t>
  </si>
  <si>
    <t xml:space="preserve">管理要項</t>
  </si>
  <si>
    <t xml:space="preserve">以下哪一項不屬於施工品質管理標準，針對各施工階段，列出的項目？</t>
  </si>
  <si>
    <t xml:space="preserve">管理項目、管理標準</t>
  </si>
  <si>
    <t xml:space="preserve">檢查時機、檢查方法</t>
  </si>
  <si>
    <t xml:space="preserve">使用材料、施工方法</t>
  </si>
  <si>
    <t xml:space="preserve">檢查頻率與不符合之處理方式</t>
  </si>
  <si>
    <t xml:space="preserve">下列何項不屬於管理要項，應列出的項目？</t>
  </si>
  <si>
    <t xml:space="preserve">不符合之處理方式</t>
  </si>
  <si>
    <t xml:space="preserve">品質管理標準須檢討之內容，不包含下列何項？</t>
  </si>
  <si>
    <t xml:space="preserve">應留存之客觀佐證資料或合格證明文件，是指分項工程品質管理標準的哪一項目？</t>
  </si>
  <si>
    <t xml:space="preserve">列出分項工程之施工步驟，是指分項工程品質管理標準的哪一項目？</t>
  </si>
  <si>
    <t xml:space="preserve">施工要領係爲達成施工規範要求，檢討達成之方法及施工中應注意事項，並配合下列何項之說明？</t>
  </si>
  <si>
    <t xml:space="preserve">設計圖</t>
  </si>
  <si>
    <t xml:space="preserve">流程圖</t>
  </si>
  <si>
    <t xml:space="preserve">大樣圖</t>
  </si>
  <si>
    <t xml:space="preserve">施工圖</t>
  </si>
  <si>
    <t xml:space="preserve">有關施工注意事項，下列敘述何項錯誤？</t>
  </si>
  <si>
    <t xml:space="preserve">直接翻錄施工規範</t>
  </si>
  <si>
    <t xml:space="preserve">施工經驗或慣例所需施作重點</t>
  </si>
  <si>
    <t xml:space="preserve">疏忽時將影響施工效率之工作事項</t>
  </si>
  <si>
    <t xml:space="preserve">文字力求簡潔扼要</t>
  </si>
  <si>
    <t xml:space="preserve">施作時應該依契約圖說、施工規範，檢討施工過程應考慮或執行之事項，屬於施工要領哪一個項重點？</t>
  </si>
  <si>
    <t xml:space="preserve">施工機具</t>
  </si>
  <si>
    <t xml:space="preserve">施工數量</t>
  </si>
  <si>
    <t xml:space="preserve">下列何項不是屬於施工要領的重點項目？</t>
  </si>
  <si>
    <t xml:space="preserve">品管統計分析，為下列何種人員的工作重點？</t>
  </si>
  <si>
    <t xml:space="preserve">矯正與預防措施之提出及追蹤改善，為下列何種人員的工作重點？</t>
  </si>
  <si>
    <t xml:space="preserve">執行內部品質稽核，為下列何種人員的工作重點？</t>
  </si>
  <si>
    <t xml:space="preserve">依「公共工程施工品質管理作業要點」規定，辦理新臺幣二億元以上之工程，至少要設置幾位品管人員？</t>
  </si>
  <si>
    <r>
      <rPr>
        <sz val="10"/>
        <rFont val="Arial"/>
        <family val="0"/>
        <charset val="1"/>
      </rPr>
      <t xml:space="preserve">1</t>
    </r>
    <r>
      <rPr>
        <sz val="10"/>
        <rFont val="Noto Sans CJK SC"/>
        <family val="2"/>
      </rPr>
      <t xml:space="preserve">位</t>
    </r>
  </si>
  <si>
    <r>
      <rPr>
        <sz val="10"/>
        <rFont val="Arial"/>
        <family val="0"/>
        <charset val="1"/>
      </rPr>
      <t xml:space="preserve">2</t>
    </r>
    <r>
      <rPr>
        <sz val="10"/>
        <rFont val="Noto Sans CJK SC"/>
        <family val="2"/>
      </rPr>
      <t xml:space="preserve">位</t>
    </r>
  </si>
  <si>
    <r>
      <rPr>
        <sz val="10"/>
        <rFont val="Arial"/>
        <family val="0"/>
        <charset val="1"/>
      </rPr>
      <t xml:space="preserve">3</t>
    </r>
    <r>
      <rPr>
        <sz val="10"/>
        <rFont val="Noto Sans CJK SC"/>
        <family val="2"/>
      </rPr>
      <t xml:space="preserve">位</t>
    </r>
  </si>
  <si>
    <r>
      <rPr>
        <sz val="10"/>
        <rFont val="Arial"/>
        <family val="0"/>
        <charset val="1"/>
      </rPr>
      <t xml:space="preserve">4</t>
    </r>
    <r>
      <rPr>
        <sz val="10"/>
        <rFont val="Noto Sans CJK SC"/>
        <family val="2"/>
      </rPr>
      <t xml:space="preserve">位</t>
    </r>
  </si>
  <si>
    <t xml:space="preserve">品管人員應專職，不得跨越其他標案，其要件是所辦理之工程規模為下列何項？</t>
  </si>
  <si>
    <t xml:space="preserve">新臺幣二億元以上</t>
  </si>
  <si>
    <t xml:space="preserve">新臺幣二千萬元以上</t>
  </si>
  <si>
    <t xml:space="preserve">新臺幣五千萬元以上</t>
  </si>
  <si>
    <t xml:space="preserve">新臺幣一千萬元以上</t>
  </si>
  <si>
    <t xml:space="preserve">工程開始進行前，品管人員應先報監造單位審查，並經主辦機關核定後，由下列何種人員填報於工程會資訊網路登錄表內備查？</t>
  </si>
  <si>
    <t xml:space="preserve">主任技師</t>
  </si>
  <si>
    <t xml:space="preserve">主辦機關人員</t>
  </si>
  <si>
    <t xml:space="preserve">工地組織依規定設置之品管人員，應在下列何種人員指揮之下，依廠商品質政策及目標貫徹執行？</t>
  </si>
  <si>
    <t xml:space="preserve">品管組織應明確定義，下列敘述何項錯誤？</t>
  </si>
  <si>
    <t xml:space="preserve">廠商執行契約的工地組織</t>
  </si>
  <si>
    <t xml:space="preserve">工作職掌應以職稱說明</t>
  </si>
  <si>
    <t xml:space="preserve">不宜針對特定人名訂定</t>
  </si>
  <si>
    <t xml:space="preserve">只說明品管人員之職掌與資格</t>
  </si>
  <si>
    <t xml:space="preserve">施工中發現顯有立即危險之虞，應即時為必要之措施，為下列何種人員應執行業務？</t>
  </si>
  <si>
    <t xml:space="preserve">施工技術指導及施工安全、解決施工技術問題，為下列何種人員應執行業務？</t>
  </si>
  <si>
    <t xml:space="preserve">督察按圖施工，為下列何種人員應執行業務？</t>
  </si>
  <si>
    <t xml:space="preserve">工程施工品質，應由下列何種人員向廠商公司負責？</t>
  </si>
  <si>
    <t xml:space="preserve">下列何項不屬於品質計畫的適用對象？</t>
  </si>
  <si>
    <t xml:space="preserve">材料供應商</t>
  </si>
  <si>
    <t xml:space="preserve">品質計畫中工程概要，不包含下列何項？</t>
  </si>
  <si>
    <t xml:space="preserve">設計單位及設計技師</t>
  </si>
  <si>
    <t xml:space="preserve">監造單位及監造技師</t>
  </si>
  <si>
    <t xml:space="preserve">主要施工項目及數量</t>
  </si>
  <si>
    <t xml:space="preserve">契約工期</t>
  </si>
  <si>
    <t xml:space="preserve">製作品質計畫時，除依契約、作業要點及下列何項？相關應配合事項辦理外，另應參酌其他相關法令</t>
  </si>
  <si>
    <t xml:space="preserve">整體施工計畫</t>
  </si>
  <si>
    <t xml:space="preserve">監造計畫</t>
  </si>
  <si>
    <t xml:space="preserve">分項施工計畫</t>
  </si>
  <si>
    <t xml:space="preserve">分項品質計畫</t>
  </si>
  <si>
    <t xml:space="preserve">各相關分項品質計畫之訂定時機為何？</t>
  </si>
  <si>
    <t xml:space="preserve">須於整體品質計畫訂定時須全部完成</t>
  </si>
  <si>
    <t xml:space="preserve">於監造計畫內訂定</t>
  </si>
  <si>
    <t xml:space="preserve">須於整體施工計畫內訂定</t>
  </si>
  <si>
    <t xml:space="preserve">得於訂定分項施工計畫時訂定</t>
  </si>
  <si>
    <t xml:space="preserve">有關整體品質計畫與分項品質計畫，下列何者錯誤？</t>
  </si>
  <si>
    <t xml:space="preserve">分項品質計畫僅為概略之規劃</t>
  </si>
  <si>
    <t xml:space="preserve">分項品質計畫則併入各分項施工計畫</t>
  </si>
  <si>
    <t xml:space="preserve">整體品質計畫應依契約規定時間提出</t>
  </si>
  <si>
    <t xml:space="preserve">承攬廠商應將整體品質計畫送協力廠商，據以訂定分項品質計畫</t>
  </si>
  <si>
    <t xml:space="preserve">整體品質計畫之內容，若工程包括有運轉類機電設備者，應另增加下列何項？</t>
  </si>
  <si>
    <t xml:space="preserve">設備功能運轉測試抽驗程序及標準</t>
  </si>
  <si>
    <t xml:space="preserve">材料與設備抽驗程序及標準</t>
  </si>
  <si>
    <t xml:space="preserve">設備功能運轉檢測程序及標準</t>
  </si>
  <si>
    <t xml:space="preserve">有關分項品質計畫之敘述，下列何者正確？</t>
  </si>
  <si>
    <t xml:space="preserve">不合格品之管制屬分項品質計畫之一部分</t>
  </si>
  <si>
    <t xml:space="preserve">分項品質計畫需於開工前應全部完成</t>
  </si>
  <si>
    <t xml:space="preserve">分項品質計畫詳細內容檢討於整體品質計畫內應訂定完成</t>
  </si>
  <si>
    <t xml:space="preserve">分項品質計畫屬分項施工計畫之一部分</t>
  </si>
  <si>
    <t xml:space="preserve">下列何者不是整體品質計畫之內容？</t>
  </si>
  <si>
    <t xml:space="preserve">第一級品管，廠商應建立施工品質何項系統？</t>
  </si>
  <si>
    <t xml:space="preserve">查核</t>
  </si>
  <si>
    <t xml:space="preserve">管制</t>
  </si>
  <si>
    <t xml:space="preserve">檢驗</t>
  </si>
  <si>
    <t xml:space="preserve">查證</t>
  </si>
  <si>
    <t xml:space="preserve">品質計畫製作綱要，是以多少新臺幣之工程規模為基準編訂？</t>
  </si>
  <si>
    <t xml:space="preserve">一千萬元以上</t>
  </si>
  <si>
    <t xml:space="preserve">二千萬元以上</t>
  </si>
  <si>
    <t xml:space="preserve">五千萬元以上</t>
  </si>
  <si>
    <t xml:space="preserve">六千萬元以上</t>
  </si>
  <si>
    <t xml:space="preserve">稽核流程不包含下列何項？</t>
  </si>
  <si>
    <t xml:space="preserve">稽核中會議</t>
  </si>
  <si>
    <t xml:space="preserve">稽核後會議</t>
  </si>
  <si>
    <t xml:space="preserve">現場稽核</t>
  </si>
  <si>
    <t xml:space="preserve">稽核之通知</t>
  </si>
  <si>
    <t xml:space="preserve">監造單位稽核重點中，透過下列何項？確認執行工作成果符合作業紀錄且品質無虞</t>
  </si>
  <si>
    <t xml:space="preserve">執行工作的基本知能</t>
  </si>
  <si>
    <t xml:space="preserve">執行工作的標準</t>
  </si>
  <si>
    <t xml:space="preserve">成果查證</t>
  </si>
  <si>
    <t xml:space="preserve">作業文件及紀錄</t>
  </si>
  <si>
    <t xml:space="preserve">監造與品質計畫、監造、品質稽核</t>
  </si>
  <si>
    <t xml:space="preserve">監造單位稽核重點中，透過下列何項？確認執行工作者確實依據作業流程執行</t>
  </si>
  <si>
    <t xml:space="preserve">監造單位對於預定實施之稽核作業，應預先擬定稽核細項，訂定於下列哪一張表單中？</t>
  </si>
  <si>
    <t xml:space="preserve">稽核通知單</t>
  </si>
  <si>
    <t xml:space="preserve">稽核時程管制表</t>
  </si>
  <si>
    <t xml:space="preserve">稽核查對表</t>
  </si>
  <si>
    <t xml:space="preserve">稽核改正措施通知單</t>
  </si>
  <si>
    <t xml:space="preserve">下列何者非實施之稽核作業，應預先擬定的項目？</t>
  </si>
  <si>
    <t xml:space="preserve">稽核細項</t>
  </si>
  <si>
    <t xml:space="preserve">稽核重點</t>
  </si>
  <si>
    <t xml:space="preserve">訂定稽核查對表</t>
  </si>
  <si>
    <t xml:space="preserve">監造單位品質稽核範圍，下列何項正確？</t>
  </si>
  <si>
    <t xml:space="preserve">廠商品質計畫執行成效之內部稽核</t>
  </si>
  <si>
    <t xml:space="preserve">監造計畫執行成效之外部稽核</t>
  </si>
  <si>
    <t xml:space="preserve">施工計畫執行成效之內部稽核</t>
  </si>
  <si>
    <t xml:space="preserve">監造計畫執行成效之內部稽核</t>
  </si>
  <si>
    <t xml:space="preserve">檢驗停留點，應訂定在施工抽查標準表中下列哪一項目内？</t>
  </si>
  <si>
    <t xml:space="preserve">下列何項不包括管理要領所應列出的項目？</t>
  </si>
  <si>
    <t xml:space="preserve">施工流程，是指訂定分項工程的何種項目？</t>
  </si>
  <si>
    <t xml:space="preserve">訂定施工抽查標準的第一個步驟，為訂定下列何項？</t>
  </si>
  <si>
    <t xml:space="preserve">抽查項目</t>
  </si>
  <si>
    <t xml:space="preserve">監造單位訂定施工抽查程序，下列何者錯誤？</t>
  </si>
  <si>
    <t xml:space="preserve">訂定檢驗停留點抽查程序</t>
  </si>
  <si>
    <t xml:space="preserve">訂定不定期抽查程序</t>
  </si>
  <si>
    <t xml:space="preserve">訂定自主檢查點抽查程序</t>
  </si>
  <si>
    <t xml:space="preserve">對於可即時改正缺失部分或重大缺失，應訂定有不同之管制方法</t>
  </si>
  <si>
    <t xml:space="preserve">監造單位對於施工的檢查，稱為？</t>
  </si>
  <si>
    <t xml:space="preserve">抽驗</t>
  </si>
  <si>
    <t xml:space="preserve">抽查</t>
  </si>
  <si>
    <t xml:space="preserve">試驗</t>
  </si>
  <si>
    <t xml:space="preserve">廠商訂製材料設備後，經由製造商依所訂製之規格製造成半成品在未組裝出貨前，至工廠裡作品質與規格及功能的相關測試，稱為？</t>
  </si>
  <si>
    <t xml:space="preserve">廠驗</t>
  </si>
  <si>
    <t xml:space="preserve">驗廠</t>
  </si>
  <si>
    <t xml:space="preserve">設備送至工地組設完成後之稱為？</t>
  </si>
  <si>
    <t xml:space="preserve">系統測試</t>
  </si>
  <si>
    <t xml:space="preserve">單機測試</t>
  </si>
  <si>
    <t xml:space="preserve">整體功能運轉測試</t>
  </si>
  <si>
    <t xml:space="preserve">設備於工廠應辦理之測試稱為？</t>
  </si>
  <si>
    <t xml:space="preserve">設備功能運轉測試紀錄表應由監造工地負責(授權)人及下列何種人員簽名？</t>
  </si>
  <si>
    <t xml:space="preserve">測試人員</t>
  </si>
  <si>
    <t xml:space="preserve">設備功能運轉測試程序中，與其他工項介面連結的測試稱為？</t>
  </si>
  <si>
    <t xml:space="preserve">單機設備測試</t>
  </si>
  <si>
    <t xml:space="preserve">系統運轉測試</t>
  </si>
  <si>
    <t xml:space="preserve">爲確認機電整套系統設備其相關之管路、電氣、儀控、監測等裝配完成後之運作測試稱為？</t>
  </si>
  <si>
    <t xml:space="preserve">爲確認設備裝置能符合契約要求之測試稱為？</t>
  </si>
  <si>
    <t xml:space="preserve">統包商應依據契約及基本設計內容，辦理下列哪一項目？</t>
  </si>
  <si>
    <t xml:space="preserve">整體規畫</t>
  </si>
  <si>
    <t xml:space="preserve">訂定分項工程品質管理標準</t>
  </si>
  <si>
    <t xml:space="preserve">分項工程數量計算</t>
  </si>
  <si>
    <t xml:space="preserve">細部設計</t>
  </si>
  <si>
    <t xml:space="preserve">監造單位發現材料設備不合格時，監造單位應辦理辦理事項，下列何項錯誤？</t>
  </si>
  <si>
    <t xml:space="preserve">通知廠商退料</t>
  </si>
  <si>
    <t xml:space="preserve">辦理矯正與預防措施</t>
  </si>
  <si>
    <t xml:space="preserve">訂定不合格追蹤管制表</t>
  </si>
  <si>
    <t xml:space="preserve">定期列管其改善情形</t>
  </si>
  <si>
    <t xml:space="preserve">監造單位於材料與設備進場時，應該使用下列哪一張表單進行檢查？</t>
  </si>
  <si>
    <t xml:space="preserve">監造單位於材料與設備進場時必須辦理對材料設備的檢查，稱為？</t>
  </si>
  <si>
    <t xml:space="preserve">在下訂單之前對工廠進行審核或評估，確認符合需求才下訂單，稱為？</t>
  </si>
  <si>
    <t xml:space="preserve">監造單位對材料設備之核定程序，不包括下列哪一項目？</t>
  </si>
  <si>
    <t xml:space="preserve">試驗項目</t>
  </si>
  <si>
    <t xml:space="preserve">材料設備之送審項目</t>
  </si>
  <si>
    <t xml:space="preserve">審查時限</t>
  </si>
  <si>
    <t xml:space="preserve">退回施工廠商修正時間列管</t>
  </si>
  <si>
    <t xml:space="preserve">下列何項不是屬於材料設備現場抽樣檢驗項目？</t>
  </si>
  <si>
    <t xml:space="preserve">廠牌</t>
  </si>
  <si>
    <t xml:space="preserve">化學性質</t>
  </si>
  <si>
    <t xml:space="preserve">尺寸</t>
  </si>
  <si>
    <t xml:space="preserve">外觀</t>
  </si>
  <si>
    <t xml:space="preserve">監造與品質計畫、抽樣檢驗</t>
  </si>
  <si>
    <t xml:space="preserve">下列何項屬於材料設備檢(試)驗管制總表的管制項目？</t>
  </si>
  <si>
    <t xml:space="preserve">是否取樣試驗</t>
  </si>
  <si>
    <t xml:space="preserve">下列何項不是屬於材料設備檢(試)驗管制總表的管制項目？</t>
  </si>
  <si>
    <t xml:space="preserve">契約詳細表項次</t>
  </si>
  <si>
    <t xml:space="preserve">進場數量</t>
  </si>
  <si>
    <t xml:space="preserve">下列何項屬於材料設備送審管制表的管制項目？</t>
  </si>
  <si>
    <t xml:space="preserve">實際進場日期</t>
  </si>
  <si>
    <t xml:space="preserve">檢(試)驗結果</t>
  </si>
  <si>
    <t xml:space="preserve">下列何項不是屬於材料設備送審管制表的管制項目？</t>
  </si>
  <si>
    <t xml:space="preserve">材料與設備抽驗管理標準至少檢討的項目，不包括下列何項？</t>
  </si>
  <si>
    <t xml:space="preserve">抽驗時機</t>
  </si>
  <si>
    <t xml:space="preserve">材料與設備抽驗程序及標準，依契約規定，須訂定對材料與設備何項單位之送審核備規定？</t>
  </si>
  <si>
    <t xml:space="preserve">檢驗單位</t>
  </si>
  <si>
    <t xml:space="preserve">製造單位</t>
  </si>
  <si>
    <t xml:space="preserve">試驗單位</t>
  </si>
  <si>
    <t xml:space="preserve">廠驗單位</t>
  </si>
  <si>
    <t xml:space="preserve">決定契約內應使用之材料與設備，應使用下列哪一張表單進行檢討？</t>
  </si>
  <si>
    <t xml:space="preserve">下列何項不屬於分項品質計畫包括的項目？</t>
  </si>
  <si>
    <t xml:space="preserve">進度管理</t>
  </si>
  <si>
    <t xml:space="preserve">下列何項不屬於整體施工計畫至少包括的項目？</t>
  </si>
  <si>
    <t xml:space="preserve">移交管理計畫</t>
  </si>
  <si>
    <t xml:space="preserve">假設工程計畫</t>
  </si>
  <si>
    <t xml:space="preserve">環境保護執行計畫</t>
  </si>
  <si>
    <t xml:space="preserve">分項施工計畫於該分項工程何項時機完成核定的程序？</t>
  </si>
  <si>
    <t xml:space="preserve">發包前</t>
  </si>
  <si>
    <t xml:space="preserve">簽約前</t>
  </si>
  <si>
    <t xml:space="preserve">監造單位應依整體施工計畫哪一項目，據依訂定廠商應製作之各分項工程施工計畫項目？</t>
  </si>
  <si>
    <t xml:space="preserve">人員組織</t>
  </si>
  <si>
    <t xml:space="preserve">預定作業進度</t>
  </si>
  <si>
    <t xml:space="preserve">施工作業管理</t>
  </si>
  <si>
    <t xml:space="preserve">主要施工項目</t>
  </si>
  <si>
    <t xml:space="preserve">下列何項對施工計畫敘述有誤？</t>
  </si>
  <si>
    <t xml:space="preserve">視工程規模性質分為整體施工計畫與分項施工計畫</t>
  </si>
  <si>
    <t xml:space="preserve">整體施工計畫應要求廠商依契約規定時程提送</t>
  </si>
  <si>
    <t xml:space="preserve">未達五千萬元之工程分項施工計畫可併入整體施工計畫內檢討</t>
  </si>
  <si>
    <t xml:space="preserve">應完成分項施工計畫之核定作業</t>
  </si>
  <si>
    <t xml:space="preserve">下列何項屬於分項工程施工計畫審查項目？</t>
  </si>
  <si>
    <t xml:space="preserve">施工圖說</t>
  </si>
  <si>
    <t xml:space="preserve">開工前置作業</t>
  </si>
  <si>
    <t xml:space="preserve">緊急應變及防災計畫</t>
  </si>
  <si>
    <t xml:space="preserve">有否列出工程之主要施工項目，屬於整體施工計畫哪一項目的審查項目？</t>
  </si>
  <si>
    <t xml:space="preserve">工程概述</t>
  </si>
  <si>
    <t xml:space="preserve">分項工程施工計畫</t>
  </si>
  <si>
    <t xml:space="preserve">施工計畫送審過程之管制方法，其管制重點應包含？</t>
  </si>
  <si>
    <t xml:space="preserve">對廠商送審時程之掌控</t>
  </si>
  <si>
    <t xml:space="preserve">對廠商修改時程之掌控</t>
  </si>
  <si>
    <t xml:space="preserve">對廠商送審及修改時程之掌控</t>
  </si>
  <si>
    <t xml:space="preserve">完成時限訂定</t>
  </si>
  <si>
    <t xml:space="preserve">施工計畫審查作業程序中，應訂定下列何者及完成時限？</t>
  </si>
  <si>
    <t xml:space="preserve">材料與設備審查程序</t>
  </si>
  <si>
    <t xml:space="preserve">不符合之處理作業規定</t>
  </si>
  <si>
    <t xml:space="preserve">材料與設備其抽驗作業程序</t>
  </si>
  <si>
    <t xml:space="preserve">施工抽查程序</t>
  </si>
  <si>
    <t xml:space="preserve">施工計畫審查作業程序，下列何項敘述有誤？</t>
  </si>
  <si>
    <t xml:space="preserve">主辦機關應明確條列廠商應送審之分項施工計畫</t>
  </si>
  <si>
    <t xml:space="preserve">廠商應依契約規定，製作整體施工計畫及其他分項施工計畫</t>
  </si>
  <si>
    <t xml:space="preserve">包含施工計畫審查時限</t>
  </si>
  <si>
    <t xml:space="preserve">包含施工計畫之審查及核定流程</t>
  </si>
  <si>
    <t xml:space="preserve">下列何種計畫，應分階段提送審查？</t>
  </si>
  <si>
    <t xml:space="preserve">品質計畫</t>
  </si>
  <si>
    <t xml:space="preserve">職安衛計畫</t>
  </si>
  <si>
    <t xml:space="preserve">施工計畫</t>
  </si>
  <si>
    <t xml:space="preserve">分項品質計畫之訂定時機為何？</t>
  </si>
  <si>
    <t xml:space="preserve">於整體品質計畫訂定時全部完成</t>
  </si>
  <si>
    <t xml:space="preserve">於整體施工計畫內訂定</t>
  </si>
  <si>
    <t xml:space="preserve">於分項施工計畫內訂定</t>
  </si>
  <si>
    <t xml:space="preserve">分項品質計畫其內容除機關及監造單位另有規定外，不包括下列何項？</t>
  </si>
  <si>
    <t xml:space="preserve">品質計畫的審查，下列何者正確？</t>
  </si>
  <si>
    <t xml:space="preserve">整體品質計畫的章節不可調整</t>
  </si>
  <si>
    <t xml:space="preserve">分項品質計畫應併入各分項施工計畫內一併檢討</t>
  </si>
  <si>
    <t xml:space="preserve">分項施工計畫應由主辦單位審查</t>
  </si>
  <si>
    <t xml:space="preserve">分項施工計畫應於簽約前提送審查</t>
  </si>
  <si>
    <t xml:space="preserve">監造計畫內有關品質計畫審查之作業程序，不包括下列何項？</t>
  </si>
  <si>
    <t xml:space="preserve">對於不符合情形處理之作業規定</t>
  </si>
  <si>
    <t xml:space="preserve">送審情形之管制</t>
  </si>
  <si>
    <t xml:space="preserve">權責分工</t>
  </si>
  <si>
    <t xml:space="preserve">品管組織人員更換作業規定，是屬於監造計畫哪一個章節要撰寫的內容？</t>
  </si>
  <si>
    <t xml:space="preserve">監造組織及權責分工</t>
  </si>
  <si>
    <t xml:space="preserve">品質計畫審查作業程序</t>
  </si>
  <si>
    <t xml:space="preserve">施工計畫審查作業程序</t>
  </si>
  <si>
    <t xml:space="preserve">品質計畫審查作業程序，對於不符合情形處理之作業規定補件、退回、重送，及下列何項？</t>
  </si>
  <si>
    <t xml:space="preserve">完成時限</t>
  </si>
  <si>
    <t xml:space="preserve">修改時限</t>
  </si>
  <si>
    <t xml:space="preserve">取回時限</t>
  </si>
  <si>
    <t xml:space="preserve">補充時限</t>
  </si>
  <si>
    <t xml:space="preserve">召開「開工前及各分項工程施工前協調會議」對整個工程進行過程作充分溝通項目，不包含下列何項？</t>
  </si>
  <si>
    <t xml:space="preserve">行政作業規定</t>
  </si>
  <si>
    <t xml:space="preserve">工程進度</t>
  </si>
  <si>
    <t xml:space="preserve">工程預算</t>
  </si>
  <si>
    <t xml:space="preserve">品質、職安之要求</t>
  </si>
  <si>
    <t xml:space="preserve">監造組織工作職掌應以下列何項說明？</t>
  </si>
  <si>
    <t xml:space="preserve">職稱</t>
  </si>
  <si>
    <t xml:space="preserve">人名</t>
  </si>
  <si>
    <t xml:space="preserve">單位</t>
  </si>
  <si>
    <t xml:space="preserve">專長</t>
  </si>
  <si>
    <t xml:space="preserve">監造作業人員之資格，下列何者錯誤？</t>
  </si>
  <si>
    <t xml:space="preserve">人數依契約相關規定</t>
  </si>
  <si>
    <t xml:space="preserve">人數依「公共工程施工品質管理作業要點」相關規定</t>
  </si>
  <si>
    <t xml:space="preserve">應將其符合規定之監造現場人員登錄表經機關核定</t>
  </si>
  <si>
    <t xml:space="preserve">由監造單位填報於工程會資訊網路備查</t>
  </si>
  <si>
    <t xml:space="preserve">有關監造組織，下列何者有誤？</t>
  </si>
  <si>
    <t xml:space="preserve">監造組織內相關人員之經歷、工作職掌及職責應劃分明確</t>
  </si>
  <si>
    <t xml:space="preserve">監造人員職掌及職責，應以職位說明，宜針對特定人選說明</t>
  </si>
  <si>
    <t xml:space="preserve">監造組織應配合工程實際需求訂定</t>
  </si>
  <si>
    <t xml:space="preserve">監造人員應先報經工程主辦機關核定後，由工程主辦機關填報於工程會資訊網路登錄表備查</t>
  </si>
  <si>
    <t xml:space="preserve">機電設備測試及試運轉之監督，為下列何種人員之工作重點？</t>
  </si>
  <si>
    <t xml:space="preserve">實施工程施工抽查並填具施工抽查紀錄表示，為下列何種人員之工作重點？</t>
  </si>
  <si>
    <t xml:space="preserve">履約進度及履約估驗計價之審核，為下列何種人員之工作重點？</t>
  </si>
  <si>
    <t xml:space="preserve">訂定檢驗停留點，為下列何種人員之工作重點？</t>
  </si>
  <si>
    <t xml:space="preserve">施工圖、施工日誌、器材樣品及其他送審案件之審核，為下列何種人員之工作重點？</t>
  </si>
  <si>
    <t xml:space="preserve">監造單位派駐現場人員之工作重點，不包含下列何項？</t>
  </si>
  <si>
    <t xml:space="preserve">設備製造商資格之審查</t>
  </si>
  <si>
    <t xml:space="preserve">訂定監造計畫，並監督、查證廠商履約</t>
  </si>
  <si>
    <t xml:space="preserve">矯正與預防措施之提出及追蹤改善</t>
  </si>
  <si>
    <t xml:space="preserve">履約界面之協調及整合</t>
  </si>
  <si>
    <t xml:space="preserve">監造單位應就契約詳細表檢討出重要之施工項目，下列何者錯誤？</t>
  </si>
  <si>
    <t xml:space="preserve">主要施工項目即為後續須特別關注之監造重點</t>
  </si>
  <si>
    <t xml:space="preserve">直接抄錄契約詳細表</t>
  </si>
  <si>
    <t xml:space="preserve">亦為要求廠商日後須提出分項工程施工計畫之依據</t>
  </si>
  <si>
    <t xml:space="preserve">應配合訂定相關之施工抽查標準與抽查驗紀錄表</t>
  </si>
  <si>
    <t xml:space="preserve">監造與品質計畫、契約管理、監造</t>
  </si>
  <si>
    <t xml:space="preserve">監造計畫中的工程概要應扼要說明工程內涵，其內容應不包括？</t>
  </si>
  <si>
    <t xml:space="preserve">執行工程之相關單位</t>
  </si>
  <si>
    <t xml:space="preserve">施工時程</t>
  </si>
  <si>
    <t xml:space="preserve">施工面積大小</t>
  </si>
  <si>
    <t xml:space="preserve">工程主要施工項目及數量</t>
  </si>
  <si>
    <t xml:space="preserve">下列何項不屬於監造計畫的適用對象？</t>
  </si>
  <si>
    <t xml:space="preserve">下列何項不是屬於監造範圍？</t>
  </si>
  <si>
    <t xml:space="preserve">名詞定義</t>
  </si>
  <si>
    <t xml:space="preserve">適用對象</t>
  </si>
  <si>
    <t xml:space="preserve">惟若涉及日後施工協力廠商不同時，下列何者錯誤？</t>
  </si>
  <si>
    <t xml:space="preserve">檢驗停留點將有不同</t>
  </si>
  <si>
    <t xml:space="preserve">可於各分項工程施工前與廠商協調確認檢驗停留點</t>
  </si>
  <si>
    <t xml:space="preserve">於核定監造計畫後，配合修訂廠商之分項施工計畫</t>
  </si>
  <si>
    <t xml:space="preserve">於監造計畫內增訂相關之管理標準、檢驗停留點及抽查表</t>
  </si>
  <si>
    <t xml:space="preserve">監造單位於訂定施工抽查標準時，下列何者錯誤？</t>
  </si>
  <si>
    <t xml:space="preserve">明確告知廠商檢驗停留點時機</t>
  </si>
  <si>
    <t xml:space="preserve">廠商於整體品質計畫或分項品質計畫中配合訂定</t>
  </si>
  <si>
    <t xml:space="preserve">施工抽查標準表內明確列出施工檢驗停留點</t>
  </si>
  <si>
    <t xml:space="preserve">遇檢驗停留點時機，監造單位提出檢驗申請</t>
  </si>
  <si>
    <t xml:space="preserve">監造單位應提出具體作法並紀錄其重點，不包括下列何項？</t>
  </si>
  <si>
    <t xml:space="preserve">對檢、試驗數據整理分析</t>
  </si>
  <si>
    <t xml:space="preserve">對工程主要施工項目及數量管控</t>
  </si>
  <si>
    <t xml:space="preserve">對現場施工工法、施工管控</t>
  </si>
  <si>
    <t xml:space="preserve">對不合格品瑕疵列管</t>
  </si>
  <si>
    <t xml:space="preserve">監造計畫應完成核定程序，以何種方式交由廠商配合辦理？</t>
  </si>
  <si>
    <t xml:space="preserve">監造單位親送</t>
  </si>
  <si>
    <t xml:space="preserve">主辦機關親送</t>
  </si>
  <si>
    <t xml:space="preserve">主辦機關函送</t>
  </si>
  <si>
    <t xml:space="preserve">廠商自取</t>
  </si>
  <si>
    <t xml:space="preserve">監造計畫應於工程發包前提報甲方審核，監造計畫於何項時機完成核定的程序？</t>
  </si>
  <si>
    <t xml:space="preserve">決標前</t>
  </si>
  <si>
    <t xml:space="preserve">下列何項不是製作監造計畫之依據？</t>
  </si>
  <si>
    <t xml:space="preserve">公共工程施工綱要規範</t>
  </si>
  <si>
    <t xml:space="preserve">職業安全衛生法</t>
  </si>
  <si>
    <t xml:space="preserve">契約</t>
  </si>
  <si>
    <t xml:space="preserve">監造計畫之內容，若工程包括有運轉類機電設備者，應另增加下列何項？</t>
  </si>
  <si>
    <t xml:space="preserve">下列何項不是屬於監造計畫製作的內容？</t>
  </si>
  <si>
    <t xml:space="preserve">下列對監造計畫之敘述何者正確？</t>
  </si>
  <si>
    <t xml:space="preserve">尚包括工程進度管控</t>
  </si>
  <si>
    <t xml:space="preserve">於核定後不可隨意修訂</t>
  </si>
  <si>
    <t xml:space="preserve">不包括預算之掌控</t>
  </si>
  <si>
    <t xml:space="preserve">須於開工後核定</t>
  </si>
  <si>
    <t xml:space="preserve">監造計畫其內容是依作業要點規定之章節編排，惟監造工作之範疇，除品質外，尚包括</t>
  </si>
  <si>
    <t xml:space="preserve">預算之掌控、工程進度管控</t>
  </si>
  <si>
    <t xml:space="preserve">預算之掌控、工程進度管控、現場安衛環保</t>
  </si>
  <si>
    <t xml:space="preserve">預算之掌控、現場安衛環保</t>
  </si>
  <si>
    <t xml:space="preserve">工程進度管控、現場安衛環保</t>
  </si>
  <si>
    <t xml:space="preserve">監造計畫製作綱要，是以多少新臺幣之工程規模為基準編訂？</t>
  </si>
  <si>
    <t xml:space="preserve">公共工程三級品管制度的落實執行，其中第二層級扮演工程品質何種把關之角色？</t>
  </si>
  <si>
    <t xml:space="preserve">下列何者不是監造計畫之章節內容？</t>
  </si>
  <si>
    <t xml:space="preserve">第二章 統計分析方法與應用</t>
  </si>
  <si>
    <t xml:space="preserve">單元二：第二章 統計分析方法與應用</t>
  </si>
  <si>
    <t xml:space="preserve">透過蒐集數據、分析結果、顯示資料及尋求對策之技術，稱之為</t>
  </si>
  <si>
    <t xml:space="preserve">統計</t>
  </si>
  <si>
    <t xml:space="preserve">案例式推理</t>
  </si>
  <si>
    <t xml:space="preserve">邏輯</t>
  </si>
  <si>
    <t xml:space="preserve">人工智慧</t>
  </si>
  <si>
    <t xml:space="preserve">統計分析</t>
  </si>
  <si>
    <t xml:space="preserve">透過統計分析，可以獲得的品質資訊有</t>
  </si>
  <si>
    <t xml:space="preserve">高低變化程度</t>
  </si>
  <si>
    <t xml:space="preserve">合格率</t>
  </si>
  <si>
    <t xml:space="preserve">中間值</t>
  </si>
  <si>
    <t xml:space="preserve">何者非統計方法處理不確定性問題的程序</t>
  </si>
  <si>
    <t xml:space="preserve">收集經驗資料</t>
  </si>
  <si>
    <t xml:space="preserve">整理經驗資料找出其變化規律</t>
  </si>
  <si>
    <t xml:space="preserve">選擇冒險率</t>
  </si>
  <si>
    <t xml:space="preserve">對不確定性問題作任何決定會有若干冒險性，若失敗後果嚴重，為求安全，冒險率可訂</t>
  </si>
  <si>
    <t xml:space="preserve">高</t>
  </si>
  <si>
    <t xml:space="preserve">低</t>
  </si>
  <si>
    <t xml:space="preserve">無關</t>
  </si>
  <si>
    <t xml:space="preserve">現代工程品管的基礎，以統計方法為基礎的品管技術稱為</t>
  </si>
  <si>
    <t xml:space="preserve">SQA</t>
  </si>
  <si>
    <t xml:space="preserve">TQM</t>
  </si>
  <si>
    <t xml:space="preserve">SQC</t>
  </si>
  <si>
    <t xml:space="preserve">SQB</t>
  </si>
  <si>
    <t xml:space="preserve">統計方法應用在設定材料與施工許可差(規格界限)係屬何階段之品管</t>
  </si>
  <si>
    <t xml:space="preserve">設計</t>
  </si>
  <si>
    <t xml:space="preserve">進料</t>
  </si>
  <si>
    <t xml:space="preserve">施工</t>
  </si>
  <si>
    <t xml:space="preserve">驗收</t>
  </si>
  <si>
    <t xml:space="preserve">統計分析在品管上可應用在工程生命週期的哪一個階段？</t>
  </si>
  <si>
    <t xml:space="preserve">以上皆可應用</t>
  </si>
  <si>
    <t xml:space="preserve">抽樣檢驗可應用在</t>
  </si>
  <si>
    <t xml:space="preserve">統計分析、抽樣檢驗</t>
  </si>
  <si>
    <t xml:space="preserve">施工品管採用統計方法的益處為何？</t>
  </si>
  <si>
    <t xml:space="preserve">預測品質趨勢</t>
  </si>
  <si>
    <t xml:space="preserve">減少爭議</t>
  </si>
  <si>
    <t xml:space="preserve">發現缺失</t>
  </si>
  <si>
    <t xml:space="preserve">以上皆為益處</t>
  </si>
  <si>
    <t xml:space="preserve">工程實務上普遍採用何種檢驗方式？</t>
  </si>
  <si>
    <t xml:space="preserve">全檢</t>
  </si>
  <si>
    <t xml:space="preserve">抽檢</t>
  </si>
  <si>
    <t xml:space="preserve">書面查驗</t>
  </si>
  <si>
    <t xml:space="preserve">統計品管上通常不採用</t>
  </si>
  <si>
    <t xml:space="preserve">立意抽樣</t>
  </si>
  <si>
    <t xml:space="preserve">簡單隨機抽樣</t>
  </si>
  <si>
    <t xml:space="preserve">分層隨機抽樣</t>
  </si>
  <si>
    <t xml:space="preserve">現代工程施工規範大多規定原則上採用</t>
  </si>
  <si>
    <t xml:space="preserve">隨機抽樣</t>
  </si>
  <si>
    <t xml:space="preserve">任意抽樣</t>
  </si>
  <si>
    <t xml:space="preserve">混凝土構造物之鑽心試驗，通常由有經驗之工程師用何種抽樣法選定？</t>
  </si>
  <si>
    <t xml:space="preserve">分層抽樣</t>
  </si>
  <si>
    <t xml:space="preserve">系統抽樣</t>
  </si>
  <si>
    <t xml:space="preserve">立意抽樣方法應用時機為何？</t>
  </si>
  <si>
    <t xml:space="preserve">會計人員抽樣</t>
  </si>
  <si>
    <t xml:space="preserve">政風人員抽樣</t>
  </si>
  <si>
    <t xml:space="preserve">抽樣人員決定</t>
  </si>
  <si>
    <t xml:space="preserve">如發現材料或工程結構有變形、龜裂、變色、異物滲出、表面隆起等異常現象，須採用何種抽樣方法</t>
  </si>
  <si>
    <t xml:space="preserve">路基滾壓完成後其壓實度試驗位置之抽樣作業程序為何？</t>
  </si>
  <si>
    <t xml:space="preserve">隨即隨機抽樣</t>
  </si>
  <si>
    <t xml:space="preserve">依預定進度表辦理</t>
  </si>
  <si>
    <t xml:space="preserve">目視無波浪狀、海綿狀、凹陷積水後抽樣</t>
  </si>
  <si>
    <t xml:space="preserve">隨機抽樣具有之特性</t>
  </si>
  <si>
    <t xml:space="preserve">每一樣本抽種機率相同</t>
  </si>
  <si>
    <t xml:space="preserve">樣本數與誤差成反比</t>
  </si>
  <si>
    <t xml:space="preserve">抽樣過程客觀公平</t>
  </si>
  <si>
    <t xml:space="preserve">下列哪種抽樣方法是具備主觀性質</t>
  </si>
  <si>
    <t xml:space="preserve">系統隨機抽樣</t>
  </si>
  <si>
    <t xml:space="preserve">隨機抽樣特性描述何者有誤？</t>
  </si>
  <si>
    <t xml:space="preserve">每一樣本單位被抽中機率均不相同</t>
  </si>
  <si>
    <t xml:space="preserve">樣本愈多誤差愈大</t>
  </si>
  <si>
    <t xml:space="preserve">主觀抽樣過程易生爭議</t>
  </si>
  <si>
    <t xml:space="preserve">隨機數定義何者有誤</t>
  </si>
  <si>
    <t xml:space="preserve">排序無規則</t>
  </si>
  <si>
    <t xml:space="preserve">又稱亂數</t>
  </si>
  <si>
    <t xml:space="preserve">每一隨機數出現機率不同</t>
  </si>
  <si>
    <t xml:space="preserve">常用小數點以下3位數</t>
  </si>
  <si>
    <t xml:space="preserve">工程實務上隨機數產生宜避免採用</t>
  </si>
  <si>
    <t xml:space="preserve">隨機數表</t>
  </si>
  <si>
    <t xml:space="preserve">計算機</t>
  </si>
  <si>
    <t xml:space="preserve">EXCEL</t>
  </si>
  <si>
    <t xml:space="preserve">自製DIY</t>
  </si>
  <si>
    <t xml:space="preserve">工程爭議處理情況，產生隨機數宜採</t>
  </si>
  <si>
    <r>
      <rPr>
        <sz val="10"/>
        <rFont val="Arial"/>
        <family val="0"/>
        <charset val="1"/>
      </rPr>
      <t xml:space="preserve">CNS </t>
    </r>
    <r>
      <rPr>
        <sz val="10"/>
        <rFont val="Noto Sans CJK SC"/>
        <family val="2"/>
      </rPr>
      <t xml:space="preserve">制式隨機數表</t>
    </r>
  </si>
  <si>
    <t xml:space="preserve">使用EXCEL每次產生之隨機數，下列何者正確</t>
  </si>
  <si>
    <t xml:space="preserve">相同</t>
  </si>
  <si>
    <t xml:space="preserve">不同</t>
  </si>
  <si>
    <t xml:space="preserve">有排序</t>
  </si>
  <si>
    <r>
      <rPr>
        <sz val="10"/>
        <rFont val="Arial"/>
        <family val="0"/>
        <charset val="1"/>
      </rPr>
      <t xml:space="preserve">CNS 15315</t>
    </r>
    <r>
      <rPr>
        <sz val="10"/>
        <rFont val="Noto Sans CJK SC"/>
        <family val="2"/>
      </rPr>
      <t xml:space="preserve">制式隨機數表之隨機亂數擴編為小數點以下幾位數</t>
    </r>
  </si>
  <si>
    <r>
      <rPr>
        <sz val="10"/>
        <rFont val="Arial"/>
        <family val="0"/>
        <charset val="1"/>
      </rPr>
      <t xml:space="preserve">CNS 15315</t>
    </r>
    <r>
      <rPr>
        <sz val="10"/>
        <rFont val="Noto Sans CJK SC"/>
        <family val="2"/>
      </rPr>
      <t xml:space="preserve">制式隨機數表之隨機亂數共計有幾個隨機亂數</t>
    </r>
  </si>
  <si>
    <t xml:space="preserve">100</t>
  </si>
  <si>
    <t xml:space="preserve">1,000</t>
  </si>
  <si>
    <t xml:space="preserve">10,000</t>
  </si>
  <si>
    <t xml:space="preserve">100,000</t>
  </si>
  <si>
    <t xml:space="preserve">自製DIY隨機數需要幾個單獨的阿拉伯數字</t>
  </si>
  <si>
    <r>
      <rPr>
        <sz val="10"/>
        <rFont val="Arial"/>
        <family val="0"/>
        <charset val="1"/>
      </rPr>
      <t xml:space="preserve">30</t>
    </r>
    <r>
      <rPr>
        <sz val="10"/>
        <rFont val="Noto Sans CJK SC"/>
        <family val="2"/>
      </rPr>
      <t xml:space="preserve">個</t>
    </r>
  </si>
  <si>
    <t xml:space="preserve">自製DIY隨機數抽出的數字是以下幾個數字依序組合，再除以1,000</t>
  </si>
  <si>
    <t xml:space="preserve">5</t>
  </si>
  <si>
    <r>
      <rPr>
        <sz val="10"/>
        <rFont val="Arial"/>
        <family val="0"/>
        <charset val="1"/>
      </rPr>
      <t xml:space="preserve">2 </t>
    </r>
    <r>
      <rPr>
        <sz val="10"/>
        <rFont val="Noto Sans CJK SC"/>
        <family val="2"/>
      </rPr>
      <t xml:space="preserve">個</t>
    </r>
  </si>
  <si>
    <t xml:space="preserve">路面工程鑽心抽樣位置，其縱座標係代表</t>
  </si>
  <si>
    <t xml:space="preserve">里程樁號</t>
  </si>
  <si>
    <t xml:space="preserve">距路邊之距離</t>
  </si>
  <si>
    <t xml:space="preserve">距道路終點之距離</t>
  </si>
  <si>
    <t xml:space="preserve">道路寬度</t>
  </si>
  <si>
    <t xml:space="preserve">路面工程鑽心抽樣位置，其橫座標係代表</t>
  </si>
  <si>
    <t xml:space="preserve">那—種隨機抽樣法是最基本的方法？</t>
  </si>
  <si>
    <t xml:space="preserve">簡單隨機法</t>
  </si>
  <si>
    <t xml:space="preserve">分層隨機法</t>
  </si>
  <si>
    <t xml:space="preserve">系統隨機法</t>
  </si>
  <si>
    <t xml:space="preserve">複雜隨機法</t>
  </si>
  <si>
    <t xml:space="preserve">簡單隨機抽樣有時候會發生甚麼問題？</t>
  </si>
  <si>
    <t xml:space="preserve">局部集中</t>
  </si>
  <si>
    <t xml:space="preserve">違法蒐證</t>
  </si>
  <si>
    <t xml:space="preserve">數據不明確</t>
  </si>
  <si>
    <t xml:space="preserve">捨位問題</t>
  </si>
  <si>
    <t xml:space="preserve">某工程材料共500個，依規範規定抽樣數為3個，採簡單隨機抽樣方法，試問需要幾個隨機數</t>
  </si>
  <si>
    <r>
      <rPr>
        <sz val="10"/>
        <rFont val="Arial"/>
        <family val="0"/>
        <charset val="1"/>
      </rPr>
      <t xml:space="preserve">4</t>
    </r>
    <r>
      <rPr>
        <sz val="10"/>
        <rFont val="Noto Sans CJK SC"/>
        <family val="2"/>
      </rPr>
      <t xml:space="preserve">個</t>
    </r>
  </si>
  <si>
    <t xml:space="preserve">簡單隨機抽樣方法於抽樣前須將檢驗批量先行分為</t>
  </si>
  <si>
    <r>
      <rPr>
        <sz val="10"/>
        <rFont val="Arial"/>
        <family val="0"/>
        <charset val="1"/>
      </rPr>
      <t xml:space="preserve">4</t>
    </r>
    <r>
      <rPr>
        <sz val="10"/>
        <rFont val="Noto Sans CJK SC"/>
        <family val="2"/>
      </rPr>
      <t xml:space="preserve">群組</t>
    </r>
  </si>
  <si>
    <t xml:space="preserve">某工程材料檢驗批量依序編號為100組，依規範規定抽樣數為2組，採簡單隨機抽樣方法，隨機數為0.311、0.348，計算結果採無條件進位至整數，試問抽出之樣本編號應為</t>
  </si>
  <si>
    <r>
      <rPr>
        <sz val="10"/>
        <rFont val="Arial"/>
        <family val="0"/>
        <charset val="1"/>
      </rPr>
      <t xml:space="preserve">30</t>
    </r>
    <r>
      <rPr>
        <sz val="10"/>
        <rFont val="Noto Sans CJK SC"/>
        <family val="2"/>
      </rPr>
      <t xml:space="preserve">、</t>
    </r>
    <r>
      <rPr>
        <sz val="10"/>
        <rFont val="Arial"/>
        <family val="0"/>
        <charset val="1"/>
      </rPr>
      <t xml:space="preserve">34</t>
    </r>
  </si>
  <si>
    <r>
      <rPr>
        <sz val="10"/>
        <rFont val="Arial"/>
        <family val="0"/>
        <charset val="1"/>
      </rPr>
      <t xml:space="preserve">31</t>
    </r>
    <r>
      <rPr>
        <sz val="10"/>
        <rFont val="Noto Sans CJK SC"/>
        <family val="2"/>
      </rPr>
      <t xml:space="preserve">、</t>
    </r>
    <r>
      <rPr>
        <sz val="10"/>
        <rFont val="Arial"/>
        <family val="0"/>
        <charset val="1"/>
      </rPr>
      <t xml:space="preserve">34</t>
    </r>
  </si>
  <si>
    <r>
      <rPr>
        <sz val="10"/>
        <rFont val="Arial"/>
        <family val="0"/>
        <charset val="1"/>
      </rPr>
      <t xml:space="preserve">32</t>
    </r>
    <r>
      <rPr>
        <sz val="10"/>
        <rFont val="Noto Sans CJK SC"/>
        <family val="2"/>
      </rPr>
      <t xml:space="preserve">、</t>
    </r>
    <r>
      <rPr>
        <sz val="10"/>
        <rFont val="Arial"/>
        <family val="0"/>
        <charset val="1"/>
      </rPr>
      <t xml:space="preserve">35</t>
    </r>
  </si>
  <si>
    <t xml:space="preserve">簡單隨機抽樣之樣本編號局部集中之原因為何？</t>
  </si>
  <si>
    <t xml:space="preserve">人為操縱</t>
  </si>
  <si>
    <t xml:space="preserve">隨機數局部集中</t>
  </si>
  <si>
    <t xml:space="preserve">批量太大</t>
  </si>
  <si>
    <t xml:space="preserve">簡單隨機抽樣為避免抽出樣本編號局部集中，可採何方法改進</t>
  </si>
  <si>
    <t xml:space="preserve">某工程材料檢驗批量依序編號為1000片，依規範規定抽樣數為1片，採簡單隨機抽樣方法，隨機數為0.311，計算結果採無條件進位至整數，試問抽出之樣本編號應為</t>
  </si>
  <si>
    <t xml:space="preserve">31</t>
  </si>
  <si>
    <t xml:space="preserve">32</t>
  </si>
  <si>
    <t xml:space="preserve">311</t>
  </si>
  <si>
    <t xml:space="preserve">312</t>
  </si>
  <si>
    <t xml:space="preserve">某工程材料檢驗批量依序編號為100組，依規範規定抽樣數為1組，採簡單隨機抽樣方法，計算結果採無條件進位至整數，抽出之樣本編號恰為100，試問可能的小數點以下3位數隨機數有幾個</t>
  </si>
  <si>
    <r>
      <rPr>
        <sz val="10"/>
        <rFont val="Arial"/>
        <family val="0"/>
        <charset val="1"/>
      </rPr>
      <t xml:space="preserve">1000</t>
    </r>
    <r>
      <rPr>
        <sz val="10"/>
        <rFont val="Noto Sans CJK SC"/>
        <family val="2"/>
      </rPr>
      <t xml:space="preserve">個</t>
    </r>
  </si>
  <si>
    <t xml:space="preserve">某工程材料檢驗批量依序編號為100座，依規範規定抽樣數為4座，採分層隨機抽樣方法，計算結果採無條件進位至整數，試問檢驗批量應分為幾組</t>
  </si>
  <si>
    <r>
      <rPr>
        <sz val="10"/>
        <rFont val="Arial"/>
        <family val="0"/>
        <charset val="1"/>
      </rPr>
      <t xml:space="preserve">4</t>
    </r>
    <r>
      <rPr>
        <sz val="10"/>
        <rFont val="Noto Sans CJK SC"/>
        <family val="2"/>
      </rPr>
      <t xml:space="preserve">組</t>
    </r>
  </si>
  <si>
    <t xml:space="preserve">某工程材料檢驗批量依序編號為729組，依規範規定每200組抽樣一組，餘數不足200組者，亦須抽樣一組，試問最後一組樣本編號計算結果應加多少？</t>
  </si>
  <si>
    <t xml:space="preserve">300</t>
  </si>
  <si>
    <t xml:space="preserve">400</t>
  </si>
  <si>
    <t xml:space="preserve">500</t>
  </si>
  <si>
    <t xml:space="preserve">600</t>
  </si>
  <si>
    <t xml:space="preserve">施工規範所述AC厚度每1,000平方公尺應鑽取1孔檢驗，試問以上敘述所指為哪種抽樣方法？</t>
  </si>
  <si>
    <t xml:space="preserve">總數量200座路緣石，每100座需抽驗1座，採系統抽樣，試問需要幾個隨機數來計算樣本編號</t>
  </si>
  <si>
    <t xml:space="preserve">在抽樣量不多或抽樣對象均勻性較差時，最宜採用何種抽樣法？</t>
  </si>
  <si>
    <t xml:space="preserve">某工程材料隨機抽樣之樣本編號分別為15、30、45、60，試問係採何種抽樣方法</t>
  </si>
  <si>
    <t xml:space="preserve">抽驗結果之樣本至樣本之間距離都相等，是何種隨機抽樣方法</t>
  </si>
  <si>
    <t xml:space="preserve">最適於抽樣量大及檢驗批之每一樣本單位可按順序排列之情況，抽樣法為何者？</t>
  </si>
  <si>
    <t xml:space="preserve">長條形工地時(如道路)，以每隔若干距離抽取一件樣本，試問是採用何種抽樣方法</t>
  </si>
  <si>
    <t xml:space="preserve">連續施工項目以每隔2小時抽樣一次是採何種隨機抽樣方法</t>
  </si>
  <si>
    <t xml:space="preserve">每隔若干距離抽樣的方法謂之</t>
  </si>
  <si>
    <t xml:space="preserve">每隔若干時間抽樣的方法謂之</t>
  </si>
  <si>
    <t xml:space="preserve">大型建築壁面磁磚進場有5,000箱，每箱外包裝附有依序編號，依規範須抽驗50箱，最適宜採</t>
  </si>
  <si>
    <t xml:space="preserve">檢驗批有週期性變化，且抽樣間距恰為變化週期的整數倍數時，不可採用</t>
  </si>
  <si>
    <t xml:space="preserve">可預知取樣時機而人為預作準備，影響樣本之代表性是</t>
  </si>
  <si>
    <t xml:space="preserve">檢驗批有週期性變化，且抽樣間距恰為變化週期的整數倍數時，抽樣結果會產生</t>
  </si>
  <si>
    <t xml:space="preserve">提高精確度</t>
  </si>
  <si>
    <t xml:space="preserve">提升抽樣效率</t>
  </si>
  <si>
    <t xml:space="preserve">嚴重偏差</t>
  </si>
  <si>
    <t xml:space="preserve">降低抽樣成本</t>
  </si>
  <si>
    <t xml:space="preserve">混凝土抗壓強度，每100M³抽樣一台預拌車製做試體，總計16部車每部載運6M³，分別以同樣隨機數採簡單、分層隨機及系統抽樣方法計算結果，抽樣車次</t>
  </si>
  <si>
    <t xml:space="preserve">均不同</t>
  </si>
  <si>
    <t xml:space="preserve">不一定</t>
  </si>
  <si>
    <r>
      <rPr>
        <sz val="10"/>
        <rFont val="Arial"/>
        <family val="0"/>
        <charset val="1"/>
      </rPr>
      <t xml:space="preserve">CNS 3090</t>
    </r>
    <r>
      <rPr>
        <sz val="10"/>
        <rFont val="Noto Sans CJK SC"/>
        <family val="2"/>
      </rPr>
      <t xml:space="preserve">規定混凝土試體於同一攪拌車取樣</t>
    </r>
    <r>
      <rPr>
        <sz val="10"/>
        <rFont val="Arial"/>
        <family val="0"/>
        <charset val="1"/>
      </rPr>
      <t xml:space="preserve">2</t>
    </r>
    <r>
      <rPr>
        <sz val="10"/>
        <rFont val="Noto Sans CJK SC"/>
        <family val="2"/>
      </rPr>
      <t xml:space="preserve">個以上為</t>
    </r>
    <r>
      <rPr>
        <sz val="10"/>
        <rFont val="Arial"/>
        <family val="0"/>
        <charset val="1"/>
      </rPr>
      <t xml:space="preserve">1</t>
    </r>
    <r>
      <rPr>
        <sz val="10"/>
        <rFont val="Noto Sans CJK SC"/>
        <family val="2"/>
      </rPr>
      <t xml:space="preserve">組，其目的為何？</t>
    </r>
  </si>
  <si>
    <t xml:space="preserve">防止弊端</t>
  </si>
  <si>
    <t xml:space="preserve">成本考量</t>
  </si>
  <si>
    <t xml:space="preserve">提高試驗精密度</t>
  </si>
  <si>
    <t xml:space="preserve">同一試樣需重覆檢測若干次，取各次檢測數據之平均數作為該次試驗結果，其目的係為</t>
  </si>
  <si>
    <t xml:space="preserve">為比較歷次同一工程項目定期繪製之直方圖，其所採組距與組界宜採</t>
  </si>
  <si>
    <t xml:space="preserve">隨機增減</t>
  </si>
  <si>
    <t xml:space="preserve">統計分析、品管手法</t>
  </si>
  <si>
    <t xml:space="preserve">某5位品管班學員統計分析與應用作業，經批改後均為100分，則成績之全距等於</t>
  </si>
  <si>
    <r>
      <rPr>
        <sz val="10"/>
        <rFont val="Arial"/>
        <family val="0"/>
        <charset val="1"/>
      </rPr>
      <t xml:space="preserve">0</t>
    </r>
    <r>
      <rPr>
        <sz val="10"/>
        <rFont val="Noto Sans CJK SC"/>
        <family val="2"/>
      </rPr>
      <t xml:space="preserve">分</t>
    </r>
  </si>
  <si>
    <r>
      <rPr>
        <sz val="10"/>
        <rFont val="Arial"/>
        <family val="0"/>
        <charset val="1"/>
      </rPr>
      <t xml:space="preserve">20</t>
    </r>
    <r>
      <rPr>
        <sz val="10"/>
        <rFont val="Noto Sans CJK SC"/>
        <family val="2"/>
      </rPr>
      <t xml:space="preserve">分</t>
    </r>
  </si>
  <si>
    <r>
      <rPr>
        <sz val="10"/>
        <rFont val="Arial"/>
        <family val="0"/>
        <charset val="1"/>
      </rPr>
      <t xml:space="preserve">100</t>
    </r>
    <r>
      <rPr>
        <sz val="10"/>
        <rFont val="Noto Sans CJK SC"/>
        <family val="2"/>
      </rPr>
      <t xml:space="preserve">分</t>
    </r>
  </si>
  <si>
    <t xml:space="preserve">史特吉斯(Sturges)經驗公式可應用在</t>
  </si>
  <si>
    <t xml:space="preserve">散布圖</t>
  </si>
  <si>
    <t xml:space="preserve">魚骨圖</t>
  </si>
  <si>
    <t xml:space="preserve">關聯圖</t>
  </si>
  <si>
    <t xml:space="preserve">直方圖</t>
  </si>
  <si>
    <t xml:space="preserve">估計直方圖組數的史特吉斯(Sturges)經驗公式1+3.32 Log(n)，公式其中的n係指</t>
  </si>
  <si>
    <t xml:space="preserve">品管班學員座號</t>
  </si>
  <si>
    <t xml:space="preserve">檢驗批量</t>
  </si>
  <si>
    <t xml:space="preserve">數據個數</t>
  </si>
  <si>
    <t xml:space="preserve">直方圖組距</t>
  </si>
  <si>
    <t xml:space="preserve">估計直方圖組數的簡易公式√n，公式中的n代表</t>
  </si>
  <si>
    <t xml:space="preserve">直方圖若分組適當可顯現數據資料的</t>
  </si>
  <si>
    <t xml:space="preserve">難易度</t>
  </si>
  <si>
    <t xml:space="preserve">分布狀態</t>
  </si>
  <si>
    <t xml:space="preserve">複雜度</t>
  </si>
  <si>
    <t xml:space="preserve">繪製直方圖後呈現數據集中在少數幾組，代表計算組數</t>
  </si>
  <si>
    <t xml:space="preserve">過多</t>
  </si>
  <si>
    <t xml:space="preserve">適中</t>
  </si>
  <si>
    <t xml:space="preserve">過少</t>
  </si>
  <si>
    <t xml:space="preserve">直方圖圖形呈現數據分散，代表</t>
  </si>
  <si>
    <t xml:space="preserve">組數太少</t>
  </si>
  <si>
    <t xml:space="preserve">組數太多</t>
  </si>
  <si>
    <t xml:space="preserve">組數適中</t>
  </si>
  <si>
    <t xml:space="preserve">直方圖計算各組之組距</t>
  </si>
  <si>
    <t xml:space="preserve">依序遞增</t>
  </si>
  <si>
    <t xml:space="preserve">依序遞減</t>
  </si>
  <si>
    <t xml:space="preserve">維持相同</t>
  </si>
  <si>
    <t xml:space="preserve">繪製直方圖為讓各組不重疊，組距常取用最小計量位之</t>
  </si>
  <si>
    <t xml:space="preserve">奇數</t>
  </si>
  <si>
    <t xml:space="preserve">偶數</t>
  </si>
  <si>
    <t xml:space="preserve">中位數</t>
  </si>
  <si>
    <t xml:space="preserve">平均數</t>
  </si>
  <si>
    <t xml:space="preserve">繪製直方圖計算組距常取用最小計量位之奇數，則數據分組會產生</t>
  </si>
  <si>
    <t xml:space="preserve">重疊</t>
  </si>
  <si>
    <t xml:space="preserve">不會重疊</t>
  </si>
  <si>
    <t xml:space="preserve">間隔</t>
  </si>
  <si>
    <t xml:space="preserve">顛倒</t>
  </si>
  <si>
    <t xml:space="preserve">繪製直方圖之次數表計算表，各組別次數之合計與原始資料數據個數相較應為</t>
  </si>
  <si>
    <t xml:space="preserve">相等</t>
  </si>
  <si>
    <t xml:space="preserve">加1</t>
  </si>
  <si>
    <t xml:space="preserve">減1</t>
  </si>
  <si>
    <t xml:space="preserve">經決定直方圖繪製6組，其中第2組上限263.5，試問第3組下限應為</t>
  </si>
  <si>
    <t xml:space="preserve">263.5</t>
  </si>
  <si>
    <r>
      <rPr>
        <sz val="10"/>
        <rFont val="Arial"/>
        <family val="0"/>
        <charset val="1"/>
      </rPr>
      <t xml:space="preserve">263.5</t>
    </r>
    <r>
      <rPr>
        <sz val="10"/>
        <rFont val="Noto Sans CJK SC"/>
        <family val="2"/>
      </rPr>
      <t xml:space="preserve">加組距</t>
    </r>
  </si>
  <si>
    <r>
      <rPr>
        <sz val="10"/>
        <rFont val="Arial"/>
        <family val="0"/>
        <charset val="1"/>
      </rPr>
      <t xml:space="preserve">263.5</t>
    </r>
    <r>
      <rPr>
        <sz val="10"/>
        <rFont val="Noto Sans CJK SC"/>
        <family val="2"/>
      </rPr>
      <t xml:space="preserve">減組距</t>
    </r>
  </si>
  <si>
    <t xml:space="preserve">經計算決定直方圖繪製5組，組距等於10，其中第1組下限等於50，試問第2組下限應為</t>
  </si>
  <si>
    <t xml:space="preserve">40</t>
  </si>
  <si>
    <t xml:space="preserve">50</t>
  </si>
  <si>
    <t xml:space="preserve">60</t>
  </si>
  <si>
    <t xml:space="preserve">70</t>
  </si>
  <si>
    <t xml:space="preserve">經計算決定直方圖繪製5組，組距等於10，其中第2組下限等於50，試問第3組上限應為</t>
  </si>
  <si>
    <t xml:space="preserve">經計算決定直方圖繪製5組，組距等於10，其中第2組下限等於50，試問第3組之組中值應為</t>
  </si>
  <si>
    <t xml:space="preserve">45</t>
  </si>
  <si>
    <t xml:space="preserve">55</t>
  </si>
  <si>
    <t xml:space="preserve">65</t>
  </si>
  <si>
    <t xml:space="preserve">75</t>
  </si>
  <si>
    <t xml:space="preserve">經計算決定直方圖繪製5組，組距等於10，其中第2組上限等於50，試問第4組之組中值應為</t>
  </si>
  <si>
    <t xml:space="preserve">由直方圖次數分配表可了解大部分數據分佈範圍，是以最低組與最高組的何項數據判斷</t>
  </si>
  <si>
    <t xml:space="preserve">上限</t>
  </si>
  <si>
    <t xml:space="preserve">下限</t>
  </si>
  <si>
    <t xml:space="preserve">組中值</t>
  </si>
  <si>
    <t xml:space="preserve">由直方圖次數分配表可了解全部數據分佈範圍，是以最低組下限與最高組的何項數據判斷</t>
  </si>
  <si>
    <t xml:space="preserve">常態分配直方圖，品管數據的平均數，可由下列哪一個累積相對次數百分比判斷？</t>
  </si>
  <si>
    <t xml:space="preserve">100%</t>
  </si>
  <si>
    <t xml:space="preserve">統計分析、品管手法、統計量</t>
  </si>
  <si>
    <t xml:space="preserve">由直方圖次數分配表可估計</t>
  </si>
  <si>
    <t xml:space="preserve">數據分佈範圍</t>
  </si>
  <si>
    <t xml:space="preserve">數據之平均數</t>
  </si>
  <si>
    <t xml:space="preserve">某範圍所佔比例</t>
  </si>
  <si>
    <t xml:space="preserve">直方圖橫座標係以何數據繪示</t>
  </si>
  <si>
    <t xml:space="preserve">組上限</t>
  </si>
  <si>
    <t xml:space="preserve">組下限</t>
  </si>
  <si>
    <t xml:space="preserve">組距</t>
  </si>
  <si>
    <t xml:space="preserve">直方圖次數分配表之次數或相對次數，即為直方圖之</t>
  </si>
  <si>
    <t xml:space="preserve">縱座標</t>
  </si>
  <si>
    <t xml:space="preserve">橫座標</t>
  </si>
  <si>
    <t xml:space="preserve">座標原點</t>
  </si>
  <si>
    <t xml:space="preserve">在相同條件下所生產或施工之工程品質特性，大部分情形都會出現在何處？</t>
  </si>
  <si>
    <t xml:space="preserve">規範要求值邊緣</t>
  </si>
  <si>
    <t xml:space="preserve">中心值附近</t>
  </si>
  <si>
    <r>
      <rPr>
        <sz val="10"/>
        <rFont val="Arial"/>
        <family val="0"/>
        <charset val="1"/>
      </rPr>
      <t xml:space="preserve">1/2</t>
    </r>
    <r>
      <rPr>
        <sz val="10"/>
        <rFont val="Noto Sans CJK SC"/>
        <family val="2"/>
      </rPr>
      <t xml:space="preserve">標準差附近</t>
    </r>
  </si>
  <si>
    <t xml:space="preserve">直方圖成單峰山形，此現象稱之為</t>
  </si>
  <si>
    <t xml:space="preserve">集中趨勢</t>
  </si>
  <si>
    <t xml:space="preserve">造山運動</t>
  </si>
  <si>
    <t xml:space="preserve">離散趨勢</t>
  </si>
  <si>
    <t xml:space="preserve">標準化</t>
  </si>
  <si>
    <t xml:space="preserve">直方圖成單峰山形，這種現象稱「集中趨勢」，工程品管上常用哪個統計量數據表示該中心值？</t>
  </si>
  <si>
    <t xml:space="preserve">標準差</t>
  </si>
  <si>
    <t xml:space="preserve">變異係數</t>
  </si>
  <si>
    <t xml:space="preserve">全距</t>
  </si>
  <si>
    <t xml:space="preserve">工程品質必有若干程度之不均勻性，以平均數為中心，上下分布，其散佈之寬窄稱之為</t>
  </si>
  <si>
    <t xml:space="preserve">寬窄程度</t>
  </si>
  <si>
    <t xml:space="preserve">高低程度</t>
  </si>
  <si>
    <t xml:space="preserve">離散程度</t>
  </si>
  <si>
    <t xml:space="preserve">集中程度</t>
  </si>
  <si>
    <t xml:space="preserve">工程品管上常以何種統計量數據來表示離散程度</t>
  </si>
  <si>
    <t xml:space="preserve">一組品管數據的離散程度愈明顯即表示品質</t>
  </si>
  <si>
    <t xml:space="preserve">越均勻</t>
  </si>
  <si>
    <t xml:space="preserve">越不均勻</t>
  </si>
  <si>
    <t xml:space="preserve">越恰當</t>
  </si>
  <si>
    <t xml:space="preserve">下列何者較不適合用來表示離散程度的指標？</t>
  </si>
  <si>
    <t xml:space="preserve">變異數</t>
  </si>
  <si>
    <t xml:space="preserve">以下何種項目，由直方圖比較不容易觀察估算？</t>
  </si>
  <si>
    <t xml:space="preserve">形狀</t>
  </si>
  <si>
    <t xml:space="preserve">平均值</t>
  </si>
  <si>
    <t xml:space="preserve">某工程最有利標評選會議，7位評選委員就同一家廠商均評給84分，試問全體委員就該廠商評分之全距等於</t>
  </si>
  <si>
    <r>
      <rPr>
        <sz val="10"/>
        <rFont val="Arial"/>
        <family val="0"/>
        <charset val="1"/>
      </rPr>
      <t xml:space="preserve">84</t>
    </r>
    <r>
      <rPr>
        <sz val="10"/>
        <rFont val="Noto Sans CJK SC"/>
        <family val="2"/>
      </rPr>
      <t xml:space="preserve">分</t>
    </r>
  </si>
  <si>
    <r>
      <rPr>
        <sz val="10"/>
        <rFont val="Arial"/>
        <family val="0"/>
        <charset val="1"/>
      </rPr>
      <t xml:space="preserve">42</t>
    </r>
    <r>
      <rPr>
        <sz val="10"/>
        <rFont val="Noto Sans CJK SC"/>
        <family val="2"/>
      </rPr>
      <t xml:space="preserve">分</t>
    </r>
  </si>
  <si>
    <r>
      <rPr>
        <sz val="10"/>
        <rFont val="Arial"/>
        <family val="0"/>
        <charset val="1"/>
      </rPr>
      <t xml:space="preserve">21</t>
    </r>
    <r>
      <rPr>
        <sz val="10"/>
        <rFont val="Noto Sans CJK SC"/>
        <family val="2"/>
      </rPr>
      <t xml:space="preserve">分</t>
    </r>
  </si>
  <si>
    <t xml:space="preserve">假設包括價格及品質特性平均值等所有條件均同的三家廠商，分別提供30個製程數據，則採購部門可採何統計量來判斷生產較為穩定者</t>
  </si>
  <si>
    <t xml:space="preserve">移動平均值</t>
  </si>
  <si>
    <t xml:space="preserve">統計分析、政府採購</t>
  </si>
  <si>
    <t xml:space="preserve">下列何種統計量非工程品管上對離散程度的衡量指標</t>
  </si>
  <si>
    <t xml:space="preserve">工程統計品管的平均數係指？</t>
  </si>
  <si>
    <t xml:space="preserve">幾何平均數</t>
  </si>
  <si>
    <t xml:space="preserve">調和平均數</t>
  </si>
  <si>
    <t xml:space="preserve">算術平均數</t>
  </si>
  <si>
    <t xml:space="preserve">加權平均數</t>
  </si>
  <si>
    <t xml:space="preserve">全班同學的平均身高指的是哪一種平均數</t>
  </si>
  <si>
    <t xml:space="preserve">品管資料數據的合計值除以資料數據個數謂之為</t>
  </si>
  <si>
    <t xml:space="preserve">母體平均數的樣本數需達檢驗批量多少百分比？</t>
  </si>
  <si>
    <t xml:space="preserve">85%</t>
  </si>
  <si>
    <t xml:space="preserve">95%</t>
  </si>
  <si>
    <t xml:space="preserve">控制樣本平均數估計母體平均數的誤差值方法，稱為</t>
  </si>
  <si>
    <t xml:space="preserve">全程錄影</t>
  </si>
  <si>
    <t xml:space="preserve">適當樣本數量</t>
  </si>
  <si>
    <t xml:space="preserve">重複驗算</t>
  </si>
  <si>
    <t xml:space="preserve">同一樣品重複檢測n次，以平均數作為檢驗結果之目的為何？</t>
  </si>
  <si>
    <t xml:space="preserve">降低檢驗成本</t>
  </si>
  <si>
    <t xml:space="preserve">提高檢驗效率</t>
  </si>
  <si>
    <t xml:space="preserve">提高檢測結果精密度</t>
  </si>
  <si>
    <t xml:space="preserve">提高檢驗結果之精密度的方法為何？</t>
  </si>
  <si>
    <t xml:space="preserve">提高檢驗儀器精度</t>
  </si>
  <si>
    <t xml:space="preserve">加強檢驗人員教育訓練</t>
  </si>
  <si>
    <t xml:space="preserve">增加重複檢驗次數取平均數</t>
  </si>
  <si>
    <t xml:space="preserve">變異係指數據間之差異程度，常用何種統計量表示</t>
  </si>
  <si>
    <t xml:space="preserve">變異數或標準差</t>
  </si>
  <si>
    <t xml:space="preserve">統計分析、統計量</t>
  </si>
  <si>
    <t xml:space="preserve">水泥製品廠依據客戶訂單要求之規格下限作為平均數據以生產，理論上產品合格率可達</t>
  </si>
  <si>
    <t xml:space="preserve">90%</t>
  </si>
  <si>
    <t xml:space="preserve">同一個混凝土抗壓試驗圓柱試體無法重複檢測而必須製作2個以上試體取其平均數的原因</t>
  </si>
  <si>
    <t xml:space="preserve">破壞性試驗</t>
  </si>
  <si>
    <t xml:space="preserve">非破壞性試驗</t>
  </si>
  <si>
    <t xml:space="preserve">防弊</t>
  </si>
  <si>
    <t xml:space="preserve">依據CNS 3090:同一批混凝土抗壓試驗之圓柱試體需製作2個以上，準此製作3組分別為2、3、5個試體，試問何組試驗結果變異最小？</t>
  </si>
  <si>
    <r>
      <rPr>
        <sz val="10"/>
        <rFont val="Arial"/>
        <family val="0"/>
        <charset val="1"/>
      </rPr>
      <t xml:space="preserve">2</t>
    </r>
    <r>
      <rPr>
        <sz val="10"/>
        <rFont val="Noto Sans CJK SC"/>
        <family val="2"/>
      </rPr>
      <t xml:space="preserve">個</t>
    </r>
  </si>
  <si>
    <r>
      <rPr>
        <sz val="10"/>
        <rFont val="Arial"/>
        <family val="0"/>
        <charset val="1"/>
      </rPr>
      <t xml:space="preserve">3</t>
    </r>
    <r>
      <rPr>
        <sz val="10"/>
        <rFont val="Noto Sans CJK SC"/>
        <family val="2"/>
      </rPr>
      <t xml:space="preserve">個</t>
    </r>
  </si>
  <si>
    <r>
      <rPr>
        <sz val="10"/>
        <rFont val="Arial"/>
        <family val="0"/>
        <charset val="1"/>
      </rPr>
      <t xml:space="preserve">5</t>
    </r>
    <r>
      <rPr>
        <sz val="10"/>
        <rFont val="Noto Sans CJK SC"/>
        <family val="2"/>
      </rPr>
      <t xml:space="preserve">個</t>
    </r>
  </si>
  <si>
    <r>
      <rPr>
        <sz val="10"/>
        <rFont val="Arial"/>
        <family val="0"/>
        <charset val="1"/>
      </rPr>
      <t xml:space="preserve">3</t>
    </r>
    <r>
      <rPr>
        <sz val="10"/>
        <rFont val="Noto Sans CJK SC"/>
        <family val="2"/>
      </rPr>
      <t xml:space="preserve">組變異相同</t>
    </r>
  </si>
  <si>
    <t xml:space="preserve">水泥製品廠依據客戶訂單要求抗壓強度生產，為兼顧產品合格率及生產成本，直接相關因素取決於水泥製品廠之</t>
  </si>
  <si>
    <t xml:space="preserve">財務能力</t>
  </si>
  <si>
    <t xml:space="preserve">業務能力</t>
  </si>
  <si>
    <t xml:space="preserve">製程標準差</t>
  </si>
  <si>
    <t xml:space="preserve">移動平均數是常按取得品管資料之</t>
  </si>
  <si>
    <t xml:space="preserve">數值大小</t>
  </si>
  <si>
    <t xml:space="preserve">時間順序</t>
  </si>
  <si>
    <t xml:space="preserve">奇數偶數占比</t>
  </si>
  <si>
    <t xml:space="preserve">抽取30片鋼鈑樣本量測其厚度，前五個樣本值各為70、80、60、40、50mm，請問該批鋼鈑厚度維持</t>
  </si>
  <si>
    <t xml:space="preserve">穩定</t>
  </si>
  <si>
    <t xml:space="preserve">變厚</t>
  </si>
  <si>
    <t xml:space="preserve">變薄</t>
  </si>
  <si>
    <t xml:space="preserve">無法判斷</t>
  </si>
  <si>
    <t xml:space="preserve">品質變化趨勢圖若採3點移動平均數繪製，則應從第幾個之個別值點位始繪</t>
  </si>
  <si>
    <t xml:space="preserve">接地電阻測試數據依時序不斷下降，則其品質變化趨勢線型朝哪個方向發展</t>
  </si>
  <si>
    <t xml:space="preserve">水平</t>
  </si>
  <si>
    <t xml:space="preserve">左下右上</t>
  </si>
  <si>
    <t xml:space="preserve">左上右下</t>
  </si>
  <si>
    <t xml:space="preserve">波浪狀起伏</t>
  </si>
  <si>
    <t xml:space="preserve">統計分析、電氣安全</t>
  </si>
  <si>
    <t xml:space="preserve">報價與品質特性平均值均相同的同等品，三家品牌製程數據繪製品質變化趨勢圖，採購單位應優先選擇哪種線型之品牌</t>
  </si>
  <si>
    <t xml:space="preserve">貼近平均值的近乎水平狀</t>
  </si>
  <si>
    <t xml:space="preserve">無從判斷</t>
  </si>
  <si>
    <t xml:space="preserve">某廠商之承攬工程標案，5次施工查核分數分別為80、79、81、80、79，試問該廠商施工品質變化趨勢線型</t>
  </si>
  <si>
    <t xml:space="preserve">水平線</t>
  </si>
  <si>
    <t xml:space="preserve">統計分析、工程查核</t>
  </si>
  <si>
    <t xml:space="preserve">判斷10個以內的數據之離散程度最簡易的方法？</t>
  </si>
  <si>
    <t xml:space="preserve">假設所有條件均相同，機關對兩件標案督導工程紀錄為甲廠商(72、74、75、71、73)，乙廠商(85、82、83、84、80)，為比較甲乙廠商施工品質良窳，宜採何統計量較合理？</t>
  </si>
  <si>
    <t xml:space="preserve">假設某次工程查核委員有15人，每位委員都給評分82分，請問該次查核成績之標準差為何？</t>
  </si>
  <si>
    <t xml:space="preserve">0</t>
  </si>
  <si>
    <t xml:space="preserve">統計分析、統計量、工程查核</t>
  </si>
  <si>
    <t xml:space="preserve">下列何者為沒有單位之離散程度的相對指標？</t>
  </si>
  <si>
    <t xml:space="preserve">比較不同量測單位的品質特性離散程度，以何種統計量為宜？</t>
  </si>
  <si>
    <t xml:space="preserve">移動平均數</t>
  </si>
  <si>
    <t xml:space="preserve">若變異係數保持一定，則平均值變大時，標準差應該如何變動？</t>
  </si>
  <si>
    <t xml:space="preserve">不變</t>
  </si>
  <si>
    <t xml:space="preserve">變小</t>
  </si>
  <si>
    <t xml:space="preserve">變大</t>
  </si>
  <si>
    <t xml:space="preserve">標準差或變異係數愈大，表示混凝土管制品質狀況如何？</t>
  </si>
  <si>
    <t xml:space="preserve">愈好</t>
  </si>
  <si>
    <t xml:space="preserve">愈差</t>
  </si>
  <si>
    <t xml:space="preserve">依據30次混凝土抗壓試驗結果計算標準差，數值愈大則代表品質</t>
  </si>
  <si>
    <t xml:space="preserve">持平</t>
  </si>
  <si>
    <t xml:space="preserve">有關標準差之敘述，下列何者錯誤？</t>
  </si>
  <si>
    <t xml:space="preserve">變異數開平方根為標準差</t>
  </si>
  <si>
    <t xml:space="preserve">如果數據含有過大或過小的極端值時，標準差比全距更能表達其差異</t>
  </si>
  <si>
    <t xml:space="preserve">標準差衡量品質特性變異的範圍</t>
  </si>
  <si>
    <t xml:space="preserve">標準差愈大表示品質特性變異愈小愈穩定</t>
  </si>
  <si>
    <t xml:space="preserve">甲、乙同一種類不同批次進場材料，甲批次材料檢驗結果其平均值為48、標準差為6，乙材料檢驗結果平均值64，標準差為8，請問甲、乙兩批材料何者品質較為不均勻？</t>
  </si>
  <si>
    <t xml:space="preserve">甲</t>
  </si>
  <si>
    <t xml:space="preserve">乙</t>
  </si>
  <si>
    <t xml:space="preserve">甲、乙相同</t>
  </si>
  <si>
    <t xml:space="preserve">無法比較</t>
  </si>
  <si>
    <t xml:space="preserve">評估混凝土管制水準(均勻性)之全面變異，不論是普通強度或高強度，一律皆採</t>
  </si>
  <si>
    <t xml:space="preserve">美國混凝土學會技術文件ACI 214R-11評估混凝土管制水準(均勻性)之準則分為幾等級？</t>
  </si>
  <si>
    <r>
      <rPr>
        <sz val="10"/>
        <rFont val="Arial"/>
        <family val="0"/>
        <charset val="1"/>
      </rPr>
      <t xml:space="preserve">5</t>
    </r>
    <r>
      <rPr>
        <sz val="10"/>
        <rFont val="Noto Sans CJK SC"/>
        <family val="2"/>
      </rPr>
      <t xml:space="preserve">等級</t>
    </r>
  </si>
  <si>
    <t xml:space="preserve">混凝土之全面變異為各次試驗結果之高低變化幅度，就設計強度fc’≦350kgf/cm²(普通強度)之評估以何種統計量為準？</t>
  </si>
  <si>
    <t xml:space="preserve">混凝土管制水準評估準則建議以全面變異評估混凝土品質之何種特性？</t>
  </si>
  <si>
    <t xml:space="preserve">不良率</t>
  </si>
  <si>
    <t xml:space="preserve">試驗精密度</t>
  </si>
  <si>
    <t xml:space="preserve">均勻性</t>
  </si>
  <si>
    <t xml:space="preserve">品質特性的試驗精密度，通常以何種統計量表示？</t>
  </si>
  <si>
    <t xml:space="preserve">高強度混凝土品質特性的均勻度，以何種統計量表示為宜？</t>
  </si>
  <si>
    <t xml:space="preserve">各次實驗結果之高低變化幅度為</t>
  </si>
  <si>
    <t xml:space="preserve">全面變異</t>
  </si>
  <si>
    <t xml:space="preserve">組內變異</t>
  </si>
  <si>
    <t xml:space="preserve">獨立變異</t>
  </si>
  <si>
    <t xml:space="preserve">維持變異</t>
  </si>
  <si>
    <t xml:space="preserve">混凝土同一組試體之各強度間之高低變化幅度稱之為</t>
  </si>
  <si>
    <t xml:space="preserve">混凝土抗壓試驗之組內變異以何種統計量表示</t>
  </si>
  <si>
    <t xml:space="preserve">混凝土抗壓試驗之組內變異係由於試體的什麼原因所造成？</t>
  </si>
  <si>
    <t xml:space="preserve">製作</t>
  </si>
  <si>
    <t xml:space="preserve">養治</t>
  </si>
  <si>
    <t xml:space="preserve">混凝土抗壓試驗之組內變異為同組試體強度間互相比較，與混凝土品質</t>
  </si>
  <si>
    <t xml:space="preserve">正相關</t>
  </si>
  <si>
    <t xml:space="preserve">負相關</t>
  </si>
  <si>
    <t xml:space="preserve">當樣本大小(n)較少時，可透過下列何項指標計算標準差或變異係數？</t>
  </si>
  <si>
    <t xml:space="preserve">平均全距</t>
  </si>
  <si>
    <t xml:space="preserve">實務上同一組混凝土抗壓試體僅製作2至5個，計算組內組內變異時，須採平均全距(R-bar)除以d2係數來求取標準差，因此d2係數會隨著樣本數增加而</t>
  </si>
  <si>
    <t xml:space="preserve">遞增</t>
  </si>
  <si>
    <t xml:space="preserve">遞減</t>
  </si>
  <si>
    <t xml:space="preserve">維持不變</t>
  </si>
  <si>
    <t xml:space="preserve">對同一樣品之重複檢驗係指進行何種試驗</t>
  </si>
  <si>
    <t xml:space="preserve">抗壓試驗</t>
  </si>
  <si>
    <t xml:space="preserve">抗拉試驗</t>
  </si>
  <si>
    <t xml:space="preserve">某工程之混凝土抗壓強度為常態分配，X～N(300, 30²)，試問此分配之標準差等於多少？</t>
  </si>
  <si>
    <t xml:space="preserve">30²</t>
  </si>
  <si>
    <t xml:space="preserve">某工程之混凝土抗壓強度為常態分配，X～N(300, 30²)，試問此分配之平均值等於多少？</t>
  </si>
  <si>
    <t xml:space="preserve">某工程之混凝土抗壓強度為常態分配，X～N(300, 30²)，試問此分配之變異係數等於多少？</t>
  </si>
  <si>
    <t xml:space="preserve">0.1</t>
  </si>
  <si>
    <t xml:space="preserve">某批竹節鋼筋長度呈現X~N(200cm，4cm*cm)，其變異係數為何？</t>
  </si>
  <si>
    <t xml:space="preserve">2cm</t>
  </si>
  <si>
    <t xml:space="preserve">4cm</t>
  </si>
  <si>
    <t xml:space="preserve">2%</t>
  </si>
  <si>
    <t xml:space="preserve">常態分配機率密度函數有哪兩個參數</t>
  </si>
  <si>
    <t xml:space="preserve">平均值及標準差</t>
  </si>
  <si>
    <t xml:space="preserve">全距及標準差</t>
  </si>
  <si>
    <t xml:space="preserve">全距及平均值</t>
  </si>
  <si>
    <t xml:space="preserve">全距及變異係數</t>
  </si>
  <si>
    <t xml:space="preserve">常態分配為假設基礎可作為</t>
  </si>
  <si>
    <t xml:space="preserve">設定許可差大小</t>
  </si>
  <si>
    <t xml:space="preserve">製作管制圖</t>
  </si>
  <si>
    <t xml:space="preserve">評估製程能力</t>
  </si>
  <si>
    <t xml:space="preserve">常態分配曲線為單峰型，峰頂所對應之水平座標值為何統計量？</t>
  </si>
  <si>
    <t xml:space="preserve">母體平均數</t>
  </si>
  <si>
    <t xml:space="preserve">樣本平均值</t>
  </si>
  <si>
    <t xml:space="preserve">母體標準差</t>
  </si>
  <si>
    <t xml:space="preserve">樣本標準差</t>
  </si>
  <si>
    <t xml:space="preserve">常態分配曲線為左右對稱於x＝μ之垂直軸，兩側各有一個反曲點，與平均數距離恰為幾個標準差</t>
  </si>
  <si>
    <t xml:space="preserve">常態分配曲線之中心線，當平均數變大時，中心線朝哪個方向位移？</t>
  </si>
  <si>
    <t xml:space="preserve">左平移</t>
  </si>
  <si>
    <t xml:space="preserve">右平移</t>
  </si>
  <si>
    <t xml:space="preserve">維持不動</t>
  </si>
  <si>
    <t xml:space="preserve">常態分配曲線之中心線左右兩個反曲點間的距離為</t>
  </si>
  <si>
    <r>
      <rPr>
        <sz val="10"/>
        <rFont val="Arial"/>
        <family val="0"/>
        <charset val="1"/>
      </rPr>
      <t xml:space="preserve">1</t>
    </r>
    <r>
      <rPr>
        <sz val="10"/>
        <rFont val="Noto Sans CJK SC"/>
        <family val="2"/>
      </rPr>
      <t xml:space="preserve">個標準差</t>
    </r>
  </si>
  <si>
    <r>
      <rPr>
        <sz val="10"/>
        <rFont val="Arial"/>
        <family val="0"/>
        <charset val="1"/>
      </rPr>
      <t xml:space="preserve">2</t>
    </r>
    <r>
      <rPr>
        <sz val="10"/>
        <rFont val="Noto Sans CJK SC"/>
        <family val="2"/>
      </rPr>
      <t xml:space="preserve">個標準差</t>
    </r>
  </si>
  <si>
    <r>
      <rPr>
        <sz val="10"/>
        <rFont val="Arial"/>
        <family val="0"/>
        <charset val="1"/>
      </rPr>
      <t xml:space="preserve">3</t>
    </r>
    <r>
      <rPr>
        <sz val="10"/>
        <rFont val="Noto Sans CJK SC"/>
        <family val="2"/>
      </rPr>
      <t xml:space="preserve">個標準差</t>
    </r>
  </si>
  <si>
    <r>
      <rPr>
        <sz val="10"/>
        <rFont val="Arial"/>
        <family val="0"/>
        <charset val="1"/>
      </rPr>
      <t xml:space="preserve">4</t>
    </r>
    <r>
      <rPr>
        <sz val="10"/>
        <rFont val="Noto Sans CJK SC"/>
        <family val="2"/>
      </rPr>
      <t xml:space="preserve">個標準差</t>
    </r>
  </si>
  <si>
    <t xml:space="preserve">套疊相同材料不同品牌2條平均數相等的常態分配曲線，圖形呈現彼此高低不同的狀態，何者之品質較為均勻？</t>
  </si>
  <si>
    <t xml:space="preserve">兩者相同</t>
  </si>
  <si>
    <t xml:space="preserve">曲線較低者</t>
  </si>
  <si>
    <t xml:space="preserve">曲線較高者</t>
  </si>
  <si>
    <t xml:space="preserve">假設混凝土之抗壓強度為常態分配，若曲線愈平緩，分布愈寬闊，表示品質狀況如何？</t>
  </si>
  <si>
    <t xml:space="preserve">品質越好</t>
  </si>
  <si>
    <t xml:space="preserve">標準差愈小</t>
  </si>
  <si>
    <t xml:space="preserve">品質較不均勻</t>
  </si>
  <si>
    <t xml:space="preserve">與品質無關</t>
  </si>
  <si>
    <t xml:space="preserve">套疊2條平均數相等的常態分配曲線，圖形呈現彼此高低不同的狀態，何者表準差較大？</t>
  </si>
  <si>
    <t xml:space="preserve">常態分配曲線總覆蓋面積設定為</t>
  </si>
  <si>
    <t xml:space="preserve">0.6826</t>
  </si>
  <si>
    <t xml:space="preserve">0.9544</t>
  </si>
  <si>
    <t xml:space="preserve">0.9974</t>
  </si>
  <si>
    <t xml:space="preserve">1.0</t>
  </si>
  <si>
    <t xml:space="preserve">常態分配曲線水平軸上任何兩坐標點所夾曲線面積，為此兩座標值間之</t>
  </si>
  <si>
    <t xml:space="preserve">平均值的平方</t>
  </si>
  <si>
    <t xml:space="preserve">出現機率</t>
  </si>
  <si>
    <t xml:space="preserve">標準差的平方</t>
  </si>
  <si>
    <t xml:space="preserve">下列答案敘述何者錯誤，常態分配曲線P[xa≦X≦xb]，係表達水平軸上a、b兩點之間</t>
  </si>
  <si>
    <t xml:space="preserve">水平距離</t>
  </si>
  <si>
    <t xml:space="preserve">面積</t>
  </si>
  <si>
    <t xml:space="preserve">占總面積之比例</t>
  </si>
  <si>
    <t xml:space="preserve">下列答案敘述何者錯誤，X～N(300,202)常態分配，P[260≦X≦320]，係表示X＝260～320之</t>
  </si>
  <si>
    <t xml:space="preserve">平均值加三個標準差，標準化之後等於</t>
  </si>
  <si>
    <t xml:space="preserve">2.33</t>
  </si>
  <si>
    <t xml:space="preserve">1.693</t>
  </si>
  <si>
    <r>
      <rPr>
        <sz val="10"/>
        <rFont val="Arial"/>
        <family val="0"/>
        <charset val="1"/>
      </rPr>
      <t xml:space="preserve">X</t>
    </r>
    <r>
      <rPr>
        <sz val="10"/>
        <rFont val="Noto Sans CJK SC"/>
        <family val="2"/>
      </rPr>
      <t xml:space="preserve">～</t>
    </r>
    <r>
      <rPr>
        <sz val="10"/>
        <rFont val="Arial"/>
        <family val="0"/>
        <charset val="1"/>
      </rPr>
      <t xml:space="preserve">N(μ,σ2)</t>
    </r>
    <r>
      <rPr>
        <sz val="10"/>
        <rFont val="Noto Sans CJK SC"/>
        <family val="2"/>
      </rPr>
      <t xml:space="preserve">常態分配，</t>
    </r>
    <r>
      <rPr>
        <sz val="10"/>
        <rFont val="Arial"/>
        <family val="0"/>
        <charset val="1"/>
      </rPr>
      <t xml:space="preserve">P[Xa≦X≦Xb]</t>
    </r>
    <r>
      <rPr>
        <sz val="10"/>
        <rFont val="Noto Sans CJK SC"/>
        <family val="2"/>
      </rPr>
      <t xml:space="preserve">等於</t>
    </r>
  </si>
  <si>
    <t xml:space="preserve">P[Z≦Za]+P[Z≦Zb]</t>
  </si>
  <si>
    <t xml:space="preserve">)P[Z≦Za]-P[Z≦Zb]</t>
  </si>
  <si>
    <t xml:space="preserve">P[Z≦Zb]+P[Z≦Zb]</t>
  </si>
  <si>
    <t xml:space="preserve">P[Z≦Zb]-P[Z≦Za]</t>
  </si>
  <si>
    <r>
      <rPr>
        <sz val="10"/>
        <rFont val="Arial"/>
        <family val="0"/>
        <charset val="1"/>
      </rPr>
      <t xml:space="preserve">X</t>
    </r>
    <r>
      <rPr>
        <sz val="10"/>
        <rFont val="Noto Sans CJK SC"/>
        <family val="2"/>
      </rPr>
      <t xml:space="preserve">～</t>
    </r>
    <r>
      <rPr>
        <sz val="10"/>
        <rFont val="Arial"/>
        <family val="0"/>
        <charset val="1"/>
      </rPr>
      <t xml:space="preserve">N(300,202)</t>
    </r>
    <r>
      <rPr>
        <sz val="10"/>
        <rFont val="Noto Sans CJK SC"/>
        <family val="2"/>
      </rPr>
      <t xml:space="preserve">常態分配，</t>
    </r>
    <r>
      <rPr>
        <sz val="10"/>
        <rFont val="Arial"/>
        <family val="0"/>
        <charset val="1"/>
      </rPr>
      <t xml:space="preserve">P[260≦X≦320]</t>
    </r>
    <r>
      <rPr>
        <sz val="10"/>
        <rFont val="Noto Sans CJK SC"/>
        <family val="2"/>
      </rPr>
      <t xml:space="preserve">標準化應如何表示？</t>
    </r>
  </si>
  <si>
    <t xml:space="preserve">P[2≦Z≦1]</t>
  </si>
  <si>
    <t xml:space="preserve">P[-2≦Z≦1]</t>
  </si>
  <si>
    <t xml:space="preserve">P[1≦Z≦2]</t>
  </si>
  <si>
    <t xml:space="preserve">P[-1≦Z≦2]</t>
  </si>
  <si>
    <t xml:space="preserve">假設工程品管數據呈常態分配，平均數為300，P[X≧360]=0.1，則P[X≦240]=？</t>
  </si>
  <si>
    <t xml:space="preserve">-0.1</t>
  </si>
  <si>
    <t xml:space="preserve">價格相同之甲、乙2批AC，含油量規範下限5%，甲批平均值5.8%、標準差0.4%，乙批平均值為5.5%、標準差0.25%，合格率何批較高？</t>
  </si>
  <si>
    <r>
      <rPr>
        <sz val="10"/>
        <rFont val="Arial"/>
        <family val="0"/>
        <charset val="1"/>
      </rPr>
      <t xml:space="preserve">A</t>
    </r>
    <r>
      <rPr>
        <sz val="10"/>
        <rFont val="Noto Sans CJK SC"/>
        <family val="2"/>
      </rPr>
      <t xml:space="preserve">批</t>
    </r>
  </si>
  <si>
    <r>
      <rPr>
        <sz val="10"/>
        <rFont val="Arial"/>
        <family val="0"/>
        <charset val="1"/>
      </rPr>
      <t xml:space="preserve">B</t>
    </r>
    <r>
      <rPr>
        <sz val="10"/>
        <rFont val="Noto Sans CJK SC"/>
        <family val="2"/>
      </rPr>
      <t xml:space="preserve">批</t>
    </r>
  </si>
  <si>
    <t xml:space="preserve">某數據呈常態分配，已知μ=300，P[X≧350]=0.2，則P[250≦X≦350]=？</t>
  </si>
  <si>
    <t xml:space="preserve">0.2</t>
  </si>
  <si>
    <t xml:space="preserve">0.4</t>
  </si>
  <si>
    <t xml:space="preserve">0.6</t>
  </si>
  <si>
    <t xml:space="preserve">0.8</t>
  </si>
  <si>
    <t xml:space="preserve">工程會之公共工程價格資料庫公布之查詢價格有近7成的價格分布在平均價格±1個標準差之內的範圍，所稱7成是依據</t>
  </si>
  <si>
    <t xml:space="preserve">學習曲線</t>
  </si>
  <si>
    <t xml:space="preserve">克羅梭曲線</t>
  </si>
  <si>
    <t xml:space="preserve">常態分佈曲線</t>
  </si>
  <si>
    <t xml:space="preserve">等高線</t>
  </si>
  <si>
    <t xml:space="preserve">假設自工程會之公共工程價格資料庫公布之材料價格，500個樣本數，其平均價格1000元，標準差100元，約莫70%機率條件下，該材料最高價格為</t>
  </si>
  <si>
    <r>
      <rPr>
        <sz val="10"/>
        <rFont val="Arial"/>
        <family val="0"/>
        <charset val="1"/>
      </rPr>
      <t xml:space="preserve">600</t>
    </r>
    <r>
      <rPr>
        <sz val="10"/>
        <rFont val="Noto Sans CJK SC"/>
        <family val="2"/>
      </rPr>
      <t xml:space="preserve">元</t>
    </r>
  </si>
  <si>
    <r>
      <rPr>
        <sz val="10"/>
        <rFont val="Arial"/>
        <family val="0"/>
        <charset val="1"/>
      </rPr>
      <t xml:space="preserve">700</t>
    </r>
    <r>
      <rPr>
        <sz val="10"/>
        <rFont val="Noto Sans CJK SC"/>
        <family val="2"/>
      </rPr>
      <t xml:space="preserve">元</t>
    </r>
  </si>
  <si>
    <r>
      <rPr>
        <sz val="10"/>
        <rFont val="Arial"/>
        <family val="0"/>
        <charset val="1"/>
      </rPr>
      <t xml:space="preserve">1,100</t>
    </r>
    <r>
      <rPr>
        <sz val="10"/>
        <rFont val="Noto Sans CJK SC"/>
        <family val="2"/>
      </rPr>
      <t xml:space="preserve">元</t>
    </r>
  </si>
  <si>
    <t xml:space="preserve">假設機率計算結果，Z=(Xi-μ)/σ=1.75，查閱標準常態分配表時，需對應機率表最左欄之Z為</t>
  </si>
  <si>
    <t xml:space="preserve">0.7</t>
  </si>
  <si>
    <t xml:space="preserve">0.875</t>
  </si>
  <si>
    <t xml:space="preserve">0.75</t>
  </si>
  <si>
    <t xml:space="preserve">1.7</t>
  </si>
  <si>
    <t xml:space="preserve">假設機率計算結果，Z=(Xi-μ)/σ=1.75，查閱標準常態分配表時，需對應機率表表頭列之Z為</t>
  </si>
  <si>
    <t xml:space="preserve">0.05</t>
  </si>
  <si>
    <t xml:space="preserve">某廠商混凝土工程，抗壓試驗強度數據呈常態分配，P[X≦210]=0.9633，試問合格率約為</t>
  </si>
  <si>
    <t xml:space="preserve">63%</t>
  </si>
  <si>
    <t xml:space="preserve">33%</t>
  </si>
  <si>
    <t xml:space="preserve">96%</t>
  </si>
  <si>
    <r>
      <rPr>
        <sz val="10"/>
        <rFont val="Arial"/>
        <family val="0"/>
        <charset val="1"/>
      </rPr>
      <t xml:space="preserve">RC</t>
    </r>
    <r>
      <rPr>
        <sz val="10"/>
        <rFont val="Noto Sans CJK SC"/>
        <family val="2"/>
      </rPr>
      <t xml:space="preserve">擋土牆工程高度等高，長度</t>
    </r>
    <r>
      <rPr>
        <sz val="10"/>
        <rFont val="Arial"/>
        <family val="0"/>
        <charset val="1"/>
      </rPr>
      <t xml:space="preserve">100</t>
    </r>
    <r>
      <rPr>
        <sz val="10"/>
        <rFont val="Noto Sans CJK SC"/>
        <family val="2"/>
      </rPr>
      <t xml:space="preserve">公尺，混凝土抗壓試驗強度數據呈常態分配，</t>
    </r>
    <r>
      <rPr>
        <sz val="10"/>
        <rFont val="Arial"/>
        <family val="0"/>
        <charset val="1"/>
      </rPr>
      <t xml:space="preserve">P[X≦210]=0.883</t>
    </r>
    <r>
      <rPr>
        <sz val="10"/>
        <rFont val="Noto Sans CJK SC"/>
        <family val="2"/>
      </rPr>
      <t xml:space="preserve">，經鑽心試驗確認後，不合格部分至少應拆除改正之長度為幾公尺？</t>
    </r>
  </si>
  <si>
    <t xml:space="preserve">88</t>
  </si>
  <si>
    <t xml:space="preserve">8.3</t>
  </si>
  <si>
    <t xml:space="preserve">11.7</t>
  </si>
  <si>
    <t xml:space="preserve">新拌混凝土之坍度規範設定值為規格之？</t>
  </si>
  <si>
    <t xml:space="preserve">上、下限</t>
  </si>
  <si>
    <t xml:space="preserve">以上皆對</t>
  </si>
  <si>
    <t xml:space="preserve">機電設備接地線之電阻試驗規範設定值為規格之？</t>
  </si>
  <si>
    <t xml:space="preserve">混凝土設計強度fc’指混凝土規格之</t>
  </si>
  <si>
    <t xml:space="preserve">工程習慣上自然許可差界限，常取設計標稱值</t>
  </si>
  <si>
    <t xml:space="preserve">±1σ</t>
  </si>
  <si>
    <t xml:space="preserve">±2σ</t>
  </si>
  <si>
    <t xml:space="preserve">±3σ</t>
  </si>
  <si>
    <t xml:space="preserve">±4σ</t>
  </si>
  <si>
    <t xml:space="preserve">工程設計上自然許可差訂得愈窄，預算成本愈</t>
  </si>
  <si>
    <t xml:space="preserve">工程規格許可差之寬窄幅度與施工成本為</t>
  </si>
  <si>
    <t xml:space="preserve">正比</t>
  </si>
  <si>
    <t xml:space="preserve">反比</t>
  </si>
  <si>
    <t xml:space="preserve">某一般工程材料設計圖標示長度600cm，規格界限為600±6cm，假設該廠商實際製造μ=600cm，σ(標準差)=4cm，估計其產品位於規格帶內為</t>
  </si>
  <si>
    <t xml:space="preserve">±1.5σ</t>
  </si>
  <si>
    <t xml:space="preserve">±2.5σ</t>
  </si>
  <si>
    <r>
      <rPr>
        <sz val="10"/>
        <rFont val="Arial"/>
        <family val="0"/>
        <charset val="1"/>
      </rPr>
      <t xml:space="preserve">CNS 3090[</t>
    </r>
    <r>
      <rPr>
        <sz val="10"/>
        <rFont val="Noto Sans CJK SC"/>
        <family val="2"/>
      </rPr>
      <t xml:space="preserve">預拌混凝土</t>
    </r>
    <r>
      <rPr>
        <sz val="10"/>
        <rFont val="Arial"/>
        <family val="0"/>
        <charset val="1"/>
      </rPr>
      <t xml:space="preserve">]</t>
    </r>
    <r>
      <rPr>
        <sz val="10"/>
        <rFont val="Noto Sans CJK SC"/>
        <family val="2"/>
      </rPr>
      <t xml:space="preserve">規定設計強度</t>
    </r>
    <r>
      <rPr>
        <sz val="10"/>
        <rFont val="Arial"/>
        <family val="0"/>
        <charset val="1"/>
      </rPr>
      <t xml:space="preserve">(fc')</t>
    </r>
    <r>
      <rPr>
        <sz val="10"/>
        <rFont val="Noto Sans CJK SC"/>
        <family val="2"/>
      </rPr>
      <t xml:space="preserve">在</t>
    </r>
    <r>
      <rPr>
        <sz val="10"/>
        <rFont val="Arial"/>
        <family val="0"/>
        <charset val="1"/>
      </rPr>
      <t xml:space="preserve">350kgf/cm²</t>
    </r>
    <r>
      <rPr>
        <sz val="10"/>
        <rFont val="Noto Sans CJK SC"/>
        <family val="2"/>
      </rPr>
      <t xml:space="preserve">以下時，任何一組強度試驗之結果不得低於</t>
    </r>
    <r>
      <rPr>
        <sz val="10"/>
        <rFont val="Arial"/>
        <family val="0"/>
        <charset val="1"/>
      </rPr>
      <t xml:space="preserve">fc'-35kgf/cm²</t>
    </r>
    <r>
      <rPr>
        <sz val="10"/>
        <rFont val="Noto Sans CJK SC"/>
        <family val="2"/>
      </rPr>
      <t xml:space="preserve">，是指何種常態分配</t>
    </r>
  </si>
  <si>
    <t xml:space="preserve">個別值</t>
  </si>
  <si>
    <t xml:space="preserve">卡方</t>
  </si>
  <si>
    <r>
      <rPr>
        <sz val="10"/>
        <rFont val="Arial"/>
        <family val="0"/>
        <charset val="1"/>
      </rPr>
      <t xml:space="preserve">CNS 3090[</t>
    </r>
    <r>
      <rPr>
        <sz val="10"/>
        <rFont val="Noto Sans CJK SC"/>
        <family val="2"/>
      </rPr>
      <t xml:space="preserve">預拌混凝土</t>
    </r>
    <r>
      <rPr>
        <sz val="10"/>
        <rFont val="Arial"/>
        <family val="0"/>
        <charset val="1"/>
      </rPr>
      <t xml:space="preserve">]</t>
    </r>
    <r>
      <rPr>
        <sz val="10"/>
        <rFont val="Noto Sans CJK SC"/>
        <family val="2"/>
      </rPr>
      <t xml:space="preserve">規定設計強度</t>
    </r>
    <r>
      <rPr>
        <sz val="10"/>
        <rFont val="Arial"/>
        <family val="0"/>
        <charset val="1"/>
      </rPr>
      <t xml:space="preserve">(fc')</t>
    </r>
    <r>
      <rPr>
        <sz val="10"/>
        <rFont val="Noto Sans CJK SC"/>
        <family val="2"/>
      </rPr>
      <t xml:space="preserve">在</t>
    </r>
    <r>
      <rPr>
        <sz val="10"/>
        <rFont val="Arial"/>
        <family val="0"/>
        <charset val="1"/>
      </rPr>
      <t xml:space="preserve">350kgf/cm²</t>
    </r>
    <r>
      <rPr>
        <sz val="10"/>
        <rFont val="Noto Sans CJK SC"/>
        <family val="2"/>
      </rPr>
      <t xml:space="preserve">以下時，任何連續</t>
    </r>
    <r>
      <rPr>
        <sz val="10"/>
        <rFont val="Arial"/>
        <family val="0"/>
        <charset val="1"/>
      </rPr>
      <t xml:space="preserve">3</t>
    </r>
    <r>
      <rPr>
        <sz val="10"/>
        <rFont val="Noto Sans CJK SC"/>
        <family val="2"/>
      </rPr>
      <t xml:space="preserve">組強度試驗結果之平均數不得小於規定強度</t>
    </r>
    <r>
      <rPr>
        <sz val="10"/>
        <rFont val="Arial"/>
        <family val="0"/>
        <charset val="1"/>
      </rPr>
      <t xml:space="preserve">fc'</t>
    </r>
    <r>
      <rPr>
        <sz val="10"/>
        <rFont val="Noto Sans CJK SC"/>
        <family val="2"/>
      </rPr>
      <t xml:space="preserve">是指何種常態分配</t>
    </r>
  </si>
  <si>
    <t xml:space="preserve">某工程混凝土之設計強度(fc')為210kgf/cm²，供料預拌廠標準差=30kgf/cm²，合格率設為99%(Z=2.33)，試問滿足CNS 3090兩規定條件的配比目標強度fcr'應為</t>
  </si>
  <si>
    <t xml:space="preserve">235kgf/cm²</t>
  </si>
  <si>
    <t xml:space="preserve">240kgf/cm²</t>
  </si>
  <si>
    <t xml:space="preserve">245kgf/cm²</t>
  </si>
  <si>
    <t xml:space="preserve">251kgf/cm²</t>
  </si>
  <si>
    <t xml:space="preserve">管制圖判定有異常原因存在判讀基準</t>
  </si>
  <si>
    <t xml:space="preserve">任何一點觀察值超出管制界限</t>
  </si>
  <si>
    <t xml:space="preserve">連續7點觀察值位於中心線之同邊</t>
  </si>
  <si>
    <t xml:space="preserve">連續7點觀察值上升或下降</t>
  </si>
  <si>
    <t xml:space="preserve">公共工程開工伊始，倘試生產困難時，宜參考經驗或規範，先將管制界線訂得較為</t>
  </si>
  <si>
    <t xml:space="preserve">寬鬆</t>
  </si>
  <si>
    <t xml:space="preserve">嚴謹</t>
  </si>
  <si>
    <t xml:space="preserve">可能將隨機原因之變化誤判為異常原因之變化，誤發警訊引起工作人員緊張，係何種因素造成？</t>
  </si>
  <si>
    <t xml:space="preserve">管制界線過寬</t>
  </si>
  <si>
    <t xml:space="preserve">人為誤判</t>
  </si>
  <si>
    <t xml:space="preserve">管制界線過窄</t>
  </si>
  <si>
    <t xml:space="preserve">為使製程穩定宜先利用何種方式進行品質管制</t>
  </si>
  <si>
    <t xml:space="preserve">全距管制圖</t>
  </si>
  <si>
    <t xml:space="preserve">平均數管制圖</t>
  </si>
  <si>
    <t xml:space="preserve">用於管制品質之集中趨勢者，係何種方式？</t>
  </si>
  <si>
    <r>
      <rPr>
        <sz val="10"/>
        <rFont val="Arial"/>
        <family val="0"/>
        <charset val="1"/>
      </rPr>
      <t xml:space="preserve">CNS 3090[</t>
    </r>
    <r>
      <rPr>
        <sz val="10"/>
        <rFont val="Noto Sans CJK SC"/>
        <family val="2"/>
      </rPr>
      <t xml:space="preserve">預拌混凝土</t>
    </r>
    <r>
      <rPr>
        <sz val="10"/>
        <rFont val="Arial"/>
        <family val="0"/>
        <charset val="1"/>
      </rPr>
      <t xml:space="preserve">]</t>
    </r>
    <r>
      <rPr>
        <sz val="10"/>
        <rFont val="Noto Sans CJK SC"/>
        <family val="2"/>
      </rPr>
      <t xml:space="preserve">規定設計強度</t>
    </r>
    <r>
      <rPr>
        <sz val="10"/>
        <rFont val="Arial"/>
        <family val="0"/>
        <charset val="1"/>
      </rPr>
      <t xml:space="preserve">(fc')</t>
    </r>
    <r>
      <rPr>
        <sz val="10"/>
        <rFont val="Noto Sans CJK SC"/>
        <family val="2"/>
      </rPr>
      <t xml:space="preserve">在</t>
    </r>
    <r>
      <rPr>
        <sz val="10"/>
        <rFont val="Arial"/>
        <family val="0"/>
        <charset val="1"/>
      </rPr>
      <t xml:space="preserve">350kgf/cm²</t>
    </r>
    <r>
      <rPr>
        <sz val="10"/>
        <rFont val="Noto Sans CJK SC"/>
        <family val="2"/>
      </rPr>
      <t xml:space="preserve">以下時，任何連續</t>
    </r>
    <r>
      <rPr>
        <sz val="10"/>
        <rFont val="Arial"/>
        <family val="0"/>
        <charset val="1"/>
      </rPr>
      <t xml:space="preserve">3</t>
    </r>
    <r>
      <rPr>
        <sz val="10"/>
        <rFont val="Noto Sans CJK SC"/>
        <family val="2"/>
      </rPr>
      <t xml:space="preserve">組強度試驗結果之平均數不得小於規定強度</t>
    </r>
    <r>
      <rPr>
        <sz val="10"/>
        <rFont val="Arial"/>
        <family val="0"/>
        <charset val="1"/>
      </rPr>
      <t xml:space="preserve">fc’</t>
    </r>
    <r>
      <rPr>
        <sz val="10"/>
        <rFont val="Noto Sans CJK SC"/>
        <family val="2"/>
      </rPr>
      <t xml:space="preserve">，可化約為哪種圖形來表示</t>
    </r>
  </si>
  <si>
    <t xml:space="preserve">卡常態分配曲線</t>
  </si>
  <si>
    <t xml:space="preserve">三點移動平均數管制圖</t>
  </si>
  <si>
    <t xml:space="preserve">繪製移動平均全距管制圖的目的？</t>
  </si>
  <si>
    <t xml:space="preserve">偵測施工品質</t>
  </si>
  <si>
    <t xml:space="preserve">計算工率</t>
  </si>
  <si>
    <t xml:space="preserve">顯示試驗精密度</t>
  </si>
  <si>
    <r>
      <rPr>
        <sz val="10"/>
        <rFont val="Arial"/>
        <family val="0"/>
        <charset val="1"/>
      </rPr>
      <t xml:space="preserve">30</t>
    </r>
    <r>
      <rPr>
        <sz val="10"/>
        <rFont val="Noto Sans CJK SC"/>
        <family val="2"/>
      </rPr>
      <t xml:space="preserve">次抗壓試驗結果繪製移動平均全距管制圖，依時序由左向右線型約略呈左下右上者，表示試驗精密度</t>
    </r>
  </si>
  <si>
    <t xml:space="preserve">提高</t>
  </si>
  <si>
    <t xml:space="preserve">降低</t>
  </si>
  <si>
    <t xml:space="preserve">維持</t>
  </si>
  <si>
    <t xml:space="preserve">第三章 品質分析方法與應用</t>
  </si>
  <si>
    <t xml:space="preserve">單元二：第三章 品質分析方法與應用</t>
  </si>
  <si>
    <t xml:space="preserve">工程中較熟悉的量化資料，下列何者為非？</t>
  </si>
  <si>
    <t xml:space="preserve">瀝青溫度</t>
  </si>
  <si>
    <t xml:space="preserve">壓實度</t>
  </si>
  <si>
    <t xml:space="preserve">材料類別</t>
  </si>
  <si>
    <t xml:space="preserve">水灰比</t>
  </si>
  <si>
    <t xml:space="preserve">品質分析</t>
  </si>
  <si>
    <t xml:space="preserve">石川馨博士在1974年將一系列品質管制工具方法納入「品質管制指針」一書，即為品管七大工具Q7，其中不包括</t>
  </si>
  <si>
    <t xml:space="preserve">散佈圖</t>
  </si>
  <si>
    <t xml:space="preserve">層別法</t>
  </si>
  <si>
    <t xml:space="preserve">親和圖</t>
  </si>
  <si>
    <t xml:space="preserve">特性要因圖</t>
  </si>
  <si>
    <t xml:space="preserve">新七大品管工具N7，主要是用來分析非量化的資料，其中不包括</t>
  </si>
  <si>
    <r>
      <rPr>
        <sz val="10"/>
        <rFont val="Arial"/>
        <family val="0"/>
        <charset val="1"/>
      </rPr>
      <t xml:space="preserve">KJ</t>
    </r>
    <r>
      <rPr>
        <sz val="10"/>
        <rFont val="Noto Sans CJK SC"/>
        <family val="2"/>
      </rPr>
      <t xml:space="preserve">法</t>
    </r>
  </si>
  <si>
    <t xml:space="preserve">矩陣資料解析法</t>
  </si>
  <si>
    <t xml:space="preserve">箭線圖法</t>
  </si>
  <si>
    <t xml:space="preserve">下列敘述何者為非？</t>
  </si>
  <si>
    <t xml:space="preserve">全面品質管理是問題解決導向</t>
  </si>
  <si>
    <t xml:space="preserve">品管新七大工具手法N7，可用來解決量化數據資料取出前的問題</t>
  </si>
  <si>
    <t xml:space="preserve">量化數據資料取出後，較屬定性問題，可以用品管七大工具手法Q7解決</t>
  </si>
  <si>
    <t xml:space="preserve">品管七大工具手法Q7與品管新七大工具手法N7兩者相輔相成，互為運用</t>
  </si>
  <si>
    <t xml:space="preserve">傳統的品管七大工具手法Q7中，層別法必須配合其他手法一起運用，所以有另外一種分類方式總稱圖形法，以之取代層表法，其圖形包括下列何者？</t>
  </si>
  <si>
    <t xml:space="preserve">推移圖</t>
  </si>
  <si>
    <t xml:space="preserve">系統圖</t>
  </si>
  <si>
    <t xml:space="preserve">柏拉圖</t>
  </si>
  <si>
    <t xml:space="preserve">義大利經濟學者柏拉圖提出只要控制少數的財富所有人，就可以控制社會上多數的財富，關於柏拉圖法則下列何者為非？</t>
  </si>
  <si>
    <t xml:space="preserve">此法則運用在工作現場改善作業，可以針對關鍵原因尋求解決對策</t>
  </si>
  <si>
    <t xml:space="preserve">依蒐集的資料進行分類，並將類別資料統計計次按其次數的多寡降冪排序</t>
  </si>
  <si>
    <t xml:space="preserve">柏拉圖縱軸有兩種衡量尺度</t>
  </si>
  <si>
    <t xml:space="preserve">項目排列的順序依百分比從大到小，不論其他項目百分比大小，一律統整放至於最後</t>
  </si>
  <si>
    <t xml:space="preserve">品質分析、品管手法</t>
  </si>
  <si>
    <t xml:space="preserve">下列關於柏拉圖描述何者正確？</t>
  </si>
  <si>
    <t xml:space="preserve">柏拉圖繪製的縱軸是分析項目</t>
  </si>
  <si>
    <t xml:space="preserve">柏拉圖是用來找出關鍵要因</t>
  </si>
  <si>
    <t xml:space="preserve">僅能做問題改善後的比較分析</t>
  </si>
  <si>
    <t xml:space="preserve">可繪示出個別分析項目之柱狀圖及累積曲線</t>
  </si>
  <si>
    <t xml:space="preserve">下列有關魚骨圖，何者敘述為非？</t>
  </si>
  <si>
    <t xml:space="preserve">整理成具有層次且相互關聯的圖形，又稱之為特性要因圖</t>
  </si>
  <si>
    <t xml:space="preserve">魚頭向右者為探討原因型</t>
  </si>
  <si>
    <t xml:space="preserve">小要因對照現場作業標準程序(SOP)，可作為SOP修訂或作業改善的依據</t>
  </si>
  <si>
    <t xml:space="preserve">可搭配散佈圖一起運用，對魚骨圖上的重要要因可看出相關程度</t>
  </si>
  <si>
    <t xml:space="preserve">判讀直方圖時，下列數種分布造成原因何者為非？</t>
  </si>
  <si>
    <t xml:space="preserve">高原型(數個變異數差異不大的群體混合所造成</t>
  </si>
  <si>
    <t xml:space="preserve">離島型(不同群體混入造成之異常現象)</t>
  </si>
  <si>
    <t xml:space="preserve">雙峰型(兩個不同群體混和所造成)</t>
  </si>
  <si>
    <t xml:space="preserve">鋸齒型(分組及組距測定有誤差所造成)</t>
  </si>
  <si>
    <t xml:space="preserve">要因與結果的散佈圖關係如原料純度與製品良率</t>
  </si>
  <si>
    <t xml:space="preserve">結果與其他結果的散佈圖關係如鋼材的張力強度與硬度</t>
  </si>
  <si>
    <t xml:space="preserve">要因與其他要因的散佈圖關係如災害預防措施與安全服裝</t>
  </si>
  <si>
    <t xml:space="preserve">結果與要因的散佈圖關係如缺失產生預警與抽樣平均值</t>
  </si>
  <si>
    <t xml:space="preserve">關聯圖工具手法敘述何者為非？</t>
  </si>
  <si>
    <t xml:space="preserve">在歐美國家亦發展類似品管手法，稱為推移圖，與關聯圖特性相十分類似</t>
  </si>
  <si>
    <t xml:space="preserve">此手法與魚骨圖功能相近</t>
  </si>
  <si>
    <t xml:space="preserve">盡量從外層原因著手，因為外層原因通常是根本原因</t>
  </si>
  <si>
    <t xml:space="preserve">適合應用在挖掘原因間或手段間有糾纏不清、錯綜複雜的關係時</t>
  </si>
  <si>
    <t xml:space="preserve">營建工程中的分工結構圖WBS(Work Breakdown Structure)，即與哪一個品管工具手法應用十分接近</t>
  </si>
  <si>
    <t xml:space="preserve">矩陣圖</t>
  </si>
  <si>
    <t xml:space="preserve">系統圖適用範圍下列何者為非？</t>
  </si>
  <si>
    <t xml:space="preserve">價值分析之機能展開</t>
  </si>
  <si>
    <t xml:space="preserve">為解決問題時的創意展開</t>
  </si>
  <si>
    <t xml:space="preserve">要因之展開</t>
  </si>
  <si>
    <t xml:space="preserve">關聯性之展開</t>
  </si>
  <si>
    <t xml:space="preserve">下列有關親和圖敘述何者為非？</t>
  </si>
  <si>
    <r>
      <rPr>
        <sz val="10"/>
        <rFont val="Arial"/>
        <family val="0"/>
        <charset val="1"/>
      </rPr>
      <t xml:space="preserve">KJ</t>
    </r>
    <r>
      <rPr>
        <sz val="10"/>
        <rFont val="Noto Sans CJK SC"/>
        <family val="2"/>
      </rPr>
      <t xml:space="preserve">法又稱親和圖，對混沌未知的事件展開認知</t>
    </r>
  </si>
  <si>
    <t xml:space="preserve">依據所蒐集的文本語意量化資料的相關性，加以歸納整理</t>
  </si>
  <si>
    <t xml:space="preserve">是由日本人類文化學者川喜田二郎教授開發</t>
  </si>
  <si>
    <t xml:space="preserve">適用範圍在傳達組織理念教育團隊貫徹方針</t>
  </si>
  <si>
    <t xml:space="preserve">全面品質管理(TQM)盛行於</t>
  </si>
  <si>
    <t xml:space="preserve">1950s</t>
  </si>
  <si>
    <t xml:space="preserve">1960s</t>
  </si>
  <si>
    <t xml:space="preserve">1970s</t>
  </si>
  <si>
    <t xml:space="preserve">1980s</t>
  </si>
  <si>
    <t xml:space="preserve">全面品質管理(TQM)的概念起源於</t>
  </si>
  <si>
    <t xml:space="preserve">新QC七大手法主要用於</t>
  </si>
  <si>
    <r>
      <rPr>
        <sz val="10"/>
        <rFont val="Arial"/>
        <family val="0"/>
        <charset val="1"/>
      </rPr>
      <t xml:space="preserve">Plan</t>
    </r>
    <r>
      <rPr>
        <sz val="10"/>
        <rFont val="Noto Sans CJK SC"/>
        <family val="2"/>
      </rPr>
      <t xml:space="preserve">階段</t>
    </r>
  </si>
  <si>
    <r>
      <rPr>
        <sz val="10"/>
        <rFont val="Arial"/>
        <family val="0"/>
        <charset val="1"/>
      </rPr>
      <t xml:space="preserve">Do</t>
    </r>
    <r>
      <rPr>
        <sz val="10"/>
        <rFont val="Noto Sans CJK SC"/>
        <family val="2"/>
      </rPr>
      <t xml:space="preserve">階段</t>
    </r>
  </si>
  <si>
    <r>
      <rPr>
        <sz val="10"/>
        <rFont val="Arial"/>
        <family val="0"/>
        <charset val="1"/>
      </rPr>
      <t xml:space="preserve">Check</t>
    </r>
    <r>
      <rPr>
        <sz val="10"/>
        <rFont val="Noto Sans CJK SC"/>
        <family val="2"/>
      </rPr>
      <t xml:space="preserve">階段</t>
    </r>
  </si>
  <si>
    <r>
      <rPr>
        <sz val="10"/>
        <rFont val="Arial"/>
        <family val="0"/>
        <charset val="1"/>
      </rPr>
      <t xml:space="preserve">Action</t>
    </r>
    <r>
      <rPr>
        <sz val="10"/>
        <rFont val="Noto Sans CJK SC"/>
        <family val="2"/>
      </rPr>
      <t xml:space="preserve">階段</t>
    </r>
  </si>
  <si>
    <t xml:space="preserve">百分之二十的主要原因通常造成百分之八十的後果，這種法則稱為</t>
  </si>
  <si>
    <r>
      <rPr>
        <sz val="10"/>
        <rFont val="Arial"/>
        <family val="0"/>
        <charset val="1"/>
      </rPr>
      <t xml:space="preserve">20-80</t>
    </r>
    <r>
      <rPr>
        <sz val="10"/>
        <rFont val="Noto Sans CJK SC"/>
        <family val="2"/>
      </rPr>
      <t xml:space="preserve">法則</t>
    </r>
  </si>
  <si>
    <r>
      <rPr>
        <sz val="10"/>
        <rFont val="Arial"/>
        <family val="0"/>
        <charset val="1"/>
      </rPr>
      <t xml:space="preserve">80-20</t>
    </r>
    <r>
      <rPr>
        <sz val="10"/>
        <rFont val="Noto Sans CJK SC"/>
        <family val="2"/>
      </rPr>
      <t xml:space="preserve">法則</t>
    </r>
  </si>
  <si>
    <t xml:space="preserve">戴明法則</t>
  </si>
  <si>
    <t xml:space="preserve">以上均非</t>
  </si>
  <si>
    <t xml:space="preserve">魚骨圖外型類似魚骨，若用於擬定對策時，</t>
  </si>
  <si>
    <t xml:space="preserve">魚頭向右</t>
  </si>
  <si>
    <t xml:space="preserve">魚頭向左</t>
  </si>
  <si>
    <t xml:space="preserve">左右均可</t>
  </si>
  <si>
    <t xml:space="preserve">魚骨圖分析的適用範圍有</t>
  </si>
  <si>
    <t xml:space="preserve">結果和原因間的分析</t>
  </si>
  <si>
    <t xml:space="preserve">目的和手段間的分析</t>
  </si>
  <si>
    <t xml:space="preserve">全體和要素間的分析</t>
  </si>
  <si>
    <t xml:space="preserve">開發出關聯圖手法的學者是</t>
  </si>
  <si>
    <t xml:space="preserve">千住鎮雄教授</t>
  </si>
  <si>
    <t xml:space="preserve">石川馨教授</t>
  </si>
  <si>
    <t xml:space="preserve">裘蘭博士</t>
  </si>
  <si>
    <t xml:space="preserve">川喜田二郎</t>
  </si>
  <si>
    <t xml:space="preserve">依據所蒐集的文本語意資料的相互親和性，加以歸納整理後，明確指認問題所在的圖形，稱為</t>
  </si>
  <si>
    <r>
      <rPr>
        <sz val="10"/>
        <rFont val="Arial"/>
        <family val="0"/>
        <charset val="1"/>
      </rPr>
      <t xml:space="preserve">PDPC</t>
    </r>
    <r>
      <rPr>
        <sz val="10"/>
        <rFont val="Noto Sans CJK SC"/>
        <family val="2"/>
      </rPr>
      <t xml:space="preserve">法</t>
    </r>
  </si>
  <si>
    <t xml:space="preserve">探討為了達到某種目的或目標，經由系統展開圖形尋求最適當的手段或策略的方法，指的是下列何者？</t>
  </si>
  <si>
    <r>
      <rPr>
        <sz val="10"/>
        <rFont val="Arial"/>
        <family val="0"/>
        <charset val="1"/>
      </rPr>
      <t xml:space="preserve">PDPC</t>
    </r>
    <r>
      <rPr>
        <sz val="10"/>
        <rFont val="Noto Sans CJK SC"/>
        <family val="2"/>
      </rPr>
      <t xml:space="preserve">圖</t>
    </r>
  </si>
  <si>
    <t xml:space="preserve">矩陣圖的Y型矩陣，屬於</t>
  </si>
  <si>
    <t xml:space="preserve">二元矩陣</t>
  </si>
  <si>
    <t xml:space="preserve">三元矩陣</t>
  </si>
  <si>
    <t xml:space="preserve">四元矩陣</t>
  </si>
  <si>
    <t xml:space="preserve">五元矩陣</t>
  </si>
  <si>
    <t xml:space="preserve">箭線圖可應用於</t>
  </si>
  <si>
    <t xml:space="preserve">工程進度管理與控制</t>
  </si>
  <si>
    <t xml:space="preserve">工程資源調度</t>
  </si>
  <si>
    <t xml:space="preserve">工程成本控制</t>
  </si>
  <si>
    <r>
      <rPr>
        <sz val="10"/>
        <rFont val="Arial"/>
        <family val="0"/>
        <charset val="1"/>
      </rPr>
      <t xml:space="preserve">Process Decision Program Chart</t>
    </r>
    <r>
      <rPr>
        <sz val="10"/>
        <rFont val="Noto Sans CJK SC"/>
        <family val="2"/>
      </rPr>
      <t xml:space="preserve">，簡稱</t>
    </r>
    <r>
      <rPr>
        <sz val="10"/>
        <rFont val="Arial"/>
        <family val="0"/>
        <charset val="1"/>
      </rPr>
      <t xml:space="preserve">PDPC</t>
    </r>
    <r>
      <rPr>
        <sz val="10"/>
        <rFont val="Noto Sans CJK SC"/>
        <family val="2"/>
      </rPr>
      <t xml:space="preserve">，係指下列何者？</t>
    </r>
  </si>
  <si>
    <t xml:space="preserve">過程決策計畫圖</t>
  </si>
  <si>
    <t xml:space="preserve">箭線圖</t>
  </si>
  <si>
    <t xml:space="preserve">解決何種問題時，須採取預防措施</t>
  </si>
  <si>
    <t xml:space="preserve">臨界問題</t>
  </si>
  <si>
    <t xml:space="preserve">潛在問題</t>
  </si>
  <si>
    <t xml:space="preserve">顯在問題</t>
  </si>
  <si>
    <t xml:space="preserve">危機問題</t>
  </si>
  <si>
    <t xml:space="preserve">土建施工時，鋼架組裝作業違規次數多，其中鋼架組裝作業違規是</t>
  </si>
  <si>
    <t xml:space="preserve">品質特性</t>
  </si>
  <si>
    <t xml:space="preserve">異常現象</t>
  </si>
  <si>
    <t xml:space="preserve">趨勢</t>
  </si>
  <si>
    <t xml:space="preserve">擬定改善活動計劃要應用六何，六何是指</t>
  </si>
  <si>
    <t xml:space="preserve">4M+E</t>
  </si>
  <si>
    <t xml:space="preserve">5W1H</t>
  </si>
  <si>
    <t xml:space="preserve">六標準差</t>
  </si>
  <si>
    <t xml:space="preserve">實施真因驗證時，下列何種方法不適用</t>
  </si>
  <si>
    <t xml:space="preserve">觀察</t>
  </si>
  <si>
    <t xml:space="preserve">經驗</t>
  </si>
  <si>
    <t xml:space="preserve">調查</t>
  </si>
  <si>
    <t xml:space="preserve">實驗</t>
  </si>
  <si>
    <t xml:space="preserve">評估改善對策時，評估的基準有</t>
  </si>
  <si>
    <t xml:space="preserve">預期效果</t>
  </si>
  <si>
    <t xml:space="preserve">可行性</t>
  </si>
  <si>
    <t xml:space="preserve">完成所需時間</t>
  </si>
  <si>
    <t xml:space="preserve">改善對策的實施效果是否能夠維持，要靠</t>
  </si>
  <si>
    <t xml:space="preserve">監督查驗</t>
  </si>
  <si>
    <t xml:space="preserve">對策納入作業標準</t>
  </si>
  <si>
    <t xml:space="preserve">施工查核缺失項目、工程性質、材料類別等屬於下列哪種資料？</t>
  </si>
  <si>
    <t xml:space="preserve">質化資料</t>
  </si>
  <si>
    <t xml:space="preserve">量化資料</t>
  </si>
  <si>
    <t xml:space="preserve">數據資料</t>
  </si>
  <si>
    <t xml:space="preserve">品質分析、工程查核</t>
  </si>
  <si>
    <t xml:space="preserve">柏拉圖分析用的圖形是由何人發展出來</t>
  </si>
  <si>
    <t xml:space="preserve">義大利柏拉圖</t>
  </si>
  <si>
    <t xml:space="preserve">美國裘蘭</t>
  </si>
  <si>
    <t xml:space="preserve">日本石川馨</t>
  </si>
  <si>
    <t xml:space="preserve">日本川喜田二郎</t>
  </si>
  <si>
    <t xml:space="preserve">後列何者不屬於4M</t>
  </si>
  <si>
    <t xml:space="preserve">機具(Machine)，</t>
  </si>
  <si>
    <t xml:space="preserve">材料(Material)</t>
  </si>
  <si>
    <t xml:space="preserve">方法(Method)</t>
  </si>
  <si>
    <t xml:space="preserve">儀器(Measurement)</t>
  </si>
  <si>
    <t xml:space="preserve">散佈圖可用於探討何種關係</t>
  </si>
  <si>
    <t xml:space="preserve">要因與結果之間</t>
  </si>
  <si>
    <t xml:space="preserve">結果與結果之間</t>
  </si>
  <si>
    <t xml:space="preserve">要因與其他要因之間</t>
  </si>
  <si>
    <t xml:space="preserve">散佈圖之X坐標值增加時，Y坐標值隨之遞減，亦即兩種品質特性反向變化，稱為</t>
  </si>
  <si>
    <t xml:space="preserve">無相關</t>
  </si>
  <si>
    <t xml:space="preserve">分析「結果-原因」或「目的-手段」時，挖掘原因間或手段間有糾纏不清、錯綜複雜的關係時，要使用</t>
  </si>
  <si>
    <t xml:space="preserve">從主題中找出相對應的因素群，把這些因素群按照二元配置或多元配置，以因素之交點來表示因素間關聯程度的圖形，指的是</t>
  </si>
  <si>
    <t xml:space="preserve">矩陣圖的T型矩陣，屬於</t>
  </si>
  <si>
    <t xml:space="preserve">將矩陣圖之要素間的相關性進行定量化，經由解析計算來分析其關係變化情形，進一步了解問題與原因或者手段與對策間之相互關係強度。指的是下列何者？</t>
  </si>
  <si>
    <t xml:space="preserve">矩陣數據解析法</t>
  </si>
  <si>
    <t xml:space="preserve">針對關鍵作業項目的實施計畫，預測該項目可能發生的結果，並對不期望的結果採取必要的因應措施，以導向期望的狀態。此種分析方法是</t>
  </si>
  <si>
    <t xml:space="preserve">施工查驗時，發現工程品質不符合要求，屬於</t>
  </si>
  <si>
    <t xml:space="preserve">施工發生重大缺失，已造成停工或危害人員安全與健康等事實者，屬於何者問題？</t>
  </si>
  <si>
    <t xml:space="preserve">要消除品質問題發生的實際原因時，須採取</t>
  </si>
  <si>
    <t xml:space="preserve">管制措施</t>
  </si>
  <si>
    <t xml:space="preserve">應變措施</t>
  </si>
  <si>
    <t xml:space="preserve">對品質問題實施數據蒐集時，須使用</t>
  </si>
  <si>
    <t xml:space="preserve">查檢表</t>
  </si>
  <si>
    <t xml:space="preserve">管制圖</t>
  </si>
  <si>
    <t xml:space="preserve">改善對策納入作業標準後，改善效果卻無法維持，要先檢討</t>
  </si>
  <si>
    <t xml:space="preserve">作業標準的內容</t>
  </si>
  <si>
    <t xml:space="preserve">作業標準的執行過程</t>
  </si>
  <si>
    <t xml:space="preserve">作業標準的訓練</t>
  </si>
  <si>
    <t xml:space="preserve">目標達成率低於1表示</t>
  </si>
  <si>
    <t xml:space="preserve">實績值優於目標值</t>
  </si>
  <si>
    <t xml:space="preserve">實績值等於目標值</t>
  </si>
  <si>
    <t xml:space="preserve">實績值未達目標值</t>
  </si>
  <si>
    <t xml:space="preserve">實施改善對策後，發現改善效果未達預期時，應先檢討</t>
  </si>
  <si>
    <t xml:space="preserve">現狀分析層面</t>
  </si>
  <si>
    <t xml:space="preserve">對策擬定層面</t>
  </si>
  <si>
    <t xml:space="preserve">要因分析層面</t>
  </si>
  <si>
    <t xml:space="preserve">對策執行層面</t>
  </si>
  <si>
    <t xml:space="preserve">下列對柏拉圖的敘述何者有誤？</t>
  </si>
  <si>
    <t xml:space="preserve">橫軸的項目排列順序從大到小</t>
  </si>
  <si>
    <t xml:space="preserve">縱軸左邊是品質特性，右邊是個別項目百分比</t>
  </si>
  <si>
    <t xml:space="preserve">是用來做重點管理的工具</t>
  </si>
  <si>
    <t xml:space="preserve">可用做問題改善前、中、後的比較分析，以確認改善對策的效果</t>
  </si>
  <si>
    <t xml:space="preserve">下列對魚骨圖的敘述何者有誤？</t>
  </si>
  <si>
    <t xml:space="preserve">適合用作結果和原因</t>
  </si>
  <si>
    <t xml:space="preserve">適合用作目的和手段</t>
  </si>
  <si>
    <t xml:space="preserve">適合用作改善前後效果</t>
  </si>
  <si>
    <t xml:space="preserve">適合用作全體和要素間的分析</t>
  </si>
  <si>
    <t xml:space="preserve">下列對直方圖的敘述何者有誤？</t>
  </si>
  <si>
    <t xml:space="preserve">鋸齒型由於分組及組距測定有誤差所造成</t>
  </si>
  <si>
    <t xml:space="preserve">絕壁型由於某種規格限制所造成</t>
  </si>
  <si>
    <t xml:space="preserve">高原型由於數個平均值差異較大的群體混合所造成</t>
  </si>
  <si>
    <t xml:space="preserve">離島型由於不同群體混入造成</t>
  </si>
  <si>
    <t xml:space="preserve">下列對管制圖的敘述何者正確？</t>
  </si>
  <si>
    <t xml:space="preserve">連續三點之中有兩點接近管制界限即為異常現象</t>
  </si>
  <si>
    <t xml:space="preserve">平均值分別加減3個全距成為管制界限</t>
  </si>
  <si>
    <t xml:space="preserve">中心線的一邊連續出現7點，但7點均介於中心線與管制界限之間時，仍為異常現象</t>
  </si>
  <si>
    <t xml:space="preserve">主要以數據群之平均值與數據群之全距作為管制依據</t>
  </si>
  <si>
    <t xml:space="preserve">下列對查檢表的敘述何者正確？</t>
  </si>
  <si>
    <t xml:space="preserve">以簡單容易明瞭的方式做成表格，用來記錄事實和分析事實的統計表</t>
  </si>
  <si>
    <t xml:space="preserve">查檢表的目的有記錄事實和分析事實兩種</t>
  </si>
  <si>
    <t xml:space="preserve">一般常用的自主檢查表，即屬於分析事實為目的</t>
  </si>
  <si>
    <t xml:space="preserve">查檢表統計完成可運用魚骨圖分析，以掌握關鍵的問題</t>
  </si>
  <si>
    <t xml:space="preserve">下列對散佈圖的敘述何者有誤？</t>
  </si>
  <si>
    <t xml:space="preserve">由數據點的分佈情形可判讀兩組數據間相關或無關</t>
  </si>
  <si>
    <t xml:space="preserve">若相關可分辨為正相關、負相關或線性相關</t>
  </si>
  <si>
    <t xml:space="preserve">數據點的分佈呈現一團圓形時，表示兩組數據間無關</t>
  </si>
  <si>
    <t xml:space="preserve">散佈圖之應用可配合層別法做進一步分析研判</t>
  </si>
  <si>
    <t xml:space="preserve">模糊不清數據混亂或是原因複雜的品管問題，經過下列何者品管手法，可迅速分析其現象或原因。</t>
  </si>
  <si>
    <t xml:space="preserve">下列品管手法的敘述何者有誤？</t>
  </si>
  <si>
    <t xml:space="preserve">直方圖中若柱形圖一邊出現離島形式，則須核對有無異常、測定有無誤差及是否有無其他數據混入</t>
  </si>
  <si>
    <t xml:space="preserve">魚骨圖之製作可以“腦力激盪法”收集分析要因</t>
  </si>
  <si>
    <t xml:space="preserve">管制圖中偶而有一兩個點位於管制界限外，即為異常現象</t>
  </si>
  <si>
    <t xml:space="preserve">層別法為將群體資料分層，使層內的差異大，而各層間的差異小，以便進行分析</t>
  </si>
  <si>
    <t xml:space="preserve">下列對KJ法的敘述何者有誤？</t>
  </si>
  <si>
    <t xml:space="preserve">適用於認知未知事件，對未知事件建立有整體性的構想</t>
  </si>
  <si>
    <t xml:space="preserve">適用於釐清複雜性或模糊性問題</t>
  </si>
  <si>
    <t xml:space="preserve">核心精神為文字語言資料卡片化，需先將文字語意資料寫在卡片上，再依據資料的性質歸納整理而成的圖形</t>
  </si>
  <si>
    <t xml:space="preserve">是一種從抽象到具體逐步親和演變過程的圖形</t>
  </si>
  <si>
    <t xml:space="preserve">系統圖展開手段或策略後，可以用</t>
  </si>
  <si>
    <t xml:space="preserve">矩陣數據解析法進行手段或策略之評價與工作任務之分配</t>
  </si>
  <si>
    <t xml:space="preserve">下列對矩陣圖的敘述何者有誤？</t>
  </si>
  <si>
    <t xml:space="preserve">適用於流程分析及品質機能展開</t>
  </si>
  <si>
    <t xml:space="preserve">二元矩陣圖配置呈現L型</t>
  </si>
  <si>
    <t xml:space="preserve">三元矩陣圖配置呈現X型或Y型</t>
  </si>
  <si>
    <t xml:space="preserve">各因素間的關聯程度有強關聯、關聯、無關聯等</t>
  </si>
  <si>
    <t xml:space="preserve">可用於新工具之研創、開發及產品新用途之探索的品管手法為</t>
  </si>
  <si>
    <t xml:space="preserve">箭線圖法的應用可以作為</t>
  </si>
  <si>
    <t xml:space="preserve">進度管理與控制</t>
  </si>
  <si>
    <t xml:space="preserve">資源調度</t>
  </si>
  <si>
    <t xml:space="preserve">成本控制</t>
  </si>
  <si>
    <t xml:space="preserve">隨著事態的進展，預測未來可能發生的不希望情況或結果，進而採取預防措施，並導入回饋機制，使事實的發展導向所希望的方向，此種新QC手法為</t>
  </si>
  <si>
    <t xml:space="preserve">可用於品質設計、可靠度工程及重大事故防止的品管手法為</t>
  </si>
  <si>
    <t xml:space="preserve">下列何者品管手法不可用作結果和原因間的分析</t>
  </si>
  <si>
    <t xml:space="preserve">下列何者品管手法不可用作目的和手段間的分析</t>
  </si>
  <si>
    <t xml:space="preserve">品質問題的形成依序可分為四階段:</t>
  </si>
  <si>
    <t xml:space="preserve">潛在、顯在、臨界、危機</t>
  </si>
  <si>
    <t xml:space="preserve">臨界、潛在、顯在、危機</t>
  </si>
  <si>
    <t xml:space="preserve">潛在、臨界、顯在、危機</t>
  </si>
  <si>
    <t xml:space="preserve">潛在、臨界、危機、顯在</t>
  </si>
  <si>
    <t xml:space="preserve">品質問題的發生時機與解決原則敘述何者有誤？</t>
  </si>
  <si>
    <t xml:space="preserve">潛在問題通常發生在規劃設計階段</t>
  </si>
  <si>
    <t xml:space="preserve">臨界問題通常發生檢驗階段</t>
  </si>
  <si>
    <t xml:space="preserve">潛在問題應採取預防措施</t>
  </si>
  <si>
    <t xml:space="preserve">臨界問題應採取管制措施</t>
  </si>
  <si>
    <t xml:space="preserve">找出品管問題的方法下列何者敘述有誤？</t>
  </si>
  <si>
    <t xml:space="preserve">以查檢表清點所有問題</t>
  </si>
  <si>
    <t xml:space="preserve">以關聯圖整理重要問題</t>
  </si>
  <si>
    <t xml:space="preserve">以腦力激盪發掘問題</t>
  </si>
  <si>
    <t xml:space="preserve">以親和圖釐清複雜性或模糊性問題</t>
  </si>
  <si>
    <t xml:space="preserve">水灰比、瀝青溫度、壓實度等屬於下列哪類項資料？</t>
  </si>
  <si>
    <t xml:space="preserve">語言資料</t>
  </si>
  <si>
    <t xml:space="preserve">柏拉圖法則由何國經濟學者提出</t>
  </si>
  <si>
    <t xml:space="preserve">美國</t>
  </si>
  <si>
    <t xml:space="preserve">法國</t>
  </si>
  <si>
    <t xml:space="preserve">義大利</t>
  </si>
  <si>
    <t xml:space="preserve">德國</t>
  </si>
  <si>
    <r>
      <rPr>
        <sz val="10"/>
        <rFont val="Arial"/>
        <family val="0"/>
        <charset val="1"/>
      </rPr>
      <t xml:space="preserve">4M+E</t>
    </r>
    <r>
      <rPr>
        <sz val="10"/>
        <rFont val="Noto Sans CJK SC"/>
        <family val="2"/>
      </rPr>
      <t xml:space="preserve">其中的</t>
    </r>
    <r>
      <rPr>
        <sz val="10"/>
        <rFont val="Arial"/>
        <family val="0"/>
        <charset val="1"/>
      </rPr>
      <t xml:space="preserve">E</t>
    </r>
    <r>
      <rPr>
        <sz val="10"/>
        <rFont val="Noto Sans CJK SC"/>
        <family val="2"/>
      </rPr>
      <t xml:space="preserve">是指</t>
    </r>
  </si>
  <si>
    <t xml:space="preserve">人員</t>
  </si>
  <si>
    <t xml:space="preserve">機具</t>
  </si>
  <si>
    <t xml:space="preserve">材料</t>
  </si>
  <si>
    <t xml:space="preserve">環境</t>
  </si>
  <si>
    <t xml:space="preserve">首發提出管制圖的品管專家是</t>
  </si>
  <si>
    <t xml:space="preserve">蕭華德博士</t>
  </si>
  <si>
    <t xml:space="preserve">石川馨博士</t>
  </si>
  <si>
    <t xml:space="preserve">使用散布圖分析時，蒐集對應數據，最低限度不得少於</t>
  </si>
  <si>
    <r>
      <rPr>
        <sz val="10"/>
        <rFont val="Arial"/>
        <family val="0"/>
        <charset val="1"/>
      </rPr>
      <t xml:space="preserve">50</t>
    </r>
    <r>
      <rPr>
        <sz val="10"/>
        <rFont val="Noto Sans CJK SC"/>
        <family val="2"/>
      </rPr>
      <t xml:space="preserve">組</t>
    </r>
  </si>
  <si>
    <r>
      <rPr>
        <sz val="10"/>
        <rFont val="Arial"/>
        <family val="0"/>
        <charset val="1"/>
      </rPr>
      <t xml:space="preserve">30</t>
    </r>
    <r>
      <rPr>
        <sz val="10"/>
        <rFont val="Noto Sans CJK SC"/>
        <family val="2"/>
      </rPr>
      <t xml:space="preserve">組</t>
    </r>
  </si>
  <si>
    <r>
      <rPr>
        <sz val="10"/>
        <rFont val="Arial"/>
        <family val="0"/>
        <charset val="1"/>
      </rPr>
      <t xml:space="preserve">20</t>
    </r>
    <r>
      <rPr>
        <sz val="10"/>
        <rFont val="Noto Sans CJK SC"/>
        <family val="2"/>
      </rPr>
      <t xml:space="preserve">組</t>
    </r>
  </si>
  <si>
    <r>
      <rPr>
        <sz val="10"/>
        <rFont val="Arial"/>
        <family val="0"/>
        <charset val="1"/>
      </rPr>
      <t xml:space="preserve">40</t>
    </r>
    <r>
      <rPr>
        <sz val="10"/>
        <rFont val="Noto Sans CJK SC"/>
        <family val="2"/>
      </rPr>
      <t xml:space="preserve">組</t>
    </r>
  </si>
  <si>
    <t xml:space="preserve">使用系統圖來逐步展開達成目的或目標的手段或策略時，每一階層展開的項目數，原則上應</t>
  </si>
  <si>
    <r>
      <rPr>
        <sz val="10"/>
        <rFont val="Arial"/>
        <family val="0"/>
        <charset val="1"/>
      </rPr>
      <t xml:space="preserve">2</t>
    </r>
    <r>
      <rPr>
        <sz val="10"/>
        <rFont val="Noto Sans CJK SC"/>
        <family val="2"/>
      </rPr>
      <t xml:space="preserve">到</t>
    </r>
    <r>
      <rPr>
        <sz val="10"/>
        <rFont val="Arial"/>
        <family val="0"/>
        <charset val="1"/>
      </rPr>
      <t xml:space="preserve">4</t>
    </r>
    <r>
      <rPr>
        <sz val="10"/>
        <rFont val="Noto Sans CJK SC"/>
        <family val="2"/>
      </rPr>
      <t xml:space="preserve">個</t>
    </r>
  </si>
  <si>
    <r>
      <rPr>
        <sz val="10"/>
        <rFont val="Arial"/>
        <family val="0"/>
        <charset val="1"/>
      </rPr>
      <t xml:space="preserve">3</t>
    </r>
    <r>
      <rPr>
        <sz val="10"/>
        <rFont val="Noto Sans CJK SC"/>
        <family val="2"/>
      </rPr>
      <t xml:space="preserve">到</t>
    </r>
    <r>
      <rPr>
        <sz val="10"/>
        <rFont val="Arial"/>
        <family val="0"/>
        <charset val="1"/>
      </rPr>
      <t xml:space="preserve">5</t>
    </r>
    <r>
      <rPr>
        <sz val="10"/>
        <rFont val="Noto Sans CJK SC"/>
        <family val="2"/>
      </rPr>
      <t xml:space="preserve">個</t>
    </r>
  </si>
  <si>
    <r>
      <rPr>
        <sz val="10"/>
        <rFont val="Arial"/>
        <family val="0"/>
        <charset val="1"/>
      </rPr>
      <t xml:space="preserve">4</t>
    </r>
    <r>
      <rPr>
        <sz val="10"/>
        <rFont val="Noto Sans CJK SC"/>
        <family val="2"/>
      </rPr>
      <t xml:space="preserve">到</t>
    </r>
    <r>
      <rPr>
        <sz val="10"/>
        <rFont val="Arial"/>
        <family val="0"/>
        <charset val="1"/>
      </rPr>
      <t xml:space="preserve">6</t>
    </r>
    <r>
      <rPr>
        <sz val="10"/>
        <rFont val="Noto Sans CJK SC"/>
        <family val="2"/>
      </rPr>
      <t xml:space="preserve">個</t>
    </r>
  </si>
  <si>
    <t xml:space="preserve">矩陣圖的X型矩陣，屬於</t>
  </si>
  <si>
    <t xml:space="preserve">矩陣圖的L型矩陣，屬於</t>
  </si>
  <si>
    <t xml:space="preserve">主成分分析法屬於</t>
  </si>
  <si>
    <t xml:space="preserve">檢討各關鍵作業項目，預測該項目的實施結果；對不期望發生的結果，採取預防手段或策略。此種分析方法是為何？</t>
  </si>
  <si>
    <t xml:space="preserve">下列何者屬於工程品質問題</t>
  </si>
  <si>
    <t xml:space="preserve">施工不良</t>
  </si>
  <si>
    <t xml:space="preserve">施工錯誤</t>
  </si>
  <si>
    <t xml:space="preserve">施工違規</t>
  </si>
  <si>
    <t xml:space="preserve">顧客抱怨施工品質未達合約要求，屬於</t>
  </si>
  <si>
    <t xml:space="preserve">實施矯正措施的目的是要解決</t>
  </si>
  <si>
    <t xml:space="preserve">下列何者屬於描述問題的要素</t>
  </si>
  <si>
    <t xml:space="preserve">訂定改善的目標值時，要參考</t>
  </si>
  <si>
    <t xml:space="preserve">必要性</t>
  </si>
  <si>
    <t xml:space="preserve">挑戰性</t>
  </si>
  <si>
    <t xml:space="preserve">造成問題的原因間互相牽扯或互相影響時，需用何種分析方法做要因分析</t>
  </si>
  <si>
    <t xml:space="preserve">下列何者非屬4M？</t>
  </si>
  <si>
    <t xml:space="preserve">MAN</t>
  </si>
  <si>
    <t xml:space="preserve">MACHINE</t>
  </si>
  <si>
    <t xml:space="preserve">MONEY</t>
  </si>
  <si>
    <t xml:space="preserve">MATERIAL</t>
  </si>
  <si>
    <t xml:space="preserve">散佈圖中，各散佈點呈現球形均勻分佈時，表示兩變數間呈</t>
  </si>
  <si>
    <t xml:space="preserve">曲線相關</t>
  </si>
  <si>
    <t xml:space="preserve">不相關</t>
  </si>
  <si>
    <t xml:space="preserve">將數據分門別類，再看各類別的差異，此種QC手法為</t>
  </si>
  <si>
    <t xml:space="preserve">主成分分析法及多變量分析乃是屬於新QC手法中哪一種</t>
  </si>
  <si>
    <t xml:space="preserve">目前品質之觀念已發展至品質是</t>
  </si>
  <si>
    <t xml:space="preserve">製造出來的</t>
  </si>
  <si>
    <t xml:space="preserve">設計出來的</t>
  </si>
  <si>
    <t xml:space="preserve">管理出來的</t>
  </si>
  <si>
    <t xml:space="preserve">習慣出來的</t>
  </si>
  <si>
    <t xml:space="preserve">下列何者非品管七大手法之一？</t>
  </si>
  <si>
    <t xml:space="preserve">散怖圖</t>
  </si>
  <si>
    <t xml:space="preserve">腦力激蕩法</t>
  </si>
  <si>
    <t xml:space="preserve">柏拉圖資料可以讓讀者明白</t>
  </si>
  <si>
    <t xml:space="preserve">應由哪一個項目先下手</t>
  </si>
  <si>
    <t xml:space="preserve">不良最多之項目</t>
  </si>
  <si>
    <t xml:space="preserve">不良現象最多之原因</t>
  </si>
  <si>
    <t xml:space="preserve">通稱為魚骨圖的QC手法為</t>
  </si>
  <si>
    <t xml:space="preserve">用以探討兩個成對的數據關係之手法為</t>
  </si>
  <si>
    <t xml:space="preserve">自主檢查表屬於？</t>
  </si>
  <si>
    <t xml:space="preserve">因果圖</t>
  </si>
  <si>
    <t xml:space="preserve">下列何者為品管新七大手法之一？</t>
  </si>
  <si>
    <t xml:space="preserve">下列何者非品管新七大手法之一？</t>
  </si>
  <si>
    <t xml:space="preserve">將不同個人之意見、想法、經驗等文字資料收集起來，不經取捨與選擇地全部採用，再根據文字資料加以統合，此種新QC手法為</t>
  </si>
  <si>
    <t xml:space="preserve">過程決定計劃圖</t>
  </si>
  <si>
    <t xml:space="preserve">從問題現象中找出成對的要素，採用行列配置，在其交點上表示各要素關聯的有無和關聯程度，此種QC手法為</t>
  </si>
  <si>
    <t xml:space="preserve">箭線圖法的應用可以計算</t>
  </si>
  <si>
    <t xml:space="preserve">最晚開始時間LS</t>
  </si>
  <si>
    <t xml:space="preserve">最早完成時間EF</t>
  </si>
  <si>
    <t xml:space="preserve">總浮時TF</t>
  </si>
  <si>
    <t xml:space="preserve">一般機關制定之SOP，用以防範未然之QC手法為</t>
  </si>
  <si>
    <t xml:space="preserve">下列何者為質化資料？</t>
  </si>
  <si>
    <t xml:space="preserve">混凝土抗壓強度</t>
  </si>
  <si>
    <t xml:space="preserve">瀝青混凝土壓實度</t>
  </si>
  <si>
    <t xml:space="preserve">拆模後混凝土外觀不良</t>
  </si>
  <si>
    <t xml:space="preserve">下列何者是用來分析非量化的資料？</t>
  </si>
  <si>
    <t xml:space="preserve">下列品管手法何者必須配合其他手法一起運用？</t>
  </si>
  <si>
    <t xml:space="preserve">查核表</t>
  </si>
  <si>
    <t xml:space="preserve">下列何者是柏拉圖的主要概念？</t>
  </si>
  <si>
    <t xml:space="preserve">分門別類</t>
  </si>
  <si>
    <t xml:space="preserve">腦力激盪術</t>
  </si>
  <si>
    <t xml:space="preserve">相似、相近、相同的親和原則</t>
  </si>
  <si>
    <t xml:space="preserve">柏拉圖的右邊是</t>
  </si>
  <si>
    <t xml:space="preserve">分析的項目</t>
  </si>
  <si>
    <t xml:space="preserve">累計百分比</t>
  </si>
  <si>
    <t xml:space="preserve">分析項目的單位</t>
  </si>
  <si>
    <t xml:space="preserve">特性要因圖一般俗稱為</t>
  </si>
  <si>
    <t xml:space="preserve">分工結構圖</t>
  </si>
  <si>
    <t xml:space="preserve">雷達圖</t>
  </si>
  <si>
    <t xml:space="preserve">魚骨圖兩側大骨三大要因分類法則常運用4M+E，請問下列何者非屬於4M+E？</t>
  </si>
  <si>
    <t xml:space="preserve">情緒</t>
  </si>
  <si>
    <t xml:space="preserve">運用魚骨圖在分析要因時，若發現不同要因間彼此有因果關係時，要改用</t>
  </si>
  <si>
    <t xml:space="preserve">在直方圖的分佈形態中，次數在中心附近出現最多，離開中心逐漸減少且左右對稱，顯示品質特性處在安定狀態的是：</t>
  </si>
  <si>
    <t xml:space="preserve">鋸齒型</t>
  </si>
  <si>
    <t xml:space="preserve">高原型</t>
  </si>
  <si>
    <t xml:space="preserve">常態型</t>
  </si>
  <si>
    <t xml:space="preserve">雙峰型</t>
  </si>
  <si>
    <t xml:space="preserve">管制圖中心線的所在位置，分別加減幾個標準差而成為管制上界線與下界線？</t>
  </si>
  <si>
    <t xml:space="preserve">一個</t>
  </si>
  <si>
    <t xml:space="preserve">二個</t>
  </si>
  <si>
    <t xml:space="preserve">三個</t>
  </si>
  <si>
    <t xml:space="preserve">六個</t>
  </si>
  <si>
    <t xml:space="preserve">品質分析、品管手法、統計量</t>
  </si>
  <si>
    <t xml:space="preserve">下列何者手法是通常使用於較為複雜或變數項目較多的矩陣圖分析？</t>
  </si>
  <si>
    <t xml:space="preserve">下列何者是箭線圖上的要徑？</t>
  </si>
  <si>
    <t xml:space="preserve">有浮時路徑</t>
  </si>
  <si>
    <t xml:space="preserve">無浮時路徑</t>
  </si>
  <si>
    <t xml:space="preserve">總浮時最多的路徑</t>
  </si>
  <si>
    <t xml:space="preserve">箭線圖上總天數最短的路徑</t>
  </si>
  <si>
    <t xml:space="preserve">下列何者的適用範圍為重大事故的防止？</t>
  </si>
  <si>
    <t xml:space="preserve">過程決策</t>
  </si>
  <si>
    <t xml:space="preserve">在品質問題的形成過程中，發生其品質檢驗結果略超過不合格時，是屬於</t>
  </si>
  <si>
    <t xml:space="preserve">潛在階段</t>
  </si>
  <si>
    <t xml:space="preserve">臨界階段</t>
  </si>
  <si>
    <t xml:space="preserve">顯在階段</t>
  </si>
  <si>
    <t xml:space="preserve">危機階段</t>
  </si>
  <si>
    <t xml:space="preserve">下列何者是正確的品管循環？</t>
  </si>
  <si>
    <t xml:space="preserve">PADC</t>
  </si>
  <si>
    <t xml:space="preserve">PCDA</t>
  </si>
  <si>
    <t xml:space="preserve">PDAC</t>
  </si>
  <si>
    <t xml:space="preserve">PDCA</t>
  </si>
  <si>
    <t xml:space="preserve">下列品管手法何者無法用於效果確認？</t>
  </si>
  <si>
    <t xml:space="preserve">在Q7手法中，以下何者不是以量化資料的數值分析為取向的手法？</t>
  </si>
  <si>
    <t xml:space="preserve">在N7手法中，以下何者是以強調數理能力的一種量化資料分析方法。？</t>
  </si>
  <si>
    <r>
      <rPr>
        <sz val="10"/>
        <rFont val="Arial"/>
        <family val="0"/>
        <charset val="1"/>
      </rPr>
      <t xml:space="preserve">KJ</t>
    </r>
    <r>
      <rPr>
        <sz val="10"/>
        <rFont val="Noto Sans CJK SC"/>
        <family val="2"/>
      </rPr>
      <t xml:space="preserve">法</t>
    </r>
    <r>
      <rPr>
        <sz val="10"/>
        <rFont val="Arial"/>
        <family val="0"/>
        <charset val="1"/>
      </rPr>
      <t xml:space="preserve">(</t>
    </r>
    <r>
      <rPr>
        <sz val="10"/>
        <rFont val="Noto Sans CJK SC"/>
        <family val="2"/>
      </rPr>
      <t xml:space="preserve">親和圖</t>
    </r>
    <r>
      <rPr>
        <sz val="10"/>
        <rFont val="Arial"/>
        <family val="0"/>
        <charset val="1"/>
      </rPr>
      <t xml:space="preserve">)</t>
    </r>
    <r>
      <rPr>
        <sz val="10"/>
        <rFont val="Noto Sans CJK SC"/>
        <family val="2"/>
      </rPr>
      <t xml:space="preserve">陣</t>
    </r>
  </si>
  <si>
    <t xml:space="preserve">以下何者是用來做重點管理的工具的手法？</t>
  </si>
  <si>
    <t xml:space="preserve">以下何者手法是用來將一個問題的特性(現象)與其要因(主要因素)，整理成具有層次且相互關聯的圖形？</t>
  </si>
  <si>
    <t xml:space="preserve">在直方圖的異常樣態中，下列是因抽樣時將規格以下者全部剔除時會出現，？</t>
  </si>
  <si>
    <t xml:space="preserve">左(右)絕壁型</t>
  </si>
  <si>
    <t xml:space="preserve">品質分析、品管手法、抽樣檢驗</t>
  </si>
  <si>
    <t xml:space="preserve">以下何者種手法是透過設定管制界線用來以判讀偵測異常現象，發現問題謀求對策予以改善，或有超出管制界限之趨勢，作為缺失產生預警？</t>
  </si>
  <si>
    <t xml:space="preserve">以下何種手法是透過蒐集兩組不同品質特性(結果)間的關係對應數據以分析要因與結果(品質特性)的關係？</t>
  </si>
  <si>
    <t xml:space="preserve">以下何者是用來記錄事實和分析事實的統計表？</t>
  </si>
  <si>
    <t xml:space="preserve">以下何種手法可搭配魚骨圖將模糊不清，數據混亂，或是原因複雜的品管問題，經過分門別類之後，透過對照方式分析其現象或原因？</t>
  </si>
  <si>
    <t xml:space="preserve">以下何種手法是當面對混沌狀態的複雜現象時，將問題與其要因間的因果關係，用箭頭連接成的圖形？</t>
  </si>
  <si>
    <r>
      <rPr>
        <sz val="10"/>
        <rFont val="Arial"/>
        <family val="0"/>
        <charset val="1"/>
      </rPr>
      <t xml:space="preserve">KJ</t>
    </r>
    <r>
      <rPr>
        <sz val="10"/>
        <rFont val="Noto Sans CJK SC"/>
        <family val="2"/>
      </rPr>
      <t xml:space="preserve">法</t>
    </r>
    <r>
      <rPr>
        <sz val="10"/>
        <rFont val="Arial"/>
        <family val="0"/>
        <charset val="1"/>
      </rPr>
      <t xml:space="preserve">(</t>
    </r>
    <r>
      <rPr>
        <sz val="10"/>
        <rFont val="Noto Sans CJK SC"/>
        <family val="2"/>
      </rPr>
      <t xml:space="preserve">親和圖</t>
    </r>
    <r>
      <rPr>
        <sz val="10"/>
        <rFont val="Arial"/>
        <family val="0"/>
        <charset val="1"/>
      </rPr>
      <t xml:space="preserve">)</t>
    </r>
  </si>
  <si>
    <t xml:space="preserve">以下何種手法是是將事實、經驗、意見或創意有關的言語資料蒐集起來，再依據所蒐集的文本語意資料的相似性，加以歸納整理後，明確指認問題所在的圖形？</t>
  </si>
  <si>
    <t xml:space="preserve">以下何種手法利用樹木分枝圖形以探討為了達到某種目的或目標，尋求最適當的手段或策略的方法</t>
  </si>
  <si>
    <t xml:space="preserve">以下何種手法可配合系統圖展開手段或策略後進行手段或策略之評價與工作任務之分配。？</t>
  </si>
  <si>
    <t xml:space="preserve">下列何者可協助管理品質改善計畫之執行進度？</t>
  </si>
  <si>
    <t xml:space="preserve">以下何種手法之功能類似流程圖用以應用於計畫流程中的各項管制工作？</t>
  </si>
  <si>
    <t xml:space="preserve">在品質管理觀念中，以下何者為強調組織內全員參與改善專案品質，以達成顧客的最高滿意程度？</t>
  </si>
  <si>
    <t xml:space="preserve">QC</t>
  </si>
  <si>
    <t xml:space="preserve">QA</t>
  </si>
  <si>
    <t xml:space="preserve">TQC</t>
  </si>
  <si>
    <t xml:space="preserve">在全面品質管理(Total Quality Management，TQM)的循環過程Plan，Do，Check，Action(PDCA)中，QC七大手法比較偏向應用於哪一階段？</t>
  </si>
  <si>
    <t xml:space="preserve">Plan</t>
  </si>
  <si>
    <t xml:space="preserve">Do</t>
  </si>
  <si>
    <t xml:space="preserve">Check</t>
  </si>
  <si>
    <t xml:space="preserve">Action</t>
  </si>
  <si>
    <t xml:space="preserve">以下何種手法之功能可確認每一對策效果，比較改善前、中、後品質特性水準的差異。？</t>
  </si>
  <si>
    <t xml:space="preserve">品質制度的演進過程為？</t>
  </si>
  <si>
    <t xml:space="preserve">品質檢驗→品質管制→品質查證→全面品管→全面品保</t>
  </si>
  <si>
    <t xml:space="preserve">品質檢驗→品質查證→品質管制→全面品管→全面品保</t>
  </si>
  <si>
    <t xml:space="preserve">品質管制→品質檢驗→品質查證→全面品管→全面品保</t>
  </si>
  <si>
    <t xml:space="preserve">品質檢驗→品質管制→品質查證→全面品保→全面品管</t>
  </si>
  <si>
    <t xml:space="preserve">品質管理發展沿革順序何者有誤？</t>
  </si>
  <si>
    <t xml:space="preserve">統計品質管制→全面品質管制→零缺點</t>
  </si>
  <si>
    <t xml:space="preserve">全面品質管制→品質查證→全面品質管理</t>
  </si>
  <si>
    <t xml:space="preserve">統計流程管制→零缺點→品質查證</t>
  </si>
  <si>
    <t xml:space="preserve">作業流程改善→全面品質管制→全面品質管理</t>
  </si>
  <si>
    <t xml:space="preserve">欲分析主要現象之原因，並擬定重點管理對象的首要QC手法為</t>
  </si>
  <si>
    <t xml:space="preserve">將問題之結果與可能影響該特性之原因間的關係表示於一張圖形的手法為</t>
  </si>
  <si>
    <t xml:space="preserve">擬定對策型之特性要因圖其魚頭方向？</t>
  </si>
  <si>
    <t xml:space="preserve">一律向右</t>
  </si>
  <si>
    <t xml:space="preserve">一律向左</t>
  </si>
  <si>
    <t xml:space="preserve">可任選</t>
  </si>
  <si>
    <t xml:space="preserve">視情況而定</t>
  </si>
  <si>
    <t xml:space="preserve">將許多不相同之計量值分成不同範圍，以統計其分佈情形，並以平均值、標準差之方式，加以分析之QC手法為</t>
  </si>
  <si>
    <t xml:space="preserve">品質分析、統計量</t>
  </si>
  <si>
    <t xml:space="preserve">管制圖上若有多少點連續上升或下降，則表示有異常現象？</t>
  </si>
  <si>
    <t xml:space="preserve">6</t>
  </si>
  <si>
    <t xml:space="preserve">整體看起來很模糊的事物，透過哪一種手法分類後可以看得較清晰？</t>
  </si>
  <si>
    <t xml:space="preserve">與歐美國家常用之影響圖(Influence diagram)特性十分雷同的是</t>
  </si>
  <si>
    <t xml:space="preserve">把不同個人之意見、想法、經驗等文字資料收集起來，不經取捨與選擇地全部採用，再根據文字資料加以統合，此種新QC手法為</t>
  </si>
  <si>
    <t xml:space="preserve">將達成目的所必須的手段或手法，展開成有系統之圖形，使問題全貌一覽無遺，並使問題的重點明確化，此種新QC手法為</t>
  </si>
  <si>
    <t xml:space="preserve">主成分分析法及多變量分析乃是屬於新七大手法中的哪一種？</t>
  </si>
  <si>
    <t xml:space="preserve">為防患未然，將各種可能的結果，隨著事態發展，同時預測與修正，並導入回饋的機制，此種新QC手法為</t>
  </si>
  <si>
    <t xml:space="preserve">過程決定策畫圖</t>
  </si>
  <si>
    <t xml:space="preserve">品質稽核所發現的缺失是屬於</t>
  </si>
  <si>
    <t xml:space="preserve">品質分析、品質稽核</t>
  </si>
  <si>
    <t xml:space="preserve">問題現狀值若用平均值代表時，數據間的變異應</t>
  </si>
  <si>
    <t xml:space="preserve">大</t>
  </si>
  <si>
    <t xml:space="preserve">小</t>
  </si>
  <si>
    <t xml:space="preserve">針對對策可能失敗的潛在問題要採取</t>
  </si>
  <si>
    <t xml:space="preserve">目標達成率高表示</t>
  </si>
  <si>
    <t xml:space="preserve">實績值不及目標值</t>
  </si>
  <si>
    <t xml:space="preserve">效果確認屬於管理循環中的</t>
  </si>
  <si>
    <t xml:space="preserve">執行</t>
  </si>
  <si>
    <t xml:space="preserve">檢討</t>
  </si>
  <si>
    <t xml:space="preserve">規劃</t>
  </si>
  <si>
    <t xml:space="preserve">處置</t>
  </si>
  <si>
    <t xml:space="preserve">施工自主檢查(或抽查)時，以下何者為量化資料？</t>
  </si>
  <si>
    <t xml:space="preserve">長度</t>
  </si>
  <si>
    <t xml:space="preserve">線型</t>
  </si>
  <si>
    <t xml:space="preserve">材質</t>
  </si>
  <si>
    <t xml:space="preserve">人員資格</t>
  </si>
  <si>
    <t xml:space="preserve">全面品質管理(TQM)體系不包含</t>
  </si>
  <si>
    <t xml:space="preserve">全員參與</t>
  </si>
  <si>
    <t xml:space="preserve">顧客導向</t>
  </si>
  <si>
    <t xml:space="preserve">檢(試)驗</t>
  </si>
  <si>
    <t xml:space="preserve">教育訓練</t>
  </si>
  <si>
    <t xml:space="preserve">品管七大工具手法Q7內可以分析問題原因及擬定對策之手法為？</t>
  </si>
  <si>
    <t xml:space="preserve">散布圖主要用於？</t>
  </si>
  <si>
    <t xml:space="preserve">設定主題</t>
  </si>
  <si>
    <t xml:space="preserve">發現原因</t>
  </si>
  <si>
    <t xml:space="preserve">擬定對策</t>
  </si>
  <si>
    <t xml:space="preserve">數據間的相關程度</t>
  </si>
  <si>
    <t xml:space="preserve">查檢表統計完成後，運用何種Q7分析，以掌握關鍵的問題？</t>
  </si>
  <si>
    <t xml:space="preserve">對於複雜、混亂的資料整理，何種N7手法為宜？</t>
  </si>
  <si>
    <t xml:space="preserve">PDPC</t>
  </si>
  <si>
    <t xml:space="preserve">何種N7手法可以挖掘問題之原因？</t>
  </si>
  <si>
    <t xml:space="preserve">混凝土蜂窩面積大，其中『面積』是？</t>
  </si>
  <si>
    <t xml:space="preserve">瑕疵單位</t>
  </si>
  <si>
    <t xml:space="preserve">混凝土蜂窩面積大，其中『混凝土蜂窩』是？</t>
  </si>
  <si>
    <t xml:space="preserve">混凝土蜂窩面積大，其中『大』是？</t>
  </si>
  <si>
    <t xml:space="preserve">品質問題分析與解決(品管圈或團結圈)內七大步驟須設定『達成期限』為？</t>
  </si>
  <si>
    <t xml:space="preserve">選定品管主題</t>
  </si>
  <si>
    <t xml:space="preserve">擬定改善計畫</t>
  </si>
  <si>
    <t xml:space="preserve">實施解決問題之對策</t>
  </si>
  <si>
    <t xml:space="preserve">訂定品質改善目標</t>
  </si>
  <si>
    <t xml:space="preserve">使用何種N7手法來評估問題被解決的優先順序？</t>
  </si>
  <si>
    <t xml:space="preserve">品質問題分析與解決(品管圈或團結圈)內擬定改善計畫通常使用？</t>
  </si>
  <si>
    <t xml:space="preserve">甘特圖</t>
  </si>
  <si>
    <t xml:space="preserve">目前品質的觀念已發展至品質是</t>
  </si>
  <si>
    <t xml:space="preserve">用來分析主要現象的原因，並擬定重點管理對象的QC手法為</t>
  </si>
  <si>
    <t xml:space="preserve">將許多不相同的計量值分成不同範圍，統計其分佈情況，並採用平均值、標準差加以分析的QC手法為</t>
  </si>
  <si>
    <t xml:space="preserve">關於散佈圖下列何者有誤？</t>
  </si>
  <si>
    <t xml:space="preserve">可用來探討兩變量間的相關性</t>
  </si>
  <si>
    <t xml:space="preserve">為求掌握相關全貌，繪製時不可使用層別法</t>
  </si>
  <si>
    <t xml:space="preserve">需先收集成對數據</t>
  </si>
  <si>
    <t xml:space="preserve">成對數據若有相關，其相關性不一定全是線性相關</t>
  </si>
  <si>
    <t xml:space="preserve">為了收集數據，以利於登記整理與分析，而預先設計好檢驗的項目與相關資料，此QC手法為</t>
  </si>
  <si>
    <t xml:space="preserve">整體看起來很模糊的事務，透過哪一種手法分類後即可看的較清晰？</t>
  </si>
  <si>
    <t xml:space="preserve">將原因及結果、目的與手法等糾纏在一起的現象，以各個要因的因果分析、以便有系統化的連結成圖的新QC手法為</t>
  </si>
  <si>
    <t xml:space="preserve">新QC手法中，常用於營建工程管制作業的前後順序者為</t>
  </si>
  <si>
    <t xml:space="preserve">與歐美國家常用的影響圖(Influence diagram)特性十分雷同的是</t>
  </si>
  <si>
    <t xml:space="preserve">從問題現象中找出成對要素，採用行列配置，在其交叉點上表示各要素的關聯性，此新QC手法為</t>
  </si>
  <si>
    <t xml:space="preserve">如果對問題的定義認識不夠明確，則可使用</t>
  </si>
  <si>
    <t xml:space="preserve">箭線圖來釐清</t>
  </si>
  <si>
    <t xml:space="preserve">將達到目的所必須的手段或手法，展開成有系統之圖形，使問題全貌了覽無遺，此新QC手法為</t>
  </si>
  <si>
    <t xml:space="preserve">過程決定計畫圖</t>
  </si>
  <si>
    <t xml:space="preserve">目標訂定若以年為單位，則目標維持期間應該</t>
  </si>
  <si>
    <t xml:space="preserve">少於一年</t>
  </si>
  <si>
    <t xml:space="preserve">半年</t>
  </si>
  <si>
    <t xml:space="preserve">超過一年</t>
  </si>
  <si>
    <t xml:space="preserve">改善後的效果是否能維持首靠</t>
  </si>
  <si>
    <t xml:space="preserve">嚴格監督</t>
  </si>
  <si>
    <t xml:space="preserve">量化資料是以數值(數據)呈現之資料，下列何者是量化資料？</t>
  </si>
  <si>
    <t xml:space="preserve">施工查核缺失項目</t>
  </si>
  <si>
    <t xml:space="preserve">工程性質</t>
  </si>
  <si>
    <t xml:space="preserve">質化資料又稱為類別資料，下列何者是質化資料？</t>
  </si>
  <si>
    <t xml:space="preserve">品管七大工具手法Q7中有</t>
  </si>
  <si>
    <t xml:space="preserve">品管新七大工具手法N7中有</t>
  </si>
  <si>
    <t xml:space="preserve">被稱為80-20法則，可運用在工作現場改善作業，針對關鍵原因尋求解決對策，大幅改善品質缺失的QC手法為</t>
  </si>
  <si>
    <t xml:space="preserve">特性要因圖中在背骨上下兩側記入大骨之大要因，大要因4M+E分類法中不包括</t>
  </si>
  <si>
    <t xml:space="preserve">量測</t>
  </si>
  <si>
    <t xml:space="preserve">將混凝土抗壓強度試驗結果分組，計算各組發生次數，再將各組次數畫成柱狀圖，根據圖形觀察試驗數據的平均值(集中趨勢)與分佈(離散趨勢)範圍之QC手法是</t>
  </si>
  <si>
    <t xml:space="preserve">藉由抽取樣本進行統計運算求得算術平均值(Mean)及全距(Range)，進而試算出中心線(CL)所在位置，分別加減3個標準差而成為管制上界限(UCL)及下界限(LCL)的QC手法為</t>
  </si>
  <si>
    <t xml:space="preserve">運用關聯圖分析時，將原因以短句方式寫在一張卡片上。原因型的詞句結構，原則上是名詞加上</t>
  </si>
  <si>
    <t xml:space="preserve">名詞</t>
  </si>
  <si>
    <t xml:space="preserve">形容詞</t>
  </si>
  <si>
    <t xml:space="preserve">動詞</t>
  </si>
  <si>
    <t xml:space="preserve">副詞</t>
  </si>
  <si>
    <t xml:space="preserve">利用樹木分枝圖形，由左至右，從樹幹、大枝、中枝、小枝，乃至於細枝，有層次的展開，進而尋求達到某種目的或目標最適當的手段或策略的QC手法為</t>
  </si>
  <si>
    <t xml:space="preserve">像權責矩陣這種將因素群按照二元配置或多元配置，以因素之交點來表示因素間關聯程度的QC手法為</t>
  </si>
  <si>
    <t xml:space="preserve">箭線圖工作天數計算不包括計算</t>
  </si>
  <si>
    <t xml:space="preserve">最早起始點ES</t>
  </si>
  <si>
    <t xml:space="preserve">最晚起始點LS</t>
  </si>
  <si>
    <t xml:space="preserve">樂觀起始時間OS</t>
  </si>
  <si>
    <t xml:space="preserve">全部寬裕時間總浮時TF</t>
  </si>
  <si>
    <t xml:space="preserve">由於某種規格限制會造成直方圖呈</t>
  </si>
  <si>
    <t xml:space="preserve">偏態或絕壁型</t>
  </si>
  <si>
    <t xml:space="preserve">離島型</t>
  </si>
  <si>
    <t xml:space="preserve">兩個不同群體混合會造成直方圖呈</t>
  </si>
  <si>
    <t xml:space="preserve">原因追求型之特性要因圖其魚頭方向</t>
  </si>
  <si>
    <t xml:space="preserve">向右</t>
  </si>
  <si>
    <t xml:space="preserve">向左</t>
  </si>
  <si>
    <t xml:space="preserve">散佈圖中，各散佈點呈現球形分佈時，表示兩變數間呈</t>
  </si>
  <si>
    <t xml:space="preserve">強正相關</t>
  </si>
  <si>
    <t xml:space="preserve">管制圖通常採取平均值加減幾個標準差作為管制界限？</t>
  </si>
  <si>
    <t xml:space="preserve">下列何者非腦力激盪的基本原則？</t>
  </si>
  <si>
    <t xml:space="preserve">自由聯想</t>
  </si>
  <si>
    <t xml:space="preserve">禁止批評</t>
  </si>
  <si>
    <t xml:space="preserve">相互啟發</t>
  </si>
  <si>
    <t xml:space="preserve">輪流發言</t>
  </si>
  <si>
    <t xml:space="preserve">傳統的品管七大工具手法(簡稱Q7)，不包括下列何者？</t>
  </si>
  <si>
    <t xml:space="preserve">傳統的品管七大工具手法(簡稱Q7)中，何者必須配合其他手法一起運用？</t>
  </si>
  <si>
    <t xml:space="preserve">柏拉圖分析的標準結構，在座標軸的橫軸為何？</t>
  </si>
  <si>
    <t xml:space="preserve">分析項目</t>
  </si>
  <si>
    <t xml:space="preserve">利用樹木分枝圖形，由左至右，從樹幹、大枝、中枝、小枝，乃至於細枝，有層次的展開，此圖形稱之為？</t>
  </si>
  <si>
    <t xml:space="preserve">石川圖</t>
  </si>
  <si>
    <t xml:space="preserve">過程決策計畫圖與下列何者近似？</t>
  </si>
  <si>
    <t xml:space="preserve">標準作業程序</t>
  </si>
  <si>
    <r>
      <rPr>
        <sz val="10"/>
        <rFont val="Arial"/>
        <family val="0"/>
        <charset val="1"/>
      </rPr>
      <t xml:space="preserve">KJ</t>
    </r>
    <r>
      <rPr>
        <sz val="10"/>
        <rFont val="Noto Sans CJK SC"/>
        <family val="2"/>
      </rPr>
      <t xml:space="preserve">圖</t>
    </r>
  </si>
  <si>
    <t xml:space="preserve">第四章 工程進料檢驗與管制</t>
  </si>
  <si>
    <t xml:space="preserve">單元二：第四章 工程進料檢驗與管制</t>
  </si>
  <si>
    <t xml:space="preserve">營建工程因使用之目的不同，粗略的分法有建築工程與土木工程兩大類。進料時的管理方法略為不同。以下何項敘述錯誤？</t>
  </si>
  <si>
    <t xml:space="preserve">供應工程系統功能運轉的設施，常稱為器材設備類</t>
  </si>
  <si>
    <t xml:space="preserve">土木材料大都以原材或一次加工料為主，建築材料以一次或二次加工之半成品或成品</t>
  </si>
  <si>
    <t xml:space="preserve">設備大都由工廠以工業生產組裝方式之成品、組件</t>
  </si>
  <si>
    <t xml:space="preserve">以上三項敘述皆是錯誤</t>
  </si>
  <si>
    <t xml:space="preserve">進料檢驗</t>
  </si>
  <si>
    <t xml:space="preserve">為利業主、監造者、廠商、供應商權責之釐清，以下何項敘述正確？</t>
  </si>
  <si>
    <t xml:space="preserve">營造過程中，自規劃設計、發包施工至材料採購各階段，均須建立公平合理的契約與規範性文件</t>
  </si>
  <si>
    <t xml:space="preserve">【技術規格】係為規範性文件中規定產品、過程或服務所需符合之技術要求文件</t>
  </si>
  <si>
    <t xml:space="preserve">【作業規範】係對於設備結構或產品之設計製造、安裝、維護或使用，建議實際作法或程序之文件</t>
  </si>
  <si>
    <t xml:space="preserve">以上項目敘述皆正確</t>
  </si>
  <si>
    <t xml:space="preserve">進料檢驗、監造</t>
  </si>
  <si>
    <t xml:space="preserve">各項活動為使其在一定程序與範圍下循序獲致秩序的最佳程度所建立之文件稱為標準，由國家級公認之單位核准者稱為下列何者？</t>
  </si>
  <si>
    <t xml:space="preserve">國家標準</t>
  </si>
  <si>
    <t xml:space="preserve">公司標準</t>
  </si>
  <si>
    <t xml:space="preserve">國際標準</t>
  </si>
  <si>
    <t xml:space="preserve">歐盟標準</t>
  </si>
  <si>
    <t xml:space="preserve">工程施工材料品質的管控是品質管理的主要項目，材料進料檢驗是一般公認工程品質管理上的關鍵點，我國之國家標準稱為中華民國國家標準，係由下列那一單位訂頒？</t>
  </si>
  <si>
    <t xml:space="preserve">經濟部標準檢驗局</t>
  </si>
  <si>
    <t xml:space="preserve">財政部標準檢驗局</t>
  </si>
  <si>
    <t xml:space="preserve">交通部路政及道安司</t>
  </si>
  <si>
    <t xml:space="preserve">經濟部產業技術司</t>
  </si>
  <si>
    <t xml:space="preserve">規定產品，過程或服務所需符合之技術要求文件稱為何？</t>
  </si>
  <si>
    <t xml:space="preserve">技術規格</t>
  </si>
  <si>
    <t xml:space="preserve">作業規範</t>
  </si>
  <si>
    <t xml:space="preserve">補充說明</t>
  </si>
  <si>
    <t xml:space="preserve">對於設備結構或產品之設計製造、安裝、維護或使用，建議實際做法或程序之文件稱為下列何者？</t>
  </si>
  <si>
    <t xml:space="preserve">主要構材在一般狀況正常使用情形下可使用之年限，何者是最重要的因素之一：</t>
  </si>
  <si>
    <t xml:space="preserve">效用性能</t>
  </si>
  <si>
    <t xml:space="preserve">物理性能</t>
  </si>
  <si>
    <t xml:space="preserve">耐久性能</t>
  </si>
  <si>
    <t xml:space="preserve">化學性能</t>
  </si>
  <si>
    <t xml:space="preserve">為利業主、監造者、承攬廠商、供應商權責之釐清，營造過程中，自規劃設計、發包施工至材料採購各階段，均須建立公平合理的契約與何項文件？</t>
  </si>
  <si>
    <t xml:space="preserve">作業性文件</t>
  </si>
  <si>
    <t xml:space="preserve">說明性文件</t>
  </si>
  <si>
    <t xml:space="preserve">規範性文件</t>
  </si>
  <si>
    <t xml:space="preserve">標準性文件</t>
  </si>
  <si>
    <t xml:space="preserve">進料檢驗、契約管理、監造</t>
  </si>
  <si>
    <t xml:space="preserve">中華民國國家標準，英文縮寫簡稱為</t>
  </si>
  <si>
    <t xml:space="preserve">ASTM</t>
  </si>
  <si>
    <t xml:space="preserve">JIS</t>
  </si>
  <si>
    <t xml:space="preserve">DIN</t>
  </si>
  <si>
    <t xml:space="preserve">CNS</t>
  </si>
  <si>
    <t xml:space="preserve">工程生命週期包含下列哪些階段</t>
  </si>
  <si>
    <t xml:space="preserve">規劃設計</t>
  </si>
  <si>
    <t xml:space="preserve">發包施工</t>
  </si>
  <si>
    <t xml:space="preserve">維護使用</t>
  </si>
  <si>
    <t xml:space="preserve">為因應國際化，各項標準化活動均儘量配合國際標準(如ISO)，在ISO有關品質系統，列在何系列標準中？</t>
  </si>
  <si>
    <t xml:space="preserve">8000</t>
  </si>
  <si>
    <t xml:space="preserve">9000</t>
  </si>
  <si>
    <t xml:space="preserve">14000</t>
  </si>
  <si>
    <t xml:space="preserve">17025</t>
  </si>
  <si>
    <t xml:space="preserve">品質是一項可以藉由量化的技術來管理，因此近年來在品質管理上已可應用何種技術與理念？</t>
  </si>
  <si>
    <t xml:space="preserve">測試技術與理念</t>
  </si>
  <si>
    <t xml:space="preserve">統計學的技術與理念</t>
  </si>
  <si>
    <t xml:space="preserve">操作技術與理念</t>
  </si>
  <si>
    <t xml:space="preserve">圖說與規範規定之內容絕大部分皆取用於具有公信力之標準，我們所熟悉之國際性標準ISO、IEC，各主要經濟國之國家標準ANSI、BS、CNS、DIN、JIS，國際性學(協)會與團體之規格ACI、UL、ASTM等均屬之，以此標準做為設計、採購、製造、施工、檢驗之依據，其中以下何項之標準及其檢驗項目應優先重視？</t>
  </si>
  <si>
    <t xml:space="preserve">成本支出</t>
  </si>
  <si>
    <t xml:space="preserve">施工設備</t>
  </si>
  <si>
    <t xml:space="preserve">景觀美學</t>
  </si>
  <si>
    <t xml:space="preserve">公共安全</t>
  </si>
  <si>
    <t xml:space="preserve">進料檢驗、政府採購</t>
  </si>
  <si>
    <t xml:space="preserve">下列何者為美國的國家標準？</t>
  </si>
  <si>
    <t xml:space="preserve">ANSI</t>
  </si>
  <si>
    <r>
      <rPr>
        <sz val="10"/>
        <rFont val="Arial"/>
        <family val="0"/>
        <charset val="1"/>
      </rPr>
      <t xml:space="preserve">ASTM</t>
    </r>
    <r>
      <rPr>
        <sz val="10"/>
        <rFont val="Noto Sans CJK SC"/>
        <family val="2"/>
      </rPr>
      <t xml:space="preserve">屬於下列何種標準？</t>
    </r>
  </si>
  <si>
    <t xml:space="preserve">團體學(協)會標準</t>
  </si>
  <si>
    <t xml:space="preserve">區域標準</t>
  </si>
  <si>
    <t xml:space="preserve">依據財政部頒定之房屋建築類固定資產耐用年數表，細目中供公共場所用之鋼筋(骨)混凝土建造、預鑄混凝土建造，規定耐用年數為</t>
  </si>
  <si>
    <t xml:space="preserve">35</t>
  </si>
  <si>
    <t xml:space="preserve">25</t>
  </si>
  <si>
    <r>
      <rPr>
        <sz val="10"/>
        <rFont val="Arial"/>
        <family val="0"/>
        <charset val="1"/>
      </rPr>
      <t xml:space="preserve">20</t>
    </r>
    <r>
      <rPr>
        <sz val="10"/>
        <rFont val="Noto Sans CJK SC"/>
        <family val="2"/>
      </rPr>
      <t xml:space="preserve">年</t>
    </r>
  </si>
  <si>
    <t xml:space="preserve">供應商為確保產品能滿足客戶規範規定，產品交貨時所提供之品質驗證紀錄，通常稱之為何？</t>
  </si>
  <si>
    <t xml:space="preserve">品質證明書、出廠報告</t>
  </si>
  <si>
    <t xml:space="preserve">產品目錄</t>
  </si>
  <si>
    <r>
      <rPr>
        <sz val="10"/>
        <rFont val="Arial"/>
        <family val="0"/>
        <charset val="1"/>
      </rPr>
      <t xml:space="preserve">ISO</t>
    </r>
    <r>
      <rPr>
        <sz val="10"/>
        <rFont val="Noto Sans CJK SC"/>
        <family val="2"/>
      </rPr>
      <t xml:space="preserve">文件</t>
    </r>
  </si>
  <si>
    <t xml:space="preserve">供應商為確保其產品能滿足客戶需求與市場規範之規定，除於生產過程中，應遵守其內部各項管制規定外，產品交貨時，亦應提供滿足採購契約及規範規定之品質驗證紀錄，通常稱之為品質證明書、出廠報告等。以鋼筋為例：供應商於交貨時，應按何項規範之規定，提供足夠的檢驗數據，作為品質憑證？</t>
  </si>
  <si>
    <t xml:space="preserve">CNS 479</t>
  </si>
  <si>
    <t xml:space="preserve">CNS 560</t>
  </si>
  <si>
    <t xml:space="preserve">進料檢驗、契約管理、政府採購</t>
  </si>
  <si>
    <t xml:space="preserve">我國工程上普遍的定義，就是符合CNS 的各項物理、化學、外觀等規格的產品，我們引用後稱其為「材料規範」，而那些測定物理、化學、外觀等規格的方法，我們稱為？</t>
  </si>
  <si>
    <t xml:space="preserve">契約規範</t>
  </si>
  <si>
    <t xml:space="preserve">施工規範</t>
  </si>
  <si>
    <t xml:space="preserve">測試規範</t>
  </si>
  <si>
    <t xml:space="preserve">須對其所供應的材料品質負責者為</t>
  </si>
  <si>
    <t xml:space="preserve">供應商</t>
  </si>
  <si>
    <t xml:space="preserve">業主</t>
  </si>
  <si>
    <t xml:space="preserve">對工程的業主而言，材料品質的責任應由下列何者擔負，並透過採購程序移轉給供應商？</t>
  </si>
  <si>
    <t xml:space="preserve">材料試驗單位</t>
  </si>
  <si>
    <t xml:space="preserve">承攬廠商於材料進場時所作的檢驗或測試工作，其目的旨在確認供應商是否維持何種承諾？</t>
  </si>
  <si>
    <t xml:space="preserve">達到業主額外品質要求</t>
  </si>
  <si>
    <t xml:space="preserve">維持訂約時之承諾(材料設備採購契約規定)</t>
  </si>
  <si>
    <t xml:space="preserve">執行國家標準</t>
  </si>
  <si>
    <t xml:space="preserve">降低工程成本</t>
  </si>
  <si>
    <t xml:space="preserve">廠商在材料品質管理的立場為何？</t>
  </si>
  <si>
    <t xml:space="preserve">建立生管計畫</t>
  </si>
  <si>
    <t xml:space="preserve">訂立品質規定</t>
  </si>
  <si>
    <t xml:space="preserve">確認材料符合契約規定</t>
  </si>
  <si>
    <t xml:space="preserve">做好原件生產品管</t>
  </si>
  <si>
    <t xml:space="preserve">承攬廠商並非產品直接生產者，因此其品管標的並非產品本身，而其品質查證的信心，應建構在何者的品管能力與實際作為上？</t>
  </si>
  <si>
    <t xml:space="preserve">在當前工程品質管理環境裡，承攬廠商一直忽略了在材料設備的</t>
  </si>
  <si>
    <t xml:space="preserve">設計上</t>
  </si>
  <si>
    <t xml:space="preserve">產製上</t>
  </si>
  <si>
    <t xml:space="preserve">施作上</t>
  </si>
  <si>
    <t xml:space="preserve">運用上，也正在扮演「甲方」的角色，是供應商的甲方</t>
  </si>
  <si>
    <t xml:space="preserve">「監造計畫」，其內容應涵蓋：審查「承攬廠商」所提送執行品管作業之成果，監督「承攬廠商」實際作業狀況與獨立之「抽樣驗證」，「抽樣驗證的目的」是增加對「承攬廠商品管作業」成效的信心，以確認承攬廠商品管功能是否適切與充分發揮為目的，所以當缺失出現時，監造單位不應僅對該批材料作處置，更需作下列何項處理程序，品管手續才完整？</t>
  </si>
  <si>
    <t xml:space="preserve">應對「監造單位」的品質計畫作通盤檢討</t>
  </si>
  <si>
    <t xml:space="preserve">應對「承攬廠商」的品質計畫與抽驗數量、頻率等作通盤檢討</t>
  </si>
  <si>
    <t xml:space="preserve">應對「供應商」的品質計畫與抽驗數量、頻率等作通盤檢討</t>
  </si>
  <si>
    <t xml:space="preserve">以上三項敘述皆正確</t>
  </si>
  <si>
    <t xml:space="preserve">進料檢驗、監造、抽樣檢驗</t>
  </si>
  <si>
    <t xml:space="preserve">監造單位代表業主監造，對材料設備管理之作為，下列何者正確？</t>
  </si>
  <si>
    <t xml:space="preserve">擬定生管計畫</t>
  </si>
  <si>
    <t xml:space="preserve">擬定品管計畫</t>
  </si>
  <si>
    <t xml:space="preserve">查核監工日誌</t>
  </si>
  <si>
    <t xml:space="preserve">審查廠商之品管計畫與抽驗進場材料</t>
  </si>
  <si>
    <t xml:space="preserve">對承攬廠商而言，因工程環境或地域因素，必須面對良莠不齊的供應商，承攬廠商除應選擇最符其整體利益的供應商外，亦應按供應商的品質管控能力，建立獨立的</t>
  </si>
  <si>
    <t xml:space="preserve">設計計畫</t>
  </si>
  <si>
    <t xml:space="preserve">在當前工程組織中，監造單位可分為</t>
  </si>
  <si>
    <t xml:space="preserve">業主自辦</t>
  </si>
  <si>
    <t xml:space="preserve">業主委辦</t>
  </si>
  <si>
    <t xml:space="preserve">業主交辦</t>
  </si>
  <si>
    <t xml:space="preserve">業主自辦與委辦</t>
  </si>
  <si>
    <t xml:space="preserve">下列何單位的功能是監督承攬廠商品質管理作為，並藉抽驗材料品質與審查相關作業文件紀錄，確認承攬廠商所制訂之品質計畫已落實施行及確實有效，而非單純的確認材料設備品質或規格？</t>
  </si>
  <si>
    <t xml:space="preserve">施工單位</t>
  </si>
  <si>
    <t xml:space="preserve">上級單位</t>
  </si>
  <si>
    <t xml:space="preserve">監造單位的品質查證信心必須建築在何者有效的品管功能上？</t>
  </si>
  <si>
    <t xml:space="preserve">材料製造商</t>
  </si>
  <si>
    <t xml:space="preserve">公有建築物工程中必須勘驗部分,依《建築法》規定,應由承造人會同何者按時申報後,方得繼續施工？</t>
  </si>
  <si>
    <t xml:space="preserve">業主(工程主辦機關)</t>
  </si>
  <si>
    <t xml:space="preserve">主管建築機關</t>
  </si>
  <si>
    <t xml:space="preserve">依據建築法第56條第1項規定，公有建築物工程中必須勘驗部分，應由直轄市、縣(市)主管建築機關於核定建築計畫時，指定由何者會同監造人按時申報後，方得繼續施工？</t>
  </si>
  <si>
    <t xml:space="preserve">承造人</t>
  </si>
  <si>
    <t xml:space="preserve">依據建築法規定，監造人應查核建築材料的規格及品質，並填報何種文件？</t>
  </si>
  <si>
    <t xml:space="preserve">公共工程監造報表</t>
  </si>
  <si>
    <t xml:space="preserve">建築工程必須勘驗部分申報表</t>
  </si>
  <si>
    <t xml:space="preserve">公共工程施工日誌</t>
  </si>
  <si>
    <t xml:space="preserve">進料檢驗、監造、工程查核</t>
  </si>
  <si>
    <t xml:space="preserve">在建築工程必須勘驗部分申報表(B14-2)中，關於鋼筋的法定品質文件，除了「強度試驗報告書」和「出廠證明書」外，還必須查核何種證明書？</t>
  </si>
  <si>
    <t xml:space="preserve">氯離子檢測報告書</t>
  </si>
  <si>
    <t xml:space="preserve">圓柱試體壓驗報告書</t>
  </si>
  <si>
    <t xml:space="preserve">無輻射鋼筋證明書</t>
  </si>
  <si>
    <t xml:space="preserve">工廠登記證明書</t>
  </si>
  <si>
    <t xml:space="preserve">進料檢驗、工程查核</t>
  </si>
  <si>
    <t xml:space="preserve">在建築工程必須勘驗部分申報表(B14-2)中，關於混凝土的法定品質文件，下列何者非必須查核項目？</t>
  </si>
  <si>
    <t xml:space="preserve">強度試驗報告書</t>
  </si>
  <si>
    <t xml:space="preserve">建築物結構用混凝土細粒料中電弧爐煉鋼爐碴(石)檢測報告書</t>
  </si>
  <si>
    <t xml:space="preserve">水泥的正常稠度試驗報告書</t>
  </si>
  <si>
    <t xml:space="preserve">「監造單位」的品管作業應依監造計畫施行，由於其係「業主代表」的身分，契約規定為其應嚴守的標準，其所執行之各項作業，以下何項正確？</t>
  </si>
  <si>
    <t xml:space="preserve">應詳細記載於監造報告，如：監工報表或材料設備品質抽驗紀錄表，如有執行抽查測試等工作，亦應將結果或試驗報告判讀並建檔</t>
  </si>
  <si>
    <t xml:space="preserve">應詳細記載於監造報告，如：公共工程監造報表或材料設備品質抽驗紀錄表，如有執行抽查測試等工作，不需建檔</t>
  </si>
  <si>
    <t xml:space="preserve">監造單位，不需執行抽查測試等工作</t>
  </si>
  <si>
    <t xml:space="preserve">以上三項敘述皆錯誤</t>
  </si>
  <si>
    <t xml:space="preserve">監造單位的品管作業應依監造計畫施行，由於其係業主代表的身分，契約規定為其應嚴守的標準，其所執行之各項作業，應詳細記載於</t>
  </si>
  <si>
    <t xml:space="preserve">施工報告</t>
  </si>
  <si>
    <t xml:space="preserve">會議報告</t>
  </si>
  <si>
    <t xml:space="preserve">監工報告</t>
  </si>
  <si>
    <t xml:space="preserve">監造報告</t>
  </si>
  <si>
    <t xml:space="preserve">｢承攬廠商｣的｢品質文件｣是以下何項目？</t>
  </si>
  <si>
    <t xml:space="preserve">出廠報告、產品品質檢驗報告等</t>
  </si>
  <si>
    <t xml:space="preserve">試驗報告、施工日誌</t>
  </si>
  <si>
    <t xml:space="preserve">監造報表材料設備品質抽驗紀錄表</t>
  </si>
  <si>
    <t xml:space="preserve">依據材料設備品質管理系統權責分工表，承攬廠商應在品質規格上確立何者規格？</t>
  </si>
  <si>
    <t xml:space="preserve">工廠規格</t>
  </si>
  <si>
    <t xml:space="preserve">訂貨規格</t>
  </si>
  <si>
    <t xml:space="preserve">契約規格</t>
  </si>
  <si>
    <t xml:space="preserve">市場規格</t>
  </si>
  <si>
    <t xml:space="preserve">在材料設備品質管理系統權責分工表中，監造單位的「品管標的」為何？</t>
  </si>
  <si>
    <t xml:space="preserve">產品品質</t>
  </si>
  <si>
    <t xml:space="preserve">供應商品管能力</t>
  </si>
  <si>
    <t xml:space="preserve">承攬廠商品管能力</t>
  </si>
  <si>
    <t xml:space="preserve">監造者品保能力</t>
  </si>
  <si>
    <t xml:space="preserve">在材料設備品質管理系統權責分工表中，承攬廠商的品管標的為何？</t>
  </si>
  <si>
    <t xml:space="preserve">廠商品管能力</t>
  </si>
  <si>
    <t xml:space="preserve">監造者品管能力</t>
  </si>
  <si>
    <t xml:space="preserve">在材料設備品質管理系統權責分工表中，業主的品管標的為何？</t>
  </si>
  <si>
    <t xml:space="preserve">依據材料設備品質管理系統權責分工表，供應商執行之品管標的為：</t>
  </si>
  <si>
    <t xml:space="preserve">在材料設備品質管理系統權責分工表(表2.1)中，監造單位的「管理制度文件名稱」為何？</t>
  </si>
  <si>
    <t xml:space="preserve">產品開發、生管計畫</t>
  </si>
  <si>
    <t xml:space="preserve">管理計畫</t>
  </si>
  <si>
    <t xml:space="preserve">在工程品質【主辦機關(專案管理廠商)】監督管理作業常見缺失案例，以下何者敘述正確？</t>
  </si>
  <si>
    <t xml:space="preserve">工程契約內未編列【廠商材料設備】之檢驗費用</t>
  </si>
  <si>
    <t xml:space="preserve">工程契約內未編列【系統功能運轉】測試費用</t>
  </si>
  <si>
    <t xml:space="preserve">未編列監造單位【材料設備】之抽驗費用</t>
  </si>
  <si>
    <t xml:space="preserve">以上三項目敘述皆正確</t>
  </si>
  <si>
    <t xml:space="preserve">供應商在產品稽核之稽查內容為下列何者？</t>
  </si>
  <si>
    <t xml:space="preserve">確認專案契約符合整體品質策略</t>
  </si>
  <si>
    <t xml:space="preserve">確認監造制度符合品質策略</t>
  </si>
  <si>
    <t xml:space="preserve">確認生管措施能確保產品規格或功能符合規劃目的</t>
  </si>
  <si>
    <t xml:space="preserve">確認各項品管制度之迫切與有效</t>
  </si>
  <si>
    <t xml:space="preserve">進料檢驗、品質稽核</t>
  </si>
  <si>
    <t xml:space="preserve">監造單位在內部品質稽核上應對下列何者項目稽核？</t>
  </si>
  <si>
    <t xml:space="preserve">產品稽核</t>
  </si>
  <si>
    <t xml:space="preserve">品管制度稽核</t>
  </si>
  <si>
    <t xml:space="preserve">監造制度稽核</t>
  </si>
  <si>
    <t xml:space="preserve">施工現場稽核</t>
  </si>
  <si>
    <t xml:space="preserve">進料檢驗、監造、品質稽核</t>
  </si>
  <si>
    <t xml:space="preserve">依據材料設備品質稽核功能顯示，供應商之稽核為：</t>
  </si>
  <si>
    <t xml:space="preserve">產品稽核、生管(品保、開發)制度稽核</t>
  </si>
  <si>
    <t xml:space="preserve">品質制度稽核</t>
  </si>
  <si>
    <t xml:space="preserve">管理制度稽核</t>
  </si>
  <si>
    <t xml:space="preserve">依據材料設備品質稽核功能顯示，承攬廠商之稽核為：</t>
  </si>
  <si>
    <t xml:space="preserve">依據材料設備品質稽核功能顯示，業主之稽核為：</t>
  </si>
  <si>
    <t xml:space="preserve">工程契約內未編列廠商材料設備之檢驗或系統功能運轉測試費用是誰的缺失：</t>
  </si>
  <si>
    <t xml:space="preserve">主管機關</t>
  </si>
  <si>
    <t xml:space="preserve">進料檢驗、契約管理</t>
  </si>
  <si>
    <t xml:space="preserve">以下何項為主辦機關(或專案管理廠商)監督管理作業缺失？</t>
  </si>
  <si>
    <t xml:space="preserve">品管費用或品管人員訂有專職及人數等規定者，以人月量化編列</t>
  </si>
  <si>
    <t xml:space="preserve">工程契約內未明定監造廠商提報監造計畫與應含內容</t>
  </si>
  <si>
    <t xml:space="preserve">工程契約已編列廠商材料設備之檢驗或系統功能運轉測試費用</t>
  </si>
  <si>
    <t xml:space="preserve">落實品質督導及查驗紀錄</t>
  </si>
  <si>
    <t xml:space="preserve">下列何者不屬於「監造單位監督管理作業品管缺失案例」中關於監造計畫內容的缺失？</t>
  </si>
  <si>
    <t xml:space="preserve">未訂定各材料/設備施工之品質管理標準</t>
  </si>
  <si>
    <t xml:space="preserve">未訂定各材料/設備施工之檢驗停留點</t>
  </si>
  <si>
    <t xml:space="preserve">施工日誌未落實記載</t>
  </si>
  <si>
    <t xml:space="preserve">未訂定品質稽核範圍或頻率</t>
  </si>
  <si>
    <t xml:space="preserve">以下何項為「監造單位」監督管理作業之品管缺失案例？</t>
  </si>
  <si>
    <t xml:space="preserve">工程標的含運轉類機電設備者，未依單機設備、系統運轉、整體功能試運轉等分別訂定抽驗程序及標準</t>
  </si>
  <si>
    <t xml:space="preserve">未實際監督機電設備測試及試運轉</t>
  </si>
  <si>
    <t xml:space="preserve">監造單位及其所派駐現場人員未審查廠商「施工計畫、品質計畫、預定進度、施工圖、器材樣品及其他送審案件」或無審查重要分包廠商及設備製造商資格</t>
  </si>
  <si>
    <t xml:space="preserve">以上敘述皆正確</t>
  </si>
  <si>
    <t xml:space="preserve">未訂定各材料/設備施工之品質管理標準及檢驗停留點是誰的缺失：</t>
  </si>
  <si>
    <t xml:space="preserve">以下何項為監造單位監督管理作業品管缺失？</t>
  </si>
  <si>
    <t xml:space="preserve">依契約規定期限提送監造計畫</t>
  </si>
  <si>
    <t xml:space="preserve">已訂定各材料/設備施工之檢驗停留點，且符合需求</t>
  </si>
  <si>
    <t xml:space="preserve">監造單位及其所派駐現場人員未落實執行監造計畫</t>
  </si>
  <si>
    <t xml:space="preserve">依契約規定填報監造報表，且落實記載</t>
  </si>
  <si>
    <t xml:space="preserve">下列何者在品管制度中，非屬監造單位的缺失？</t>
  </si>
  <si>
    <t xml:space="preserve">無品質計畫及施工計畫審查認可紀錄</t>
  </si>
  <si>
    <t xml:space="preserve">未於約定檢驗項目會同廠商取樣送驗</t>
  </si>
  <si>
    <t xml:space="preserve">未訂定各分項工程施工要領</t>
  </si>
  <si>
    <t xml:space="preserve">未監督機電設備測試及試運轉</t>
  </si>
  <si>
    <t xml:space="preserve">以下敘述何者為「承攬廠商」監督管理作業品管缺失？</t>
  </si>
  <si>
    <t xml:space="preserve">承攬廠商未提送施工計畫，或施工計畫內容未符合需求，或未落實執行</t>
  </si>
  <si>
    <t xml:space="preserve">未訂定品管組織架構內各人員之職掌(專任工程人及品管人員之職掌)</t>
  </si>
  <si>
    <t xml:space="preserve">未訂定各分項工程施工要領及品質管理標準</t>
  </si>
  <si>
    <t xml:space="preserve">以下何項為承攬廠商監督管理作業品管缺失？</t>
  </si>
  <si>
    <t xml:space="preserve">工程標的含運轉類機電設備者，未訂定檢驗程序及標準，或無試運轉及測試計畫書</t>
  </si>
  <si>
    <t xml:space="preserve">已訂定矯正與預防措施執行時機或流程</t>
  </si>
  <si>
    <t xml:space="preserve">已辦理品管統計分析、矯正與預防措施之提出及追蹤</t>
  </si>
  <si>
    <t xml:space="preserve">下列何者非屬承攬廠商品管常見缺失？</t>
  </si>
  <si>
    <t xml:space="preserve">未提送品質計畫</t>
  </si>
  <si>
    <t xml:space="preserve">未訂定各分項工程品質管理標準</t>
  </si>
  <si>
    <t xml:space="preserve">無材料設備之抽查紀錄表</t>
  </si>
  <si>
    <t xml:space="preserve">未訂定各材料/設備施工檢驗時機</t>
  </si>
  <si>
    <t xml:space="preserve">未分別訂定「材料」及「施工」之不合格品管制作業程序與矯正與預防措施是誰的缺失：</t>
  </si>
  <si>
    <t xml:space="preserve">承攬廠商為確保所採購產品能滿足規範要求，下列何者非屬其管制內容？</t>
  </si>
  <si>
    <t xml:space="preserve">供應商評估與選擇方式</t>
  </si>
  <si>
    <t xml:space="preserve">採購價格成本高低</t>
  </si>
  <si>
    <t xml:space="preserve">對供應商執行查證</t>
  </si>
  <si>
    <t xml:space="preserve">制定產品檢驗程序與執行</t>
  </si>
  <si>
    <t xml:space="preserve">承攬廠商建立之材料採購制度不包括下列何者？</t>
  </si>
  <si>
    <t xml:space="preserve">分包廠商之評估</t>
  </si>
  <si>
    <t xml:space="preserve">查證或驗廠</t>
  </si>
  <si>
    <t xml:space="preserve">檢驗制度與程序</t>
  </si>
  <si>
    <t xml:space="preserve">檢驗規格及議價說明</t>
  </si>
  <si>
    <t xml:space="preserve">為確保所採購產品與服務能滿足計畫需求〈時間、成本與品質〉，採購作業必須有適當的規劃，並制定作業程序書有效的管制，其管制內容不包含：</t>
  </si>
  <si>
    <t xml:space="preserve">採購需求應明確，並盡可能的予以規格化與量化</t>
  </si>
  <si>
    <t xml:space="preserve">供應商的評估與選擇</t>
  </si>
  <si>
    <t xml:space="preserve">無須查證措施的執行</t>
  </si>
  <si>
    <t xml:space="preserve">檢驗程序的制定與執行</t>
  </si>
  <si>
    <t xml:space="preserve">為確保所採購產品與服務能滿足計畫需求〈時間、成本與品質〉，採購作業必須有適當的規劃，並制定作業程序書有效的管制，其內容應包含</t>
  </si>
  <si>
    <t xml:space="preserve">承攬廠商的評估與選擇</t>
  </si>
  <si>
    <t xml:space="preserve">監造單位品質資訊檔案的建構與管理</t>
  </si>
  <si>
    <t xml:space="preserve">利潤有效控管</t>
  </si>
  <si>
    <t xml:space="preserve">依據採購文件在送發之前應審核的項目，下列何者能提昇採購者對產品品質的信心，並可作為採購者向其業主展現品質能力的佐證？</t>
  </si>
  <si>
    <t xml:space="preserve">採購價格的合理性</t>
  </si>
  <si>
    <t xml:space="preserve">交貨時程的準確性</t>
  </si>
  <si>
    <t xml:space="preserve">運送計畫的完備性</t>
  </si>
  <si>
    <t xml:space="preserve">供應商在品質方面的能力展現</t>
  </si>
  <si>
    <t xml:space="preserve">在選擇供應商時，除了審查過去績效外，還可委請驗證機構或由自己的品保組織依據適當的何者,做滿意度之評鑑？</t>
  </si>
  <si>
    <t xml:space="preserve">財務報表</t>
  </si>
  <si>
    <t xml:space="preserve">行銷計畫</t>
  </si>
  <si>
    <t xml:space="preserve">採購價格</t>
  </si>
  <si>
    <t xml:space="preserve">品質系統</t>
  </si>
  <si>
    <t xml:space="preserve">承攬廠商為確保品質要求，選擇供應商時，可採取的途徑為何？</t>
  </si>
  <si>
    <t xml:space="preserve">審查過去提供類似產品績效</t>
  </si>
  <si>
    <t xml:space="preserve">委請驗證機構做滿意度評鑑</t>
  </si>
  <si>
    <t xml:space="preserve">由品保或採購部門做滿意度評鑑</t>
  </si>
  <si>
    <t xml:space="preserve">為確保未來契約品質需求的達成，在選擇供應商時，應審慎為之，評選的途徑下列何者為非</t>
  </si>
  <si>
    <t xml:space="preserve">審查過去提供類似產品或服務的績效</t>
  </si>
  <si>
    <t xml:space="preserve">委請驗證機構，依據適當的品質系統，做滿意度之評鑑</t>
  </si>
  <si>
    <t xml:space="preserve">自己的品保組織或採購部門，依據適當的品質系統，做滿意度之評鑑</t>
  </si>
  <si>
    <t xml:space="preserve">成本管控為優先考慮</t>
  </si>
  <si>
    <t xml:space="preserve">承攬廠商於材料設備的採購文件，內容至少要含下列何者？</t>
  </si>
  <si>
    <t xml:space="preserve">型式、類別、等級或其他精確的鑑別說明</t>
  </si>
  <si>
    <t xml:space="preserve">各種檢驗說明及適用規格</t>
  </si>
  <si>
    <t xml:space="preserve">所採用之國家或學協會等品質標準</t>
  </si>
  <si>
    <t xml:space="preserve">業主對材料設備抽驗之目的是</t>
  </si>
  <si>
    <t xml:space="preserve">工程管理</t>
  </si>
  <si>
    <t xml:space="preserve">契約監督</t>
  </si>
  <si>
    <t xml:space="preserve">採購管制</t>
  </si>
  <si>
    <t xml:space="preserve">出廠驗證</t>
  </si>
  <si>
    <t xml:space="preserve">監造單位對於材料設備之抽樣是基於</t>
  </si>
  <si>
    <t xml:space="preserve">供應商對於生產過程的材料設備檢驗是基於</t>
  </si>
  <si>
    <t xml:space="preserve">採購產品品質之驗證，業主、監造單位、承攬廠商與供應商都應對材料品質實施抽驗，承攬廠商執行之目的為：</t>
  </si>
  <si>
    <t xml:space="preserve">進料檢驗、監造、政府採購</t>
  </si>
  <si>
    <t xml:space="preserve">以材料品質為例，業主、監造單位、承攬廠商與供應商都應對材料品質實施抽驗，這在管理目的上，各不相同，以下何者"執行者"與"管理目的"對應正確？</t>
  </si>
  <si>
    <t xml:space="preserve">業主-工程管理</t>
  </si>
  <si>
    <t xml:space="preserve">監造單位-採購管理</t>
  </si>
  <si>
    <t xml:space="preserve">承攬廠商-出廠驗證</t>
  </si>
  <si>
    <t xml:space="preserve">供應商-契約監督</t>
  </si>
  <si>
    <t xml:space="preserve">依據採購產品品質之驗證說明，執行者與目的，下列何者正確？</t>
  </si>
  <si>
    <t xml:space="preserve">承攬廠商-工程管理</t>
  </si>
  <si>
    <t xml:space="preserve">承攬廠商-契約監督</t>
  </si>
  <si>
    <t xml:space="preserve">承攬廠商-採購管制</t>
  </si>
  <si>
    <t xml:space="preserve">業主、監造單位、承攬廠商與供應商均應實施材料品質抽驗，其中承攬廠商抽驗之目的在於</t>
  </si>
  <si>
    <t xml:space="preserve">承攬廠商為確認供應商的材料設備品質，不宜採下列何方式進行？</t>
  </si>
  <si>
    <t xml:space="preserve">要求隨貨提送檢測數據</t>
  </si>
  <si>
    <t xml:space="preserve">逐批抽樣作允收檢測</t>
  </si>
  <si>
    <t xml:space="preserve">要求實施品保制度</t>
  </si>
  <si>
    <t xml:space="preserve">由供應商自訂其品保責任</t>
  </si>
  <si>
    <t xml:space="preserve">以下敘述何者為混凝土施工作業之品質常見缺失？</t>
  </si>
  <si>
    <t xml:space="preserve">混凝土澆置、搗實不合規範，有冷縫、蜂窩或孔洞產生</t>
  </si>
  <si>
    <t xml:space="preserve">混凝土施工縫及伸縮縫(含填縫材料施作)留設不當或施作不當</t>
  </si>
  <si>
    <t xml:space="preserve">混凝土養護不合規範，塑性收縮造成裂縫</t>
  </si>
  <si>
    <t xml:space="preserve">承攬廠商對業主供應品的品質責任是</t>
  </si>
  <si>
    <t xml:space="preserve">保管與維護</t>
  </si>
  <si>
    <t xml:space="preserve">品質驗證</t>
  </si>
  <si>
    <t xml:space="preserve">採購成本</t>
  </si>
  <si>
    <t xml:space="preserve">產品製程管制</t>
  </si>
  <si>
    <t xml:space="preserve">以下何項為鋼筋施工採購管制作業之品質常見缺失？</t>
  </si>
  <si>
    <t xml:space="preserve">主筋或箍筋未綁紮固定確實或箍(繫)筋、彎鉤綁紮不合規範要求</t>
  </si>
  <si>
    <t xml:space="preserve">開口或角隅增設補強筋符合規範要求</t>
  </si>
  <si>
    <t xml:space="preserve">樑柱接頭錨定彎曲位置超過柱中心線</t>
  </si>
  <si>
    <t xml:space="preserve">大小樑交接處，小樑主筋錨定之彎曲位置深入大樑15公分以上</t>
  </si>
  <si>
    <t xml:space="preserve">以下敘述何者為鋼構施工採購管制作業之品質常見缺失？</t>
  </si>
  <si>
    <t xml:space="preserve">抽查合格之螺栓孔邊緣仍無勻整、有破裂及凹凸之鋸齒形痕跡或孔徑、孔邊距、間距及數量不符規定</t>
  </si>
  <si>
    <t xml:space="preserve">構件銲接前之組合位置或銲接方式不符規定</t>
  </si>
  <si>
    <t xml:space="preserve">銲材保管方式不當，施工前未確實乾燥，銲接時被銲接面有鬆屑、碴銹、油脂等物，或銲縫兩側規定寬度範圍內防銹底漆無刮除</t>
  </si>
  <si>
    <t xml:space="preserve">以下何項不是模板施工採購管制作業之品質常見缺失？</t>
  </si>
  <si>
    <t xml:space="preserve">模板緊密、不漏漿，固定間距之隔件設置良好</t>
  </si>
  <si>
    <t xml:space="preserve">模板使用過度，品質不良破損、翹曲，或模板規格不符契約要求</t>
  </si>
  <si>
    <t xml:space="preserve">模板組立歪斜</t>
  </si>
  <si>
    <t xml:space="preserve">模板內殘留雜物(如木屑、瓶罐)未清理，或未設清潔孔</t>
  </si>
  <si>
    <t xml:space="preserve">以下何項為鋼構施工採購管制作業之品質常見缺失？</t>
  </si>
  <si>
    <t xml:space="preserve">鋼構廠內:鋼板於進料後依契約規定預塗底漆</t>
  </si>
  <si>
    <t xml:space="preserve">鋼構工地現場組裝:構件銲接前之組合位置或銲接方式不符規定</t>
  </si>
  <si>
    <t xml:space="preserve">鋼構工地現場組裝:抽查合格之銲道無缺陷</t>
  </si>
  <si>
    <t xml:space="preserve">鋼構工地現場組裝:構件安裝架設完成後予以補塗裝</t>
  </si>
  <si>
    <t xml:space="preserve">道路、水利及護坡工程施工採購管制作業在品質常見缺失為下列何者？</t>
  </si>
  <si>
    <t xml:space="preserve">隧道支撐工施工不合規範，隧道混凝土襯面施工不合規範，未實施機電設備測試及試運轉，未落實國土保安，復育措施</t>
  </si>
  <si>
    <t xml:space="preserve">蛇籠護坡卵石粒徑過大、或未填滿、或蛇籠堆置方式不合規範、或卵石堆砌不合規範，或噴凝土厚度不均勻</t>
  </si>
  <si>
    <t xml:space="preserve">地錨位置間距太大、或地錨施加預力不足、或過高</t>
  </si>
  <si>
    <t xml:space="preserve">以下何項為道路、水利及護坡工程採購管制作業在品質常見缺失？</t>
  </si>
  <si>
    <t xml:space="preserve">蛇籠護坡卵石粒徑過大，或未填滿</t>
  </si>
  <si>
    <t xml:space="preserve">噴凝土厚度均勻</t>
  </si>
  <si>
    <t xml:space="preserve">混凝土管或箱涵接頭已確實封固不漏水</t>
  </si>
  <si>
    <t xml:space="preserve">機電設備接地符合規範</t>
  </si>
  <si>
    <t xml:space="preserve">設備品質管制的三個重點階段，除了工廠生產之單機測試與整體運轉外，還包括哪一階段？</t>
  </si>
  <si>
    <t xml:space="preserve">施工配合</t>
  </si>
  <si>
    <t xml:space="preserve">拆除重做</t>
  </si>
  <si>
    <t xml:space="preserve">系統設備完成時功能測試</t>
  </si>
  <si>
    <t xml:space="preserve">下列何者非屬承攬廠商在材料設備品管過程，於契約訂立到材料送審階段，應執行工作重點？</t>
  </si>
  <si>
    <t xml:space="preserve">清楚核對契約圖說規範品質要求</t>
  </si>
  <si>
    <t xml:space="preserve">尋覓合格供應商</t>
  </si>
  <si>
    <t xml:space="preserve">不合格品之處理程序與方式</t>
  </si>
  <si>
    <t xml:space="preserve">成立品管相關組織及作業</t>
  </si>
  <si>
    <t xml:space="preserve">設備加工組合層次較多時，其品質管制(檢驗)重點應偏在</t>
  </si>
  <si>
    <t xml:space="preserve">工廠生產到單位測試與設備完成時運轉、系統功能測試兩階段</t>
  </si>
  <si>
    <t xml:space="preserve">進場尺寸檢查</t>
  </si>
  <si>
    <t xml:space="preserve">施工時</t>
  </si>
  <si>
    <t xml:space="preserve">完工運轉時</t>
  </si>
  <si>
    <t xml:space="preserve">材料設備品質管制在契約訂立到材料送審階段，承攬廠商應</t>
  </si>
  <si>
    <t xml:space="preserve">配合業主檢驗</t>
  </si>
  <si>
    <t xml:space="preserve">清楚核對契約內圖說、規範之品質要求</t>
  </si>
  <si>
    <t xml:space="preserve">建立製程品管資料</t>
  </si>
  <si>
    <t xml:space="preserve">進行抽驗</t>
  </si>
  <si>
    <t xml:space="preserve">材料設備品質管制在契約訂立到材料送審階段，業主應</t>
  </si>
  <si>
    <t xml:space="preserve">審核供應商資格</t>
  </si>
  <si>
    <t xml:space="preserve">建立相關品質證明文件</t>
  </si>
  <si>
    <t xml:space="preserve">檢核材料設備規範</t>
  </si>
  <si>
    <t xml:space="preserve">材料設備送審核定階段，供應商需</t>
  </si>
  <si>
    <t xml:space="preserve">文件型錄備妥送審</t>
  </si>
  <si>
    <t xml:space="preserve">安排生產計畫</t>
  </si>
  <si>
    <t xml:space="preserve">檢核採購契約規定與產品是否符合</t>
  </si>
  <si>
    <t xml:space="preserve">提出抽檢計畫</t>
  </si>
  <si>
    <t xml:space="preserve">材料設備送審核定階段，承攬廠商需</t>
  </si>
  <si>
    <t xml:space="preserve">將供應商提送之材料、設備文件、型錄備妥送業主審查核定</t>
  </si>
  <si>
    <t xml:space="preserve">提出品質計畫</t>
  </si>
  <si>
    <t xml:space="preserve">詳訂特別要求</t>
  </si>
  <si>
    <t xml:space="preserve">材料設備在製造到進料階段主要是在供應商處進行，進料開始則為承攬廠商之作業，因此業主與承攬廠商在品質管制之時點著重在工程進料時之何者項目？</t>
  </si>
  <si>
    <t xml:space="preserve">數量</t>
  </si>
  <si>
    <t xml:space="preserve">運送</t>
  </si>
  <si>
    <t xml:space="preserve">相較於材料，設備之加工層次較多、較高，且往往需要試車運轉，故其品質管制重點下列何者為非？</t>
  </si>
  <si>
    <t xml:space="preserve">工廠生產之單元測試</t>
  </si>
  <si>
    <t xml:space="preserve">系統設備完成時之功能測試</t>
  </si>
  <si>
    <t xml:space="preserve">整體運轉</t>
  </si>
  <si>
    <t xml:space="preserve">在材料設備生產至進料階段，承攬廠商的主要作業是？</t>
  </si>
  <si>
    <t xml:space="preserve">辦理驗廠及廠驗</t>
  </si>
  <si>
    <t xml:space="preserve">執行材料/設備進料檢驗</t>
  </si>
  <si>
    <t xml:space="preserve">確認材料設備是否需依契約規定試車、運轉操作</t>
  </si>
  <si>
    <t xml:space="preserve">製作檢驗停留點報表</t>
  </si>
  <si>
    <t xml:space="preserve">在「材料設備採購契約階段」，承攬廠商應執行的主要作業中，下列何者正確？</t>
  </si>
  <si>
    <t xml:space="preserve">辦理材料設備的進場檢驗</t>
  </si>
  <si>
    <t xml:space="preserve">決定採購方式、採購量與送貨時程</t>
  </si>
  <si>
    <t xml:space="preserve">工程進料檢驗，管制時機在「材料設備生產至進料階段」，其「廠商」督導管理的責任為何？</t>
  </si>
  <si>
    <t xml:space="preserve">「廠商」隨時掌握供應商之生產狀況，視需要與業主執行廠驗作業，並執行進料時之抽樣與檢驗作業</t>
  </si>
  <si>
    <t xml:space="preserve">「廠商」隨時掌握，「合格品」之倉儲管理，監督「不合格品」之處理程序與方式，並填具材料設備品質抽驗紀錄表</t>
  </si>
  <si>
    <t xml:space="preserve">相關品質證明文件之建檔</t>
  </si>
  <si>
    <t xml:space="preserve">訂定材料設備採購契約階段，承攬廠商應</t>
  </si>
  <si>
    <t xml:space="preserve">建立供應商之供應品質、能力及售後服務資訊</t>
  </si>
  <si>
    <t xml:space="preserve">配合生產</t>
  </si>
  <si>
    <t xml:space="preserve">建立品管計畫</t>
  </si>
  <si>
    <t xml:space="preserve">在「施工完成階段」,承攬廠商應執行的作業是？</t>
  </si>
  <si>
    <t xml:space="preserve">執行材料設備進料檢驗</t>
  </si>
  <si>
    <t xml:space="preserve">依契約規定完成相關試車、運轉操作</t>
  </si>
  <si>
    <t xml:space="preserve">在「施工配合階段」，承攬廠商的主要作業是？</t>
  </si>
  <si>
    <t xml:space="preserve">辦理驗廠</t>
  </si>
  <si>
    <t xml:space="preserve">決定採購方式</t>
  </si>
  <si>
    <t xml:space="preserve">材料設備生產至進料階段，業主(含監造者)應</t>
  </si>
  <si>
    <t xml:space="preserve">規劃抽驗計畫</t>
  </si>
  <si>
    <t xml:space="preserve">建立倉儲管理</t>
  </si>
  <si>
    <t xml:space="preserve">配合承攬廠商作必要之進場檢驗</t>
  </si>
  <si>
    <t xml:space="preserve">供應商在施工階段對於材料設備應</t>
  </si>
  <si>
    <t xml:space="preserve">施工查核</t>
  </si>
  <si>
    <t xml:space="preserve">不合格追蹤檢討</t>
  </si>
  <si>
    <t xml:space="preserve">調處相關界面</t>
  </si>
  <si>
    <t xml:space="preserve">依時程供料</t>
  </si>
  <si>
    <t xml:space="preserve">業主在施工階段對於材料設備應</t>
  </si>
  <si>
    <t xml:space="preserve">施工抽查，不合格之追蹤</t>
  </si>
  <si>
    <t xml:space="preserve">自主檢查</t>
  </si>
  <si>
    <t xml:space="preserve">處理相關界面</t>
  </si>
  <si>
    <t xml:space="preserve">施工完成階段承攬廠商應</t>
  </si>
  <si>
    <t xml:space="preserve">主持驗收</t>
  </si>
  <si>
    <t xml:space="preserve">派員接受各項操作訓練</t>
  </si>
  <si>
    <t xml:space="preserve">編訂使用維護手冊</t>
  </si>
  <si>
    <t xml:space="preserve">材料於施工配合階段時機，供應商應：</t>
  </si>
  <si>
    <t xml:space="preserve">依規範及材料設備說明施工及處理相關界面</t>
  </si>
  <si>
    <t xml:space="preserve">辦理施工中材料自主檢查</t>
  </si>
  <si>
    <t xml:space="preserve">依時程供料，視需要做施工前說明或配合工法示範</t>
  </si>
  <si>
    <t xml:space="preserve">統計分析手法中，調查統計數據之集中、離散趨勢之範圍，為下列何圖？</t>
  </si>
  <si>
    <t xml:space="preserve">將資料蒐集，整理分析、解釋等，就資料本身之特性描述者稱為</t>
  </si>
  <si>
    <t xml:space="preserve">數理統計</t>
  </si>
  <si>
    <t xml:space="preserve">應用統計</t>
  </si>
  <si>
    <t xml:space="preserve">敘述統計</t>
  </si>
  <si>
    <t xml:space="preserve">推論統計</t>
  </si>
  <si>
    <t xml:space="preserve">將資料(樣本)特性，對母體的某些特性做推測與檢定者稱為</t>
  </si>
  <si>
    <t xml:space="preserve">以下何項為蒐集數據與整理數據之表格，為QC七手法之依據？</t>
  </si>
  <si>
    <t xml:space="preserve">將試驗結果之數據繪成簡單的管制圖，各結果依序相連可得一折線，所繪各點係在中心線上下作小幅度隨機變動，表示試驗數據呈現甚麼現象？</t>
  </si>
  <si>
    <t xml:space="preserve">不穩定狀態</t>
  </si>
  <si>
    <t xml:space="preserve">穩定狀態</t>
  </si>
  <si>
    <t xml:space="preserve">隨機狀態</t>
  </si>
  <si>
    <t xml:space="preserve">異常狀態</t>
  </si>
  <si>
    <t xml:space="preserve">進料檢驗、品管手法</t>
  </si>
  <si>
    <t xml:space="preserve">以下何項敘述皆是國家級的標準？</t>
  </si>
  <si>
    <t xml:space="preserve">中華民國國家標準(CNS)、日本工業規格協會標準(JIS)、英國國家標準(BS)、德國國家標準(DIN)</t>
  </si>
  <si>
    <t xml:space="preserve">美國材料試驗學會標準(ASTM)、美國州公路與運輸協會標準(AASHTO)</t>
  </si>
  <si>
    <t xml:space="preserve">美國銲接學會標準(AWS)</t>
  </si>
  <si>
    <t xml:space="preserve">美國保險業實驗所(UL)</t>
  </si>
  <si>
    <t xml:space="preserve">應用QC七手法中的「管制圖」來判讀熱拌瀝青混凝土含油量，若試驗結果的平均值與設計值相符，但試驗值的分佈範圍過大，屬於哪一種品質狀況？</t>
  </si>
  <si>
    <t xml:space="preserve">狀況一(狀況良好)</t>
  </si>
  <si>
    <t xml:space="preserve">狀況二(平均值偏移)</t>
  </si>
  <si>
    <t xml:space="preserve">狀況三(全距過大)</t>
  </si>
  <si>
    <t xml:space="preserve">狀況四(平均值與全距皆偏移)</t>
  </si>
  <si>
    <t xml:space="preserve">應用QC七手法中的「管制圖」來判讀熱拌瀝青混凝土含油量，若試驗結果的最大值與最小值均在規格容許範圍內，且平均值與設計值相符，屬於哪一種品質狀況？</t>
  </si>
  <si>
    <t xml:space="preserve">在熱拌瀝青混凝含油量管制圖中,若試驗平均值為6.2％，設計含油量為6.0％，規格上限為6.4％，最可能反映了哪種品質狀況？</t>
  </si>
  <si>
    <t xml:space="preserve">平均值偏移</t>
  </si>
  <si>
    <t xml:space="preserve">全距過大</t>
  </si>
  <si>
    <t xml:space="preserve">狀況良好</t>
  </si>
  <si>
    <t xml:space="preserve">隨機變異</t>
  </si>
  <si>
    <t xml:space="preserve">品質管制之方法中，一般而言，工程單位是以何者為主：</t>
  </si>
  <si>
    <t xml:space="preserve">統計品管</t>
  </si>
  <si>
    <t xml:space="preserve">文件品管</t>
  </si>
  <si>
    <t xml:space="preserve">檢(抽)驗管制</t>
  </si>
  <si>
    <t xml:space="preserve">管制圖若發現變異太大且常超出管制線時應</t>
  </si>
  <si>
    <t xml:space="preserve">進行預防</t>
  </si>
  <si>
    <t xml:space="preserve">設法調整</t>
  </si>
  <si>
    <t xml:space="preserve">修訂管制標準或規範值</t>
  </si>
  <si>
    <t xml:space="preserve">進行矯正措施或嚴格品管</t>
  </si>
  <si>
    <t xml:space="preserve">進料檢驗、品管手法、統計量</t>
  </si>
  <si>
    <t xml:space="preserve">試驗數據顯示皆落在上下管制區間內，但已有五個試驗數據連續向一管制線偏移且將接近臨界點，則應；</t>
  </si>
  <si>
    <t xml:space="preserve">進行矯正及嚴格控管</t>
  </si>
  <si>
    <t xml:space="preserve">採取應變措施</t>
  </si>
  <si>
    <t xml:space="preserve">下列何者屬於「材料設備管制應有的認知」？</t>
  </si>
  <si>
    <t xml:space="preserve">品質文件應只在工程結束後才進行彙整</t>
  </si>
  <si>
    <t xml:space="preserve">材料或設備的品質管制應與施工同步</t>
  </si>
  <si>
    <t xml:space="preserve">實驗室只需符合國家標準要求即可</t>
  </si>
  <si>
    <t xml:space="preserve">業主應直接涉入工作執行的層面</t>
  </si>
  <si>
    <t xml:space="preserve">工程進料檢驗與管制課題，下列何者是最重要之階段？</t>
  </si>
  <si>
    <t xml:space="preserve">供應商生產產品前之產品開發與生管計劃及製程品管</t>
  </si>
  <si>
    <t xml:space="preserve">材料進場之抽檢驗</t>
  </si>
  <si>
    <t xml:space="preserve">施工中材料之隨機取樣檢試驗</t>
  </si>
  <si>
    <t xml:space="preserve">施工完工之額外取樣檢試驗(如混凝土鑽心試驗)</t>
  </si>
  <si>
    <t xml:space="preserve">當設備器材相當繁雜時，承攬廠商應依契約規範彙編成何種文件提送，以利送審管制？</t>
  </si>
  <si>
    <t xml:space="preserve">採購契約擬訂表</t>
  </si>
  <si>
    <t xml:space="preserve">供應商資格審核表</t>
  </si>
  <si>
    <t xml:space="preserve">檢驗與試驗計畫書</t>
  </si>
  <si>
    <t xml:space="preserve">材料/設備送審管制總表</t>
  </si>
  <si>
    <t xml:space="preserve">下列何者在材料/設備送審管制總表內，非屬必記載項目？</t>
  </si>
  <si>
    <t xml:space="preserve">價格</t>
  </si>
  <si>
    <t xml:space="preserve">下列何者在材料設備檢(試)驗管制總表，非屬必記載項目？</t>
  </si>
  <si>
    <t xml:space="preserve">抽樣日期及數量</t>
  </si>
  <si>
    <t xml:space="preserve">試驗及會同人員</t>
  </si>
  <si>
    <t xml:space="preserve">檢試驗費用</t>
  </si>
  <si>
    <t xml:space="preserve">依據鋼筋的檢驗項目，在「進場檢驗階段」中，下列何者屬於「抽驗」項目？</t>
  </si>
  <si>
    <t xml:space="preserve">會磅(重量、交貨單)</t>
  </si>
  <si>
    <t xml:space="preserve">目視、外觀品質檢查</t>
  </si>
  <si>
    <t xml:space="preserve">無輻射證明</t>
  </si>
  <si>
    <t xml:space="preserve">單位質量</t>
  </si>
  <si>
    <t xml:space="preserve">依據材料設備送審管制，移動式抽水機在資料送審時，不需提送下列哪一項文件？</t>
  </si>
  <si>
    <t xml:space="preserve">抽水機性能曲線，包含總揚程對出水量的曲線</t>
  </si>
  <si>
    <t xml:space="preserve">抽水機組構造圖及各部材質說明</t>
  </si>
  <si>
    <t xml:space="preserve">抽水機組的價格</t>
  </si>
  <si>
    <t xml:space="preserve">抽水機、柴油引擎、拖車等相互接合圖</t>
  </si>
  <si>
    <t xml:space="preserve">針對鍍鋅鋼筋等特殊材料或設備，廠商在資料送審前應告知供應商須附的特殊資料，下列何者非必須？</t>
  </si>
  <si>
    <t xml:space="preserve">鍍鋅量之含量測試標準</t>
  </si>
  <si>
    <t xml:space="preserve">鋼筋母材的氯離子檢測報告</t>
  </si>
  <si>
    <t xml:space="preserve">不破壞鍍鋅層之鋼筋加工法</t>
  </si>
  <si>
    <t xml:space="preserve">裁切面及加工組立破壞時之補救方法</t>
  </si>
  <si>
    <t xml:space="preserve">國外供應商所提供產品在廠驗階段，監造單位可採下列何方式辦理？</t>
  </si>
  <si>
    <t xml:space="preserve">授權承攬廠商派員進行查證</t>
  </si>
  <si>
    <t xml:space="preserve">產品運抵國內後委託試驗單位代檢</t>
  </si>
  <si>
    <t xml:space="preserve">委請駐外單位代驗</t>
  </si>
  <si>
    <t xml:space="preserve">國外供應商產品無需廠驗</t>
  </si>
  <si>
    <t xml:space="preserve">無法廠驗國外廠商設備時，不可採取的方式為</t>
  </si>
  <si>
    <t xml:space="preserve">授權第三者</t>
  </si>
  <si>
    <t xml:space="preserve">進口後委託試驗</t>
  </si>
  <si>
    <t xml:space="preserve">借用合格之場所試驗</t>
  </si>
  <si>
    <t xml:space="preserve">裝機後再試</t>
  </si>
  <si>
    <t xml:space="preserve">國外供應商在查證驗廠、廠驗階段，業主及承攬廠商一般均難以配合，可以採用的方式不包含以下何項？</t>
  </si>
  <si>
    <t xml:space="preserve">授權第三者(Thirdparty)派員至供應商處進行詳細之查證</t>
  </si>
  <si>
    <t xml:space="preserve">運抵國內後委託試驗單位做成品或組件之代檢</t>
  </si>
  <si>
    <t xml:space="preserve">借用其他廠商查驗結果</t>
  </si>
  <si>
    <t xml:space="preserve">國外供應商在查證驗廠階段，若委由具國際公信力之公司進行三級檢驗，其中「A級」檢驗方式的審慎程度為何？</t>
  </si>
  <si>
    <t xml:space="preserve">最審慎，涵蓋材料試驗分析、工廠組合與試驗、最後檢驗、包裝及完全合格證書等所有相關查證工作</t>
  </si>
  <si>
    <t xml:space="preserve">核對工廠在製造過程中所做試驗之紀錄、完整之檢驗與試驗(最終)、核對包裝</t>
  </si>
  <si>
    <t xml:space="preserve">僅核對工廠試驗紀錄、包裝前之檢驗、包裝、合格公證書</t>
  </si>
  <si>
    <t xml:space="preserve">授權本國駐外單位進行簽認</t>
  </si>
  <si>
    <t xml:space="preserve">國外供應商查證驗廠，若採「B級」檢驗方式，其主要查核內容不包含下列何者？</t>
  </si>
  <si>
    <t xml:space="preserve">核對工廠在製造過程中所做試驗之紀錄</t>
  </si>
  <si>
    <t xml:space="preserve">從材料試驗分析、品質製造技術等所有相關查證工作</t>
  </si>
  <si>
    <t xml:space="preserve">完整之檢驗與試驗(最終)</t>
  </si>
  <si>
    <t xml:space="preserve">核對包裝(裝箱)、合格公證書</t>
  </si>
  <si>
    <t xml:space="preserve">依據材料設備送審管制，在國外供應商的查證驗廠階段，若採「C級」檢驗方式，其主要查核內容不包含下列何者？</t>
  </si>
  <si>
    <t xml:space="preserve">完整之檢驗與試驗</t>
  </si>
  <si>
    <t xml:space="preserve">核對工廠試驗紀錄</t>
  </si>
  <si>
    <t xml:space="preserve">核對包裝</t>
  </si>
  <si>
    <t xml:space="preserve">合格公證書</t>
  </si>
  <si>
    <t xml:space="preserve">國外進口之材料設備在「進場檢驗階段」應附之資料中，下列何者是必備項目？</t>
  </si>
  <si>
    <t xml:space="preserve">工廠生產之單機測試報告</t>
  </si>
  <si>
    <t xml:space="preserve">國外供應商的驗廠查證紀錄</t>
  </si>
  <si>
    <t xml:space="preserve">設備安裝人員的資格證明</t>
  </si>
  <si>
    <t xml:space="preserve">海關進口證明文件</t>
  </si>
  <si>
    <t xml:space="preserve">在材料設備送審核定應注意事項中，關於「整體美學之考量」，下列敘述何者正確？</t>
  </si>
  <si>
    <t xml:space="preserve">不銹鋼表面應考量配合構造物採用亮面或霧面</t>
  </si>
  <si>
    <t xml:space="preserve">磁磚釉面應一律採用還原釉以提高耐久性</t>
  </si>
  <si>
    <t xml:space="preserve">色調應盡量採用對比色以突顯構造物</t>
  </si>
  <si>
    <t xml:space="preserve">僅適用於建築工程，土木工程無需考慮</t>
  </si>
  <si>
    <t xml:space="preserve">材料設備送審時有關顏色選擇時宜送：</t>
  </si>
  <si>
    <t xml:space="preserve">色彩樣本</t>
  </si>
  <si>
    <t xml:space="preserve">依據材料設備送審管制，進口產品之進場檢驗階段應附資料中，下列何者不屬於必備項目？</t>
  </si>
  <si>
    <t xml:space="preserve">原廠出廠證明及測試文件</t>
  </si>
  <si>
    <t xml:space="preserve">業主管理計畫</t>
  </si>
  <si>
    <t xml:space="preserve">各項測試紀錄</t>
  </si>
  <si>
    <t xml:space="preserve">材料設備之送審核定應注意事項，下列何者正確？</t>
  </si>
  <si>
    <t xml:space="preserve">整體美學之考量</t>
  </si>
  <si>
    <t xml:space="preserve">整體功能之配合</t>
  </si>
  <si>
    <t xml:space="preserve">價格與品質評價</t>
  </si>
  <si>
    <t xml:space="preserve">依據「公共工程施工品質管理作業要點」，材料檢驗或抽驗報告上應印有依標準法授權之實驗室認證機構的認可標誌，該標誌名稱為？</t>
  </si>
  <si>
    <t xml:space="preserve">TAF</t>
  </si>
  <si>
    <t xml:space="preserve">ISO</t>
  </si>
  <si>
    <t xml:space="preserve">依據公共工程施工品質管理作業要點第12點規定，鋼筋、混凝土、瀝青混凝土及其他適當檢驗或抽驗項目，應由符合何項國家標準規定之實驗室辦理，並出具檢驗或抽驗報告？</t>
  </si>
  <si>
    <t xml:space="preserve">CNS 15030</t>
  </si>
  <si>
    <t xml:space="preserve">CNS 17025</t>
  </si>
  <si>
    <t xml:space="preserve">CNS 14774</t>
  </si>
  <si>
    <t xml:space="preserve">CNS 15980</t>
  </si>
  <si>
    <t xml:space="preserve">依據「公共工程施工品質管理作業要點」，出具檢驗或抽驗報告的實驗室，其報告應印有依標準法授權之實驗室認證機構的認可標誌，該認證機構名稱是？</t>
  </si>
  <si>
    <t xml:space="preserve">財團法人全國認證基金會(TAF)</t>
  </si>
  <si>
    <t xml:space="preserve">經濟部標準檢驗局(CNS)</t>
  </si>
  <si>
    <t xml:space="preserve">內政部國土管理署</t>
  </si>
  <si>
    <t xml:space="preserve">關於合格材料設備的倉儲(堆置)管理，下列何種材料屬於「具性能退化性材料」？</t>
  </si>
  <si>
    <t xml:space="preserve">砂、石、石材</t>
  </si>
  <si>
    <t xml:space="preserve">炸葯、雷管、油漆溶劑</t>
  </si>
  <si>
    <t xml:space="preserve">水泥、塑膠材料、油漆</t>
  </si>
  <si>
    <t xml:space="preserve">鋼筋、鋼骨</t>
  </si>
  <si>
    <t xml:space="preserve">在施工完成階段才發現有檢驗不合格之材料設備，可視實際狀況採下列何種方式處理？</t>
  </si>
  <si>
    <t xml:space="preserve">補強</t>
  </si>
  <si>
    <t xml:space="preserve">減價收受</t>
  </si>
  <si>
    <t xml:space="preserve">檢驗不合格之材料設備應依工程契約相關規定處理，下列何項目敘述正確？</t>
  </si>
  <si>
    <t xml:space="preserve">進料檢驗階段：(1)再試：第一次試驗不合格時，有些規範允許再一次抽驗，若再不合格則確認為不合格。如CNS 560之規定：鋼筋單支取樣之質量檢驗不合之規定時，可再重取二支試樣重驗。(2)退料、拒收：如預拌混凝土加水拌和後超過規範時間</t>
  </si>
  <si>
    <t xml:space="preserve">施工配合階段：如場鑄基樁品質偏低，採補樁加強</t>
  </si>
  <si>
    <t xml:space="preserve">施工完成階段：(1)補強(2)拆除重做(3)減價收受</t>
  </si>
  <si>
    <t xml:space="preserve">鋼筋第一次檢驗不合格時，依CNS 560之規定可：</t>
  </si>
  <si>
    <t xml:space="preserve">退貨</t>
  </si>
  <si>
    <t xml:space="preserve">可加倍取樣再送試一次</t>
  </si>
  <si>
    <t xml:space="preserve">補料</t>
  </si>
  <si>
    <t xml:space="preserve">施工完成後發現結構安全有疑慮者，應採取下列何者措施為宜？</t>
  </si>
  <si>
    <t xml:space="preserve">減價驗收</t>
  </si>
  <si>
    <t xml:space="preserve">換料</t>
  </si>
  <si>
    <t xml:space="preserve">補強或拆除重作</t>
  </si>
  <si>
    <t xml:space="preserve">改變用途</t>
  </si>
  <si>
    <t xml:space="preserve">關於合格材料設備的倉儲(堆置)管理，下列何種材料屬於「具危險性材料」？</t>
  </si>
  <si>
    <t xml:space="preserve">水泥、塑膠材料</t>
  </si>
  <si>
    <t xml:space="preserve">檢驗不合格材料設備的處理方式中，場鑄基樁品質偏低可依設計者指示辦理「補強」，這是屬於哪一階段的處理方式？</t>
  </si>
  <si>
    <t xml:space="preserve">進料檢驗階段</t>
  </si>
  <si>
    <t xml:space="preserve">施工完成階段</t>
  </si>
  <si>
    <t xml:space="preserve">資料送審階段</t>
  </si>
  <si>
    <t xml:space="preserve">施工配合階段</t>
  </si>
  <si>
    <t xml:space="preserve">在材料設備進料檢驗階段，發現有檢驗不合格之材料設備，不應採下列何方式處理？</t>
  </si>
  <si>
    <t xml:space="preserve">再試</t>
  </si>
  <si>
    <t xml:space="preserve">退料</t>
  </si>
  <si>
    <t xml:space="preserve">拒收</t>
  </si>
  <si>
    <t xml:space="preserve">材料設備在採購管制作業常見缺失案例，以下何項目敘述最適宜？</t>
  </si>
  <si>
    <t xml:space="preserve">電氣、弱電、號誌施工，管路保護層不足，管路、電線施工中未防護，放樣不實，或埋設式線槽埋設深度不足，或電導線管、電纜架、導線槽安裝不合規範</t>
  </si>
  <si>
    <t xml:space="preserve">電氣、弱電、號誌施工，管路通過建築物之伸縮縫或分隔處，未使用金屬防水軟管連接</t>
  </si>
  <si>
    <t xml:space="preserve">電氣、弱電、號誌施工，發電機未依規定固定，或未依規定設置避震裝置</t>
  </si>
  <si>
    <t xml:space="preserve">施工完成因實際需要先開放使用，在驗收時如發現不合格，但不影響安全及使用功能，又無法改善時，可採</t>
  </si>
  <si>
    <t xml:space="preserve">全部退料</t>
  </si>
  <si>
    <t xml:space="preserve">拆除重作</t>
  </si>
  <si>
    <t xml:space="preserve">進料檢驗、驗收</t>
  </si>
  <si>
    <t xml:space="preserve">下列何者為實驗室認證的國際標準？</t>
  </si>
  <si>
    <t xml:space="preserve">ISO 9001</t>
  </si>
  <si>
    <t xml:space="preserve">ISO14001</t>
  </si>
  <si>
    <t xml:space="preserve">ISO19011</t>
  </si>
  <si>
    <t xml:space="preserve">ISO/IEC17025</t>
  </si>
  <si>
    <t xml:space="preserve">我國推行實驗室認證的國家標準CNS 17025係依據下列哪一份國際標準進行編撰</t>
  </si>
  <si>
    <t xml:space="preserve">IS)19011</t>
  </si>
  <si>
    <t xml:space="preserve">ISO/IEC 17025</t>
  </si>
  <si>
    <t xml:space="preserve">下列何者屬於CNS 17025之一般要求事項？</t>
  </si>
  <si>
    <t xml:space="preserve">公正性</t>
  </si>
  <si>
    <t xml:space="preserve">文件管制</t>
  </si>
  <si>
    <t xml:space="preserve">紀錄管制</t>
  </si>
  <si>
    <t xml:space="preserve">內部稽核</t>
  </si>
  <si>
    <t xml:space="preserve">根據CNS 17025的「公正性」要求，實驗室應持續鑑別對其公正性的風險。此等風險應包括來自下列何者？</t>
  </si>
  <si>
    <t xml:space="preserve">實驗室的市場佔有率</t>
  </si>
  <si>
    <t xml:space="preserve">實驗室活動、實驗室的關係、或其人員的關係</t>
  </si>
  <si>
    <t xml:space="preserve">供應商的生產成本</t>
  </si>
  <si>
    <t xml:space="preserve">顧客的投訴歷史</t>
  </si>
  <si>
    <t xml:space="preserve">下列何者並非CNS 17025規定之資源要求事項？</t>
  </si>
  <si>
    <t xml:space="preserve">設施與環境條件</t>
  </si>
  <si>
    <t xml:space="preserve">設備</t>
  </si>
  <si>
    <t xml:space="preserve">資金</t>
  </si>
  <si>
    <t xml:space="preserve">依據CNS 17025對「人員」的要求，對實驗室活動有影響的所有人員，無論內部或外部人員，皆應具備哪些特性？</t>
  </si>
  <si>
    <t xml:space="preserve">具備碩士以上學歷且經驗豐富</t>
  </si>
  <si>
    <t xml:space="preserve">行事公正，具備適任性且依照實驗室管理系統進行工作</t>
  </si>
  <si>
    <t xml:space="preserve">僅需具備公正性，技術能力非必要</t>
  </si>
  <si>
    <t xml:space="preserve">僅需為內部人員</t>
  </si>
  <si>
    <t xml:space="preserve">根據CNS 17025的「設施與環境條件」要求，當環境條件對結果之效力有影響時，實驗室應採取何種措施？</t>
  </si>
  <si>
    <t xml:space="preserve">立即停止試驗</t>
  </si>
  <si>
    <t xml:space="preserve">應監督、管制及記錄環境條件</t>
  </si>
  <si>
    <t xml:space="preserve">僅需口頭通知顧客</t>
  </si>
  <si>
    <t xml:space="preserve">重新校正所有設備</t>
  </si>
  <si>
    <t xml:space="preserve">實驗室應確保技術紀錄的修改，能回溯至前一版本或原始觀測，且應保存哪些紀錄？</t>
  </si>
  <si>
    <t xml:space="preserve">更改的日期、更改內容的標示及負責更改的人員</t>
  </si>
  <si>
    <t xml:space="preserve">僅保存原始觀測數據</t>
  </si>
  <si>
    <t xml:space="preserve">僅保存最終報告的副本</t>
  </si>
  <si>
    <t xml:space="preserve">僅保存主管的批准文件</t>
  </si>
  <si>
    <t xml:space="preserve">實驗室為監督測試或校正結果的效力，應透過與其他實驗室的結果比對來監督其表現。此項監督作業應包括下列何者？</t>
  </si>
  <si>
    <t xml:space="preserve">參加專業能力測試</t>
  </si>
  <si>
    <t xml:space="preserve">參加專業能力測試以外的實驗室間比對</t>
  </si>
  <si>
    <r>
      <rPr>
        <sz val="10"/>
        <rFont val="Arial"/>
        <family val="0"/>
        <charset val="1"/>
      </rPr>
      <t xml:space="preserve">A</t>
    </r>
    <r>
      <rPr>
        <sz val="10"/>
        <rFont val="Noto Sans CJK SC"/>
        <family val="2"/>
      </rPr>
      <t xml:space="preserve">或</t>
    </r>
    <r>
      <rPr>
        <sz val="10"/>
        <rFont val="Arial"/>
        <family val="0"/>
        <charset val="1"/>
      </rPr>
      <t xml:space="preserve">B</t>
    </r>
    <r>
      <rPr>
        <sz val="10"/>
        <rFont val="Noto Sans CJK SC"/>
        <family val="2"/>
      </rPr>
      <t xml:space="preserve">其一或兩者</t>
    </r>
  </si>
  <si>
    <t xml:space="preserve">僅需內部比對</t>
  </si>
  <si>
    <t xml:space="preserve">根據CNS 17025對「抱怨」的處理過程，傳達給抱怨者的處理結果應由下列何種人員作成、或審查與同意？</t>
  </si>
  <si>
    <t xml:space="preserve">實驗室管理階層</t>
  </si>
  <si>
    <t xml:space="preserve">未涉及實驗室原問題活動的人員</t>
  </si>
  <si>
    <t xml:space="preserve">負責該項活動的人員</t>
  </si>
  <si>
    <t xml:space="preserve">顧客指定的律師</t>
  </si>
  <si>
    <t xml:space="preserve">下列何者並非CNS 17025規定之管理系統要求事項</t>
  </si>
  <si>
    <t xml:space="preserve">管理階層審查</t>
  </si>
  <si>
    <t xml:space="preserve">當品質系統或技術作業，被認定不符規定時，應實施下列措施，從調查現況開始並分析問題之根本原因？</t>
  </si>
  <si>
    <t xml:space="preserve">內稽措施</t>
  </si>
  <si>
    <t xml:space="preserve">外稽措施</t>
  </si>
  <si>
    <t xml:space="preserve">下列敘述，何者不正確？</t>
  </si>
  <si>
    <r>
      <rPr>
        <sz val="10"/>
        <rFont val="Arial"/>
        <family val="0"/>
        <charset val="1"/>
      </rPr>
      <t xml:space="preserve">TAF</t>
    </r>
    <r>
      <rPr>
        <sz val="10"/>
        <rFont val="Noto Sans CJK SC"/>
        <family val="2"/>
      </rPr>
      <t xml:space="preserve">認證是授予生產廠商</t>
    </r>
  </si>
  <si>
    <r>
      <rPr>
        <sz val="10"/>
        <rFont val="Arial"/>
        <family val="0"/>
        <charset val="1"/>
      </rPr>
      <t xml:space="preserve">TAF</t>
    </r>
    <r>
      <rPr>
        <sz val="10"/>
        <rFont val="Noto Sans CJK SC"/>
        <family val="2"/>
      </rPr>
      <t xml:space="preserve">認證是授予測試或校正實驗室</t>
    </r>
  </si>
  <si>
    <t xml:space="preserve">並非取得單一項試驗認證之實驗室對其他材料設備皆可適用</t>
  </si>
  <si>
    <r>
      <rPr>
        <sz val="10"/>
        <rFont val="Arial"/>
        <family val="0"/>
        <charset val="1"/>
      </rPr>
      <t xml:space="preserve">TAF</t>
    </r>
    <r>
      <rPr>
        <sz val="10"/>
        <rFont val="Noto Sans CJK SC"/>
        <family val="2"/>
      </rPr>
      <t xml:space="preserve">是指財團法人全國認證基金會</t>
    </r>
  </si>
  <si>
    <t xml:space="preserve">目前全國認證基金會(TAF)建立的實驗室認證領域不含下列何者？</t>
  </si>
  <si>
    <t xml:space="preserve">校正</t>
  </si>
  <si>
    <t xml:space="preserve">醫學</t>
  </si>
  <si>
    <t xml:space="preserve">土木</t>
  </si>
  <si>
    <t xml:space="preserve">檢驗機構</t>
  </si>
  <si>
    <r>
      <rPr>
        <sz val="10"/>
        <rFont val="Arial"/>
        <family val="0"/>
        <charset val="1"/>
      </rPr>
      <t xml:space="preserve">TAF</t>
    </r>
    <r>
      <rPr>
        <sz val="10"/>
        <rFont val="Noto Sans CJK SC"/>
        <family val="2"/>
      </rPr>
      <t xml:space="preserve">之認證係：</t>
    </r>
  </si>
  <si>
    <t xml:space="preserve">授予生產廠商</t>
  </si>
  <si>
    <t xml:space="preserve">授予實驗室所申請已驗證合格之試驗項目</t>
  </si>
  <si>
    <t xml:space="preserve">授予實驗室所申請之全部試驗項目</t>
  </si>
  <si>
    <t xml:space="preserve">下列何者為目前國內負責辦理土木工程測試領域實驗室認證的機構？</t>
  </si>
  <si>
    <t xml:space="preserve">土木水利學會</t>
  </si>
  <si>
    <t xml:space="preserve">全國認證基金會</t>
  </si>
  <si>
    <t xml:space="preserve">財團法人全國認證基金會(TAF)成立於何時？</t>
  </si>
  <si>
    <r>
      <rPr>
        <sz val="10"/>
        <rFont val="Arial"/>
        <family val="0"/>
        <charset val="1"/>
      </rPr>
      <t xml:space="preserve">2000</t>
    </r>
    <r>
      <rPr>
        <sz val="10"/>
        <rFont val="Noto Sans CJK SC"/>
        <family val="2"/>
      </rPr>
      <t xml:space="preserve">年</t>
    </r>
  </si>
  <si>
    <r>
      <rPr>
        <sz val="10"/>
        <rFont val="Arial"/>
        <family val="0"/>
        <charset val="1"/>
      </rPr>
      <t xml:space="preserve">2010</t>
    </r>
    <r>
      <rPr>
        <sz val="10"/>
        <rFont val="Noto Sans CJK SC"/>
        <family val="2"/>
      </rPr>
      <t xml:space="preserve">年</t>
    </r>
  </si>
  <si>
    <r>
      <rPr>
        <sz val="10"/>
        <rFont val="Arial"/>
        <family val="0"/>
        <charset val="1"/>
      </rPr>
      <t xml:space="preserve">2003</t>
    </r>
    <r>
      <rPr>
        <sz val="10"/>
        <rFont val="Noto Sans CJK SC"/>
        <family val="2"/>
      </rPr>
      <t xml:space="preserve">年</t>
    </r>
  </si>
  <si>
    <r>
      <rPr>
        <sz val="10"/>
        <rFont val="Arial"/>
        <family val="0"/>
        <charset val="1"/>
      </rPr>
      <t xml:space="preserve">1999</t>
    </r>
    <r>
      <rPr>
        <sz val="10"/>
        <rFont val="Noto Sans CJK SC"/>
        <family val="2"/>
      </rPr>
      <t xml:space="preserve">年</t>
    </r>
  </si>
  <si>
    <t xml:space="preserve">下列何者屬於TAF建立的四大認證領域？</t>
  </si>
  <si>
    <t xml:space="preserve">校正領域</t>
  </si>
  <si>
    <t xml:space="preserve">醫學領域</t>
  </si>
  <si>
    <t xml:space="preserve">土木領域</t>
  </si>
  <si>
    <t xml:space="preserve">下列何者為推行國際實驗室認證相互承認的組織？</t>
  </si>
  <si>
    <t xml:space="preserve">CNLA</t>
  </si>
  <si>
    <t xml:space="preserve">ILAC</t>
  </si>
  <si>
    <t xml:space="preserve">標準之要義：所謂「規範性文件」包括那些項目？</t>
  </si>
  <si>
    <t xml:space="preserve">技術規格：產品(規格、性能)、生產過程、服務水準等所需符合之技術要求</t>
  </si>
  <si>
    <t xml:space="preserve">作業規範：建議產品生產過程服務等之作法</t>
  </si>
  <si>
    <t xml:space="preserve">法令規章：相關之法律(含條例等)、行政命令、規則</t>
  </si>
  <si>
    <t xml:space="preserve">下列何者不屬於國際性學(協)會與團體之標準？</t>
  </si>
  <si>
    <t xml:space="preserve">ACI</t>
  </si>
  <si>
    <t xml:space="preserve">UL</t>
  </si>
  <si>
    <t xml:space="preserve">在標準層級中，可直接在法律或規章中引用而具強制性的是？</t>
  </si>
  <si>
    <t xml:space="preserve">技術法規</t>
  </si>
  <si>
    <t xml:space="preserve">協會標準</t>
  </si>
  <si>
    <t xml:space="preserve">企業標準</t>
  </si>
  <si>
    <r>
      <rPr>
        <sz val="10"/>
        <rFont val="Arial"/>
        <family val="0"/>
        <charset val="1"/>
      </rPr>
      <t xml:space="preserve">ACI</t>
    </r>
    <r>
      <rPr>
        <sz val="10"/>
        <rFont val="Noto Sans CJK SC"/>
        <family val="2"/>
      </rPr>
      <t xml:space="preserve">屬於下列何種標準？</t>
    </r>
  </si>
  <si>
    <t xml:space="preserve">在標準層級中，由一個國家內主要的標準化機構所核准，在該國境內公佈並可重複使用者，稱為？</t>
  </si>
  <si>
    <t xml:space="preserve">國家標準(CNS)的使用，屬</t>
  </si>
  <si>
    <t xml:space="preserve">強制性</t>
  </si>
  <si>
    <t xml:space="preserve">自願性</t>
  </si>
  <si>
    <t xml:space="preserve">部分強制性，部分自願性</t>
  </si>
  <si>
    <t xml:space="preserve">法令引用也不具強制性</t>
  </si>
  <si>
    <t xml:space="preserve">在標準的分類中，下列何者非屬其中之一種？</t>
  </si>
  <si>
    <t xml:space="preserve">產品標準</t>
  </si>
  <si>
    <t xml:space="preserve">過程標準</t>
  </si>
  <si>
    <t xml:space="preserve">收費標準</t>
  </si>
  <si>
    <t xml:space="preserve">服務標準</t>
  </si>
  <si>
    <t xml:space="preserve">下列何者屬於國際標準？</t>
  </si>
  <si>
    <t xml:space="preserve">EN</t>
  </si>
  <si>
    <t xml:space="preserve">BS</t>
  </si>
  <si>
    <t xml:space="preserve">IEC</t>
  </si>
  <si>
    <t xml:space="preserve">下列何者屬於區域標準？</t>
  </si>
  <si>
    <t xml:space="preserve">在標準的分類中，營建工程施工實務上使用最頻繁的兩類標準是？</t>
  </si>
  <si>
    <t xml:space="preserve">基礎標準與管理標準</t>
  </si>
  <si>
    <t xml:space="preserve">產品標準與測試標準</t>
  </si>
  <si>
    <t xml:space="preserve">術語標準與過程標準</t>
  </si>
  <si>
    <t xml:space="preserve">名詞標準與圖號標準</t>
  </si>
  <si>
    <t xml:space="preserve">規定產品或系統在其交接處有相容性之要求稱為</t>
  </si>
  <si>
    <t xml:space="preserve">基本標準</t>
  </si>
  <si>
    <t xml:space="preserve">界面標準</t>
  </si>
  <si>
    <t xml:space="preserve">現行中華民國國家標準(CNS)的制定，除了車輛、醫療器材、防火建材、資訊通信等，還以轉訂下列何種標準為工作重點？</t>
  </si>
  <si>
    <t xml:space="preserve">ASCE</t>
  </si>
  <si>
    <t xml:space="preserve">AASHTO</t>
  </si>
  <si>
    <t xml:space="preserve">CEN</t>
  </si>
  <si>
    <r>
      <rPr>
        <sz val="10"/>
        <rFont val="Arial"/>
        <family val="0"/>
        <charset val="1"/>
      </rPr>
      <t xml:space="preserve">ISO 9000</t>
    </r>
    <r>
      <rPr>
        <sz val="10"/>
        <rFont val="Noto Sans CJK SC"/>
        <family val="2"/>
      </rPr>
      <t xml:space="preserve">與</t>
    </r>
    <r>
      <rPr>
        <sz val="10"/>
        <rFont val="Arial"/>
        <family val="0"/>
        <charset val="1"/>
      </rPr>
      <t xml:space="preserve">ISO 14000</t>
    </r>
  </si>
  <si>
    <t xml:space="preserve">截至114年01月，中華民國國家標準(CNS)制定的總數已達多少種？</t>
  </si>
  <si>
    <r>
      <rPr>
        <sz val="10"/>
        <rFont val="Arial"/>
        <family val="0"/>
        <charset val="1"/>
      </rPr>
      <t xml:space="preserve">10,985</t>
    </r>
    <r>
      <rPr>
        <sz val="10"/>
        <rFont val="Noto Sans CJK SC"/>
        <family val="2"/>
      </rPr>
      <t xml:space="preserve">種</t>
    </r>
  </si>
  <si>
    <r>
      <rPr>
        <sz val="10"/>
        <rFont val="Arial"/>
        <family val="0"/>
        <charset val="1"/>
      </rPr>
      <t xml:space="preserve">8,662</t>
    </r>
    <r>
      <rPr>
        <sz val="10"/>
        <rFont val="Noto Sans CJK SC"/>
        <family val="2"/>
      </rPr>
      <t xml:space="preserve">種</t>
    </r>
  </si>
  <si>
    <r>
      <rPr>
        <sz val="10"/>
        <rFont val="Arial"/>
        <family val="0"/>
        <charset val="1"/>
      </rPr>
      <t xml:space="preserve">7,931</t>
    </r>
    <r>
      <rPr>
        <sz val="10"/>
        <rFont val="Noto Sans CJK SC"/>
        <family val="2"/>
      </rPr>
      <t xml:space="preserve">種</t>
    </r>
  </si>
  <si>
    <r>
      <rPr>
        <sz val="10"/>
        <rFont val="Arial"/>
        <family val="0"/>
        <charset val="1"/>
      </rPr>
      <t xml:space="preserve">5,603</t>
    </r>
    <r>
      <rPr>
        <sz val="10"/>
        <rFont val="Noto Sans CJK SC"/>
        <family val="2"/>
      </rPr>
      <t xml:space="preserve">種</t>
    </r>
  </si>
  <si>
    <t xml:space="preserve">茲以CNS 13407 A3342[細粒料中水溶性氯離子含量試驗法]為例，其「細粒料中水溶性氯離子含量試驗法」為</t>
  </si>
  <si>
    <t xml:space="preserve">總號</t>
  </si>
  <si>
    <t xml:space="preserve">類號</t>
  </si>
  <si>
    <t xml:space="preserve">流水號</t>
  </si>
  <si>
    <t xml:space="preserve">標準名稱</t>
  </si>
  <si>
    <t xml:space="preserve">茲以CNS 13407 A3342[細粒料中水溶性氯離子含量試驗法]為例，其中A3342第一碼英文字母「A」及第二碼「3」指的是：</t>
  </si>
  <si>
    <t xml:space="preserve">土木工程及建築類之建材</t>
  </si>
  <si>
    <t xml:space="preserve">土木工程及建築類之檢驗</t>
  </si>
  <si>
    <t xml:space="preserve">土木工程及建築類之施工機械及儀器</t>
  </si>
  <si>
    <t xml:space="preserve">礦業類之檢驗</t>
  </si>
  <si>
    <r>
      <rPr>
        <sz val="10"/>
        <rFont val="Arial"/>
        <family val="0"/>
        <charset val="1"/>
      </rPr>
      <t xml:space="preserve">CNS </t>
    </r>
    <r>
      <rPr>
        <sz val="10"/>
        <rFont val="Noto Sans CJK SC"/>
        <family val="2"/>
      </rPr>
      <t xml:space="preserve">之土木工程及建築類別細分表中</t>
    </r>
    <r>
      <rPr>
        <sz val="10"/>
        <rFont val="Arial"/>
        <family val="0"/>
        <charset val="1"/>
      </rPr>
      <t xml:space="preserve">A1</t>
    </r>
    <r>
      <rPr>
        <sz val="10"/>
        <rFont val="Noto Sans CJK SC"/>
        <family val="2"/>
      </rPr>
      <t xml:space="preserve">為</t>
    </r>
  </si>
  <si>
    <t xml:space="preserve">一般</t>
  </si>
  <si>
    <t xml:space="preserve">建材</t>
  </si>
  <si>
    <t xml:space="preserve">施工機械及儀器</t>
  </si>
  <si>
    <r>
      <rPr>
        <sz val="10"/>
        <rFont val="Arial"/>
        <family val="0"/>
        <charset val="1"/>
      </rPr>
      <t xml:space="preserve">CNS </t>
    </r>
    <r>
      <rPr>
        <sz val="10"/>
        <rFont val="Noto Sans CJK SC"/>
        <family val="2"/>
      </rPr>
      <t xml:space="preserve">之土木工程及建築類別細分表中</t>
    </r>
    <r>
      <rPr>
        <sz val="10"/>
        <rFont val="Arial"/>
        <family val="0"/>
        <charset val="1"/>
      </rPr>
      <t xml:space="preserve">A2</t>
    </r>
    <r>
      <rPr>
        <sz val="10"/>
        <rFont val="Noto Sans CJK SC"/>
        <family val="2"/>
      </rPr>
      <t xml:space="preserve">為</t>
    </r>
  </si>
  <si>
    <r>
      <rPr>
        <sz val="10"/>
        <rFont val="Arial"/>
        <family val="0"/>
        <charset val="1"/>
      </rPr>
      <t xml:space="preserve">CNS </t>
    </r>
    <r>
      <rPr>
        <sz val="10"/>
        <rFont val="Noto Sans CJK SC"/>
        <family val="2"/>
      </rPr>
      <t xml:space="preserve">之土木工程及建築類別細分表中</t>
    </r>
    <r>
      <rPr>
        <sz val="10"/>
        <rFont val="Arial"/>
        <family val="0"/>
        <charset val="1"/>
      </rPr>
      <t xml:space="preserve">A3</t>
    </r>
    <r>
      <rPr>
        <sz val="10"/>
        <rFont val="Noto Sans CJK SC"/>
        <family val="2"/>
      </rPr>
      <t xml:space="preserve">為</t>
    </r>
  </si>
  <si>
    <r>
      <rPr>
        <sz val="10"/>
        <rFont val="Arial"/>
        <family val="0"/>
        <charset val="1"/>
      </rPr>
      <t xml:space="preserve">CNS </t>
    </r>
    <r>
      <rPr>
        <sz val="10"/>
        <rFont val="Noto Sans CJK SC"/>
        <family val="2"/>
      </rPr>
      <t xml:space="preserve">之土木工程及建築類別細分表中</t>
    </r>
    <r>
      <rPr>
        <sz val="10"/>
        <rFont val="Arial"/>
        <family val="0"/>
        <charset val="1"/>
      </rPr>
      <t xml:space="preserve">A4</t>
    </r>
    <r>
      <rPr>
        <sz val="10"/>
        <rFont val="Noto Sans CJK SC"/>
        <family val="2"/>
      </rPr>
      <t xml:space="preserve">為</t>
    </r>
  </si>
  <si>
    <t xml:space="preserve">有關引用CNS 時應有的認知，下列何者正確？</t>
  </si>
  <si>
    <r>
      <rPr>
        <sz val="10"/>
        <rFont val="Arial"/>
        <family val="0"/>
        <charset val="1"/>
      </rPr>
      <t xml:space="preserve">CNS </t>
    </r>
    <r>
      <rPr>
        <sz val="10"/>
        <rFont val="Noto Sans CJK SC"/>
        <family val="2"/>
      </rPr>
      <t xml:space="preserve">乃國家標準，具有強制力</t>
    </r>
  </si>
  <si>
    <t xml:space="preserve">有關材料規格，若施工規範內容與相關CNS 標準有所抵觸時，應以CNS 規定為準</t>
  </si>
  <si>
    <r>
      <rPr>
        <sz val="10"/>
        <rFont val="Arial"/>
        <family val="0"/>
        <charset val="1"/>
      </rPr>
      <t xml:space="preserve">CNS </t>
    </r>
    <r>
      <rPr>
        <sz val="10"/>
        <rFont val="Noto Sans CJK SC"/>
        <family val="2"/>
      </rPr>
      <t xml:space="preserve">為國內該項產業之最高品質標準</t>
    </r>
  </si>
  <si>
    <r>
      <rPr>
        <sz val="10"/>
        <rFont val="Arial"/>
        <family val="0"/>
        <charset val="1"/>
      </rPr>
      <t xml:space="preserve">CNS </t>
    </r>
    <r>
      <rPr>
        <sz val="10"/>
        <rFont val="Noto Sans CJK SC"/>
        <family val="2"/>
      </rPr>
      <t xml:space="preserve">所規定工程材料之品質為生產者可達成、一般消費者能忍受之最低水準</t>
    </r>
  </si>
  <si>
    <t xml:space="preserve">有關CNS 的敘述，以下何者正確？</t>
  </si>
  <si>
    <t xml:space="preserve">在同一編號CNS 中常包含數種規格或等級</t>
  </si>
  <si>
    <r>
      <rPr>
        <sz val="10"/>
        <rFont val="Arial"/>
        <family val="0"/>
        <charset val="1"/>
      </rPr>
      <t xml:space="preserve">CNS </t>
    </r>
    <r>
      <rPr>
        <sz val="10"/>
        <rFont val="Noto Sans CJK SC"/>
        <family val="2"/>
      </rPr>
      <t xml:space="preserve">屬強制採用</t>
    </r>
  </si>
  <si>
    <r>
      <rPr>
        <sz val="10"/>
        <rFont val="Arial"/>
        <family val="0"/>
        <charset val="1"/>
      </rPr>
      <t xml:space="preserve">CNS </t>
    </r>
    <r>
      <rPr>
        <sz val="10"/>
        <rFont val="Noto Sans CJK SC"/>
        <family val="2"/>
      </rPr>
      <t xml:space="preserve">所規定工程材料之品質為該項產業之最高生產標準</t>
    </r>
  </si>
  <si>
    <r>
      <rPr>
        <sz val="10"/>
        <rFont val="Arial"/>
        <family val="0"/>
        <charset val="1"/>
      </rPr>
      <t xml:space="preserve">CNS </t>
    </r>
    <r>
      <rPr>
        <sz val="10"/>
        <rFont val="Noto Sans CJK SC"/>
        <family val="2"/>
      </rPr>
      <t xml:space="preserve">鮮少修正，使用時不須採用最新版本</t>
    </r>
  </si>
  <si>
    <t xml:space="preserve">在CNS 3689[國家標準草案構成及格式指引]，其中之「限定用語」，以下何者是不含本數？</t>
  </si>
  <si>
    <t xml:space="preserve">以上</t>
  </si>
  <si>
    <t xml:space="preserve">不得低於</t>
  </si>
  <si>
    <t xml:space="preserve">小於</t>
  </si>
  <si>
    <t xml:space="preserve">以下</t>
  </si>
  <si>
    <r>
      <rPr>
        <sz val="10"/>
        <rFont val="Arial"/>
        <family val="0"/>
        <charset val="1"/>
      </rPr>
      <t xml:space="preserve">CNS</t>
    </r>
    <r>
      <rPr>
        <sz val="10"/>
        <rFont val="Noto Sans CJK SC"/>
        <family val="2"/>
      </rPr>
      <t xml:space="preserve">之規格與用語有一定標準，詳細請見</t>
    </r>
    <r>
      <rPr>
        <sz val="10"/>
        <rFont val="Arial"/>
        <family val="0"/>
        <charset val="1"/>
      </rPr>
      <t xml:space="preserve">CNS 3689[</t>
    </r>
    <r>
      <rPr>
        <sz val="10"/>
        <rFont val="Noto Sans CJK SC"/>
        <family val="2"/>
      </rPr>
      <t xml:space="preserve">國家標準草案構成及格式指引</t>
    </r>
    <r>
      <rPr>
        <sz val="10"/>
        <rFont val="Arial"/>
        <family val="0"/>
        <charset val="1"/>
      </rPr>
      <t xml:space="preserve">]</t>
    </r>
    <r>
      <rPr>
        <sz val="10"/>
        <rFont val="Noto Sans CJK SC"/>
        <family val="2"/>
      </rPr>
      <t xml:space="preserve">，其中</t>
    </r>
    <r>
      <rPr>
        <sz val="10"/>
        <rFont val="Arial"/>
        <family val="0"/>
        <charset val="1"/>
      </rPr>
      <t xml:space="preserve">"</t>
    </r>
    <r>
      <rPr>
        <sz val="10"/>
        <rFont val="Noto Sans CJK SC"/>
        <family val="2"/>
      </rPr>
      <t xml:space="preserve">限定用語</t>
    </r>
    <r>
      <rPr>
        <sz val="10"/>
        <rFont val="Arial"/>
        <family val="0"/>
        <charset val="1"/>
      </rPr>
      <t xml:space="preserve">"</t>
    </r>
    <r>
      <rPr>
        <sz val="10"/>
        <rFont val="Noto Sans CJK SC"/>
        <family val="2"/>
      </rPr>
      <t xml:space="preserve">最易引起質疑，如下：以上、以下、最大、最小、不得大於、不得小於、不得超過、不得低於、不大於</t>
    </r>
    <r>
      <rPr>
        <sz val="10"/>
        <rFont val="Arial"/>
        <family val="0"/>
        <charset val="1"/>
      </rPr>
      <t xml:space="preserve">...</t>
    </r>
    <r>
      <rPr>
        <sz val="10"/>
        <rFont val="Noto Sans CJK SC"/>
        <family val="2"/>
      </rPr>
      <t xml:space="preserve">等，以下敘述何者正確？</t>
    </r>
  </si>
  <si>
    <t xml:space="preserve">「76㎜以下」包含76㎜</t>
  </si>
  <si>
    <t xml:space="preserve">「超過76㎜」包含76㎜</t>
  </si>
  <si>
    <t xml:space="preserve">「大於76㎜」包含76㎜</t>
  </si>
  <si>
    <t xml:space="preserve">「未滿76㎜」包含76㎜</t>
  </si>
  <si>
    <t xml:space="preserve">試驗法及檢驗法兩者之差異在於</t>
  </si>
  <si>
    <t xml:space="preserve">試驗法包括合格與否之判斷程序</t>
  </si>
  <si>
    <t xml:space="preserve">檢驗法不包括合格與否之判斷程序</t>
  </si>
  <si>
    <t xml:space="preserve">檢驗法包括合格與否之判斷程序</t>
  </si>
  <si>
    <t xml:space="preserve">依CNS 560規定，SD420等級鋼筋之抗拉強度應為620N/mm²以上，今若實際測試結果剛好為620N/mm²，則應判定為</t>
  </si>
  <si>
    <t xml:space="preserve">合格</t>
  </si>
  <si>
    <t xml:space="preserve">不合格</t>
  </si>
  <si>
    <t xml:space="preserve">不判定</t>
  </si>
  <si>
    <r>
      <rPr>
        <sz val="10"/>
        <rFont val="Arial"/>
        <family val="0"/>
        <charset val="1"/>
      </rPr>
      <t xml:space="preserve">CNS 4626</t>
    </r>
    <r>
      <rPr>
        <sz val="10"/>
        <rFont val="Noto Sans CJK SC"/>
        <family val="2"/>
      </rPr>
      <t xml:space="preserve">「壓力配管用碳鋼鋼管」規定</t>
    </r>
    <r>
      <rPr>
        <sz val="10"/>
        <rFont val="Arial"/>
        <family val="0"/>
        <charset val="1"/>
      </rPr>
      <t xml:space="preserve">STPG410</t>
    </r>
    <r>
      <rPr>
        <sz val="10"/>
        <rFont val="Noto Sans CJK SC"/>
        <family val="2"/>
      </rPr>
      <t xml:space="preserve">鋼管之抗拉強度為</t>
    </r>
    <r>
      <rPr>
        <sz val="10"/>
        <rFont val="Arial"/>
        <family val="0"/>
        <charset val="1"/>
      </rPr>
      <t xml:space="preserve">42</t>
    </r>
    <r>
      <rPr>
        <sz val="10"/>
        <rFont val="Noto Sans CJK SC"/>
        <family val="2"/>
      </rPr>
      <t xml:space="preserve">㎏</t>
    </r>
    <r>
      <rPr>
        <sz val="10"/>
        <rFont val="Arial"/>
        <family val="0"/>
        <charset val="1"/>
      </rPr>
      <t xml:space="preserve">f/</t>
    </r>
    <r>
      <rPr>
        <sz val="10"/>
        <rFont val="Noto Sans CJK SC"/>
        <family val="2"/>
      </rPr>
      <t xml:space="preserve">㎟以上，今若實際測試結果剛好為</t>
    </r>
    <r>
      <rPr>
        <sz val="10"/>
        <rFont val="Arial"/>
        <family val="0"/>
        <charset val="1"/>
      </rPr>
      <t xml:space="preserve">42</t>
    </r>
    <r>
      <rPr>
        <sz val="10"/>
        <rFont val="Noto Sans CJK SC"/>
        <family val="2"/>
      </rPr>
      <t xml:space="preserve">㎏</t>
    </r>
    <r>
      <rPr>
        <sz val="10"/>
        <rFont val="Arial"/>
        <family val="0"/>
        <charset val="1"/>
      </rPr>
      <t xml:space="preserve">f/</t>
    </r>
    <r>
      <rPr>
        <sz val="10"/>
        <rFont val="Noto Sans CJK SC"/>
        <family val="2"/>
      </rPr>
      <t xml:space="preserve">㎟，則應判定為</t>
    </r>
  </si>
  <si>
    <t xml:space="preserve">依據CNS 3689國家標準草案構成及格式指引，下列哪一項用詞不包含本數？</t>
  </si>
  <si>
    <t xml:space="preserve">大於</t>
  </si>
  <si>
    <t xml:space="preserve">不得大於</t>
  </si>
  <si>
    <t xml:space="preserve">不得小於</t>
  </si>
  <si>
    <t xml:space="preserve">依據CNS 3689國家標準草案構成及格式指引，下列哪一項用詞包含本數？</t>
  </si>
  <si>
    <t xml:space="preserve">超過</t>
  </si>
  <si>
    <t xml:space="preserve">未滿</t>
  </si>
  <si>
    <t xml:space="preserve">下列哪一項是關於「防火建材」相關國家標準的應用？</t>
  </si>
  <si>
    <t xml:space="preserve">要求所有建材必須使用再生材料</t>
  </si>
  <si>
    <t xml:space="preserve">要求所有鋼筋必須為無輻射鋼筋</t>
  </si>
  <si>
    <t xml:space="preserve">規定建材必須符合ISO 9001規範</t>
  </si>
  <si>
    <t xml:space="preserve">規定材料或構造物應具有耐燃性、防火時效或避難層區劃等性能</t>
  </si>
  <si>
    <t xml:space="preserve">有關材料防火性能如CNS 4458石膏板(屬無機礦物板)，其耐燃性能應符合CNS 6532之哪1級之試驗規定？</t>
  </si>
  <si>
    <t xml:space="preserve">耐燃一級</t>
  </si>
  <si>
    <t xml:space="preserve">耐燃二級</t>
  </si>
  <si>
    <t xml:space="preserve">耐燃三級</t>
  </si>
  <si>
    <t xml:space="preserve">耐燃一級及二級</t>
  </si>
  <si>
    <t xml:space="preserve">正字標記係廠商依據國家標準開放申請使用標誌之項目，經標準檢驗局檢試驗合格後授證，因此是對哪一項標的給予標誌？</t>
  </si>
  <si>
    <t xml:space="preserve">單一廠商</t>
  </si>
  <si>
    <t xml:space="preserve">所有產品</t>
  </si>
  <si>
    <t xml:space="preserve">單一項(甚至單一級)產品</t>
  </si>
  <si>
    <t xml:space="preserve">自行選擇使用</t>
  </si>
  <si>
    <t xml:space="preserve">下列何者並非產品驗證制度？</t>
  </si>
  <si>
    <t xml:space="preserve">我國的CNS正字標記</t>
  </si>
  <si>
    <t xml:space="preserve">英國的BS標記</t>
  </si>
  <si>
    <t xml:space="preserve">日本的JIS標記</t>
  </si>
  <si>
    <t xml:space="preserve">正字標記為我國官方實施的產品驗證制度，係由下列何機關辦理？</t>
  </si>
  <si>
    <t xml:space="preserve">經濟部工業局</t>
  </si>
  <si>
    <t xml:space="preserve">依據「消防安全審核認可制度」，下列哪一項不是其認可的產品範圍？</t>
  </si>
  <si>
    <t xml:space="preserve">滅火設備</t>
  </si>
  <si>
    <t xml:space="preserve">火警警報設備</t>
  </si>
  <si>
    <t xml:space="preserve">一般建築物防火構造</t>
  </si>
  <si>
    <t xml:space="preserve">避難逃生設備</t>
  </si>
  <si>
    <t xml:space="preserve">進料檢驗、消防</t>
  </si>
  <si>
    <t xml:space="preserve">消防安全審核認可制度，其認可期間為幾年，期滿需重新申請：</t>
  </si>
  <si>
    <t xml:space="preserve">下列哪一項審核認可作業，與建築物結構、設備、材料、工法等有關，並涉及公共安全？</t>
  </si>
  <si>
    <t xml:space="preserve">建築新技術新工法新設備及新材料審核認可作業</t>
  </si>
  <si>
    <t xml:space="preserve">正字標記認可作業</t>
  </si>
  <si>
    <t xml:space="preserve">國際相互承認協議簽署</t>
  </si>
  <si>
    <t xml:space="preserve">品質稽核報告審查</t>
  </si>
  <si>
    <t xml:space="preserve">內政部於民國82年頒訂「建築新技術新工法新設備及新材料審核認可申請要點」，經審核認可案件，其有效期限，通常以多少時間為原則？</t>
  </si>
  <si>
    <t xml:space="preserve">一年</t>
  </si>
  <si>
    <t xml:space="preserve">二年</t>
  </si>
  <si>
    <t xml:space="preserve">三年</t>
  </si>
  <si>
    <t xml:space="preserve">四年</t>
  </si>
  <si>
    <t xml:space="preserve">下列何者為內政部委託辦理建築新技術新工法新設備及新材料審核認可申請之審核機構？</t>
  </si>
  <si>
    <t xml:space="preserve">台灣建築中心</t>
  </si>
  <si>
    <t xml:space="preserve">下列何者並非內政部國土管理署「申請建築防火材料審核認可作業注意事項」規定須申請審核認可之防火材料？</t>
  </si>
  <si>
    <t xml:space="preserve">耐燃材料及防火漆類</t>
  </si>
  <si>
    <t xml:space="preserve">防火門(窗)及防火牆類</t>
  </si>
  <si>
    <t xml:space="preserve">耐燃電纜</t>
  </si>
  <si>
    <t xml:space="preserve">建築物鋼骨結構被覆材</t>
  </si>
  <si>
    <t xml:space="preserve">在公共工程中，工程契約應以哪一項文件做為施工圖說的補充、說明或修正之文件？</t>
  </si>
  <si>
    <t xml:space="preserve">建築技術規則</t>
  </si>
  <si>
    <t xml:space="preserve">施工說明書及施工規範</t>
  </si>
  <si>
    <t xml:space="preserve">建築法規</t>
  </si>
  <si>
    <t xml:space="preserve">在工程契約與國家標準的關係中，下列何者為工程主辦機關依據工程環境、技術等特性，要求承攬廠商應遵守之規範？</t>
  </si>
  <si>
    <t xml:space="preserve">國家標準制定概況</t>
  </si>
  <si>
    <t xml:space="preserve">國際相互承認</t>
  </si>
  <si>
    <t xml:space="preserve">正字標記</t>
  </si>
  <si>
    <t xml:space="preserve">依國土管理署訂定之｢申請建築防火材料審核認可作業注意事項｣，在其審核認可之原則，防火漆類最高防火性能以那等級為限？</t>
  </si>
  <si>
    <t xml:space="preserve">耐燃四級</t>
  </si>
  <si>
    <t xml:space="preserve">在工程契約中，若設計圖與施工規範規定之內容與國家標準有所差異，應以何者為依據？</t>
  </si>
  <si>
    <t xml:space="preserve">契約之設計圖與施工規範</t>
  </si>
  <si>
    <t xml:space="preserve">最新修訂之國家標準</t>
  </si>
  <si>
    <t xml:space="preserve">國際標準ISO 9000</t>
  </si>
  <si>
    <t xml:space="preserve">實驗室的試驗結果</t>
  </si>
  <si>
    <t xml:space="preserve">建築技術規則總則第4條：建築物應用之各種材料及設備規格，除中華民國國家標準有規定者從其規定外，應依何項規定辦理？</t>
  </si>
  <si>
    <t xml:space="preserve">建築法</t>
  </si>
  <si>
    <t xml:space="preserve">營造業管理規則</t>
  </si>
  <si>
    <t xml:space="preserve">營造安全衛生設施標準</t>
  </si>
  <si>
    <t xml:space="preserve">依據「建築技術規則」的相關規定，下列何種圖說文件在申請使用執照時，必須列為應附文件？</t>
  </si>
  <si>
    <t xml:space="preserve">承攬廠商的品質計畫書</t>
  </si>
  <si>
    <t xml:space="preserve">建築物結構及設備專業工程技師簽證</t>
  </si>
  <si>
    <t xml:space="preserve">供應商的生產流程圖</t>
  </si>
  <si>
    <t xml:space="preserve">實驗室的TAF認證證書</t>
  </si>
  <si>
    <t xml:space="preserve">下列敘述何者較不妥適？</t>
  </si>
  <si>
    <t xml:space="preserve">進料檢驗與管制係施工品質的要項</t>
  </si>
  <si>
    <t xml:space="preserve">規範標準是工程品質的基礎</t>
  </si>
  <si>
    <t xml:space="preserve">品質全都歸屬承攬廠商責任</t>
  </si>
  <si>
    <t xml:space="preserve">統計分析可用於改善品質</t>
  </si>
  <si>
    <t xml:space="preserve">國際性標準組織ISO、IEC中，ISO代表的是？</t>
  </si>
  <si>
    <t xml:space="preserve">國際電子電機委員會</t>
  </si>
  <si>
    <t xml:space="preserve">國際標準化組織</t>
  </si>
  <si>
    <t xml:space="preserve">美國國家標準協會</t>
  </si>
  <si>
    <t xml:space="preserve">日本工業規格</t>
  </si>
  <si>
    <t xml:space="preserve">下列國際標準代碼中，代表「英國標準協會」的是？</t>
  </si>
  <si>
    <t xml:space="preserve">BSI</t>
  </si>
  <si>
    <t xml:space="preserve">NF</t>
  </si>
  <si>
    <t xml:space="preserve">GOST</t>
  </si>
  <si>
    <t xml:space="preserve">下列國際標準代碼中，代表「日本工業規格」的是？</t>
  </si>
  <si>
    <t xml:space="preserve">JSA</t>
  </si>
  <si>
    <t xml:space="preserve">JISC</t>
  </si>
  <si>
    <t xml:space="preserve">NEMA</t>
  </si>
  <si>
    <t xml:space="preserve">下列國際標準代碼中，代表「美國保險業實驗所」的是？</t>
  </si>
  <si>
    <t xml:space="preserve">IEEE</t>
  </si>
  <si>
    <t xml:space="preserve">在國家標準的分類中，用來界定尺寸、物理性質、化學成分等特性，以做為製造、採購、驗收依據的是？</t>
  </si>
  <si>
    <t xml:space="preserve">檢驗標準</t>
  </si>
  <si>
    <t xml:space="preserve">測試標準</t>
  </si>
  <si>
    <t xml:space="preserve">規格標準</t>
  </si>
  <si>
    <t xml:space="preserve">性能標準</t>
  </si>
  <si>
    <t xml:space="preserve">進料檢驗、驗收、政府採購</t>
  </si>
  <si>
    <t xml:space="preserve">在營建工程常用的國家標準體系中，用來規範材料的組成、化學成分、機械性質等的是？</t>
  </si>
  <si>
    <t xml:space="preserve">抽樣標準</t>
  </si>
  <si>
    <t xml:space="preserve">營建材料設備主要分為下列哪些類別？</t>
  </si>
  <si>
    <t xml:space="preserve">結構材</t>
  </si>
  <si>
    <t xml:space="preserve">裝修材</t>
  </si>
  <si>
    <t xml:space="preserve">下列何者為鋼筋混凝土用鋼筋的國家標準？</t>
  </si>
  <si>
    <t xml:space="preserve">CNS 61</t>
  </si>
  <si>
    <t xml:space="preserve">CNS 3090</t>
  </si>
  <si>
    <t xml:space="preserve">在公共工程施工日誌中，必須填寫技術士簽章表的工程項目是？</t>
  </si>
  <si>
    <t xml:space="preserve">專業工程項目</t>
  </si>
  <si>
    <t xml:space="preserve">行政管理項目</t>
  </si>
  <si>
    <t xml:space="preserve">採購管制項目</t>
  </si>
  <si>
    <t xml:space="preserve">品質管制項目</t>
  </si>
  <si>
    <t xml:space="preserve">在建築工程必須勘驗部分申報表中，下列哪一項是屬於混凝土必須查核的法定品質文件？</t>
  </si>
  <si>
    <t xml:space="preserve">無輻射鋼筋(骨)證明書</t>
  </si>
  <si>
    <t xml:space="preserve">鋼筋(骨)的強度試驗報告書</t>
  </si>
  <si>
    <t xml:space="preserve">水泥試驗報告書</t>
  </si>
  <si>
    <t xml:space="preserve">依據建築工程必須勘驗部分申報表的查核項目，針對混凝土材料，下列哪一項檢測報告書是必須在細粒料中進行檢測的？</t>
  </si>
  <si>
    <t xml:space="preserve">氯離子含量</t>
  </si>
  <si>
    <t xml:space="preserve">電弧爐煉鋼爐碴(石)</t>
  </si>
  <si>
    <t xml:space="preserve">粗粒料的健度試驗</t>
  </si>
  <si>
    <t xml:space="preserve">摻料的品質證明</t>
  </si>
  <si>
    <t xml:space="preserve">第五章 施工管制與檢驗</t>
  </si>
  <si>
    <t xml:space="preserve">單元二：第五章 施工管制與檢驗</t>
  </si>
  <si>
    <t xml:space="preserve">機關辦理新臺幣150萬元以上工程，應於相關採購案之招標文件內編列品管費用應依？</t>
  </si>
  <si>
    <t xml:space="preserve">工程規模及性質</t>
  </si>
  <si>
    <t xml:space="preserve">營造業法</t>
  </si>
  <si>
    <t xml:space="preserve">標準法</t>
  </si>
  <si>
    <t xml:space="preserve">施工管制、政府採購</t>
  </si>
  <si>
    <t xml:space="preserve">查核金額以上工程，施工廠商所提計畫書中包括假設工程計畫，緊急應變防災計畫等章節，係列於下列何者？</t>
  </si>
  <si>
    <t xml:space="preserve">整體品質計畫</t>
  </si>
  <si>
    <t xml:space="preserve">施工管制、工程查核</t>
  </si>
  <si>
    <t xml:space="preserve">有機電設備工程，應於下列何種計畫增加設備功能試運轉與檢測程序標準之章節？</t>
  </si>
  <si>
    <t xml:space="preserve">整體工程計畫</t>
  </si>
  <si>
    <t xml:space="preserve">分項工程計畫</t>
  </si>
  <si>
    <t xml:space="preserve">整體品質計畫及分項品質計畫</t>
  </si>
  <si>
    <t xml:space="preserve">施工管制</t>
  </si>
  <si>
    <t xml:space="preserve">下列何項計畫書應在開工前送審完成？</t>
  </si>
  <si>
    <t xml:space="preserve">分項施工計畫書</t>
  </si>
  <si>
    <t xml:space="preserve">分項品管計畫書</t>
  </si>
  <si>
    <t xml:space="preserve">下列何者不屬分項施工計畫書內容章節？</t>
  </si>
  <si>
    <t xml:space="preserve">分項預定進度</t>
  </si>
  <si>
    <t xml:space="preserve">分項勞安衛生環境措施</t>
  </si>
  <si>
    <t xml:space="preserve">驗收移交管理計畫</t>
  </si>
  <si>
    <t xml:space="preserve">下列何者不屬分項品質計畫書內容章節？</t>
  </si>
  <si>
    <t xml:space="preserve">施工品質管理標準</t>
  </si>
  <si>
    <t xml:space="preserve">內部品質稽核及建立品質紀錄管理系統</t>
  </si>
  <si>
    <t xml:space="preserve">下列何者為廠商履行契約要求，依契約相關規定所撰寫之專案工程書圖；包括工程開工至完工一切作業之依據？</t>
  </si>
  <si>
    <t xml:space="preserve">品質計畫書</t>
  </si>
  <si>
    <t xml:space="preserve">整體施工計畫書</t>
  </si>
  <si>
    <t xml:space="preserve">契約書及契約圖</t>
  </si>
  <si>
    <t xml:space="preserve">施工技術規範</t>
  </si>
  <si>
    <t xml:space="preserve">施工管制、契約管理</t>
  </si>
  <si>
    <t xml:space="preserve">廠商為履行契約要求，依契約相關規定所撰寫之專案工程書圖，包括工程開工至完工一切作業之依據，稱為：</t>
  </si>
  <si>
    <t xml:space="preserve">整體品質計畫書</t>
  </si>
  <si>
    <t xml:space="preserve">分項品質計畫書</t>
  </si>
  <si>
    <t xml:space="preserve">依施工計畫書與品質計畫之關係，何項為廠商履行契約要求，並依契約相關規定所撰寫之專案工程書圖；其中包括工程開工至完工一切作業之依據等</t>
  </si>
  <si>
    <t xml:space="preserve">開工報備</t>
  </si>
  <si>
    <t xml:space="preserve">與業主之協調</t>
  </si>
  <si>
    <t xml:space="preserve">下列何者不是將施工計畫書分為整體施工計畫書及重要分項施工計畫書的理由？</t>
  </si>
  <si>
    <t xml:space="preserve">工程規模較大且複雜</t>
  </si>
  <si>
    <t xml:space="preserve">工程師人力不足以撰寫施工計畫</t>
  </si>
  <si>
    <t xml:space="preserve">工期較長時</t>
  </si>
  <si>
    <t xml:space="preserve">施工計畫書之擬訂及送審將無法全部及時於開工前完成</t>
  </si>
  <si>
    <t xml:space="preserve">各分項工程計畫書雖然需提送審查方准進料、施工，惟在施工前契約工法是否安全仍係重要課題，請問依營造業法之規定，是應由誰執行檢討的角色</t>
  </si>
  <si>
    <t xml:space="preserve">營造負責人</t>
  </si>
  <si>
    <t xml:space="preserve">原設計單位</t>
  </si>
  <si>
    <t xml:space="preserve">施工管制、契約管理、進料檢驗</t>
  </si>
  <si>
    <t xml:space="preserve">承包商提出各項施工計畫書審查後，一經函覆需依審查意見表再提送審查時，其修改時限之規定為何？</t>
  </si>
  <si>
    <t xml:space="preserve">只要不影嚮工程進度，隨時均可再提送審查</t>
  </si>
  <si>
    <t xml:space="preserve">以契約書內容之品質作業規定之時限內提出</t>
  </si>
  <si>
    <t xml:space="preserve">依函覆修正計畫書之公文所載時間為限</t>
  </si>
  <si>
    <t xml:space="preserve">沒有規定修正之時效規定</t>
  </si>
  <si>
    <t xml:space="preserve">工程採購預算金額8百90萬元，廠商應提報品質計畫內容，下列何者為非？</t>
  </si>
  <si>
    <t xml:space="preserve">預算金額3,500萬元既設AC路面刨鋪及標線劃設工程，廠商應提報品質計畫內容，下列敘述何者為非？</t>
  </si>
  <si>
    <t xml:space="preserve">各分項施工時須再行詳細之檢討尤其契約工法是否安全，施工廠商之專任工程人員須依何法案先行檢討？</t>
  </si>
  <si>
    <t xml:space="preserve">政府採購法</t>
  </si>
  <si>
    <t xml:space="preserve">保險法</t>
  </si>
  <si>
    <t xml:space="preserve">整體施工計畫書之最佳研訂時間？</t>
  </si>
  <si>
    <t xml:space="preserve">公告後領標前</t>
  </si>
  <si>
    <t xml:space="preserve">領標後投標前</t>
  </si>
  <si>
    <t xml:space="preserve">決標後開工前</t>
  </si>
  <si>
    <t xml:space="preserve">訂約後開工前</t>
  </si>
  <si>
    <t xml:space="preserve">當工程規模較大且複雜、工期較長時，施工計畫書之擬訂及送審，宜將：</t>
  </si>
  <si>
    <t xml:space="preserve">施工計畫書分為整體施工計畫書及重要分項施工計畫書，依時程建立並送核</t>
  </si>
  <si>
    <t xml:space="preserve">整體施工計畫書及重要分項施工計畫書依時程合併送核</t>
  </si>
  <si>
    <t xml:space="preserve">整體施工計畫書及整體品質計畫書合併送核</t>
  </si>
  <si>
    <t xml:space="preserve">廠商提送分項施工計畫時，應將分項品質計畫及分項進度表併同檢討提送(機電工程尚需增列設備功能運轉測試程序及標準)，下列哪一項不是分項品質計畫內容？</t>
  </si>
  <si>
    <t xml:space="preserve">施工抽查紀錄表</t>
  </si>
  <si>
    <t xml:space="preserve">當工程規模較大且複雜、工期較長時，施工計畫書之擬訂及送審，將無法全部及時於開工前完成，因此將施工計畫書分為整體施工計畫書及重要之</t>
  </si>
  <si>
    <t xml:space="preserve">分項施工進度表</t>
  </si>
  <si>
    <t xml:space="preserve">分項施工查驗表</t>
  </si>
  <si>
    <t xml:space="preserve">下列何項不是分項品質計畫應有之項目？</t>
  </si>
  <si>
    <t xml:space="preserve">為確保工程能如期順利完成，於決標後，廠商製作施工計畫書及品質計畫書後，應即？</t>
  </si>
  <si>
    <t xml:space="preserve">分發給工班存查</t>
  </si>
  <si>
    <t xml:space="preserve">在規定期限內函知機關、設計單位與監造</t>
  </si>
  <si>
    <t xml:space="preserve">在規定期限內須提送審查核可</t>
  </si>
  <si>
    <t xml:space="preserve">分發給內稽單位存查</t>
  </si>
  <si>
    <t xml:space="preserve">「分項施工計畫書預定送審進度表」應依據何者提出較適宜？</t>
  </si>
  <si>
    <t xml:space="preserve">整體施工預定進度表各分項工程預定施工日期</t>
  </si>
  <si>
    <t xml:space="preserve">施工計畫書審查作業程序</t>
  </si>
  <si>
    <t xml:space="preserve">各機關之公務作業程序流程</t>
  </si>
  <si>
    <t xml:space="preserve">工程主辦機關抽查、督導或查驗之日期</t>
  </si>
  <si>
    <t xml:space="preserve">品質規定中，工程決標後除了訂約完成並提出計畫書解除列管後方得正式開工，主要認定可開工的關鍵時機取決於</t>
  </si>
  <si>
    <t xml:space="preserve">訂約完成手續後，隨時可開工</t>
  </si>
  <si>
    <t xml:space="preserve">分項施工計畫書提出後即可工</t>
  </si>
  <si>
    <t xml:space="preserve">整體施工計畫書提出後，方可開工</t>
  </si>
  <si>
    <t xml:space="preserve">整體施工計畫書和整體品質計畫書提出後，方可開工</t>
  </si>
  <si>
    <t xml:space="preserve">開工後須立即施工之分項施工計畫何時送審？</t>
  </si>
  <si>
    <t xml:space="preserve">整體施工計畫核定後</t>
  </si>
  <si>
    <t xml:space="preserve">納入整體施工計畫一併送審</t>
  </si>
  <si>
    <t xml:space="preserve">分項施工計畫書送審時機為何？</t>
  </si>
  <si>
    <t xml:space="preserve">整體施工計畫審查期間</t>
  </si>
  <si>
    <t xml:space="preserve">整體施工計畫廠商修正期間</t>
  </si>
  <si>
    <t xml:space="preserve">依監造計畫或經核定之分項送審時間</t>
  </si>
  <si>
    <t xml:space="preserve">與整體施工計畫同步</t>
  </si>
  <si>
    <t xml:space="preserve">下列敘述何者為非</t>
  </si>
  <si>
    <t xml:space="preserve">整體施工計畫書為廠商履行契約要求，依契約相關規定所撰寫之專案工程書圖</t>
  </si>
  <si>
    <t xml:space="preserve">整體施工計畫書因建築、土木、水利、環境等工程特性不同，可依其特性增減相關內容要項</t>
  </si>
  <si>
    <t xml:space="preserve">整體品質計畫為利整體施工品質之管理而建立</t>
  </si>
  <si>
    <t xml:space="preserve">分項施工計畫書與分項品質計畫，須單獨撰寫不可合併成一本</t>
  </si>
  <si>
    <t xml:space="preserve">整體施工計畫書之最佳研訂時間，為決標後至工程開工前提送核可</t>
  </si>
  <si>
    <t xml:space="preserve">結構工程相關之分項施工計畫書，應於開工前送審完成</t>
  </si>
  <si>
    <t xml:space="preserve">泥作、門窗及裝修工程之分項施工計畫，應於結構體完成後施工前送審完成</t>
  </si>
  <si>
    <t xml:space="preserve">景觀工程之分項施工計畫，應於施工前提送審核</t>
  </si>
  <si>
    <t xml:space="preserve">施工計畫書與品質計畫在管制作業常見缺失案例包含：</t>
  </si>
  <si>
    <t xml:space="preserve">工程主辦機關或專案管理廠商在契約內未編列品管費用；</t>
  </si>
  <si>
    <t xml:space="preserve">工程主辦機關於契約內明定監造廠商提報監造計畫應包含內容；</t>
  </si>
  <si>
    <t xml:space="preserve">工程主辦機關之抽查、督導或查驗之缺失追蹤改善紀錄確實且完整；</t>
  </si>
  <si>
    <t xml:space="preserve">監造單位依契約規定期限提送監造計畫</t>
  </si>
  <si>
    <t xml:space="preserve">大地結構相關工程分項施工計畫書，應於下列何項階段送審完成？</t>
  </si>
  <si>
    <t xml:space="preserve">結構體完成</t>
  </si>
  <si>
    <t xml:space="preserve">地下結構體完成</t>
  </si>
  <si>
    <t xml:space="preserve">有關磁磚、花崗石和鋁窗、惟幕牆等分項施工計畫書，應於下列何項階段送審完成？</t>
  </si>
  <si>
    <t xml:space="preserve">結構體完成前</t>
  </si>
  <si>
    <t xml:space="preserve">地下結構體完成前</t>
  </si>
  <si>
    <t xml:space="preserve">依政府採購法之精神，工程決標則機關與廠商之契約關係即確立，故整體施工計畫書之最佳研訂及提送時間，</t>
  </si>
  <si>
    <t xml:space="preserve">招標後至開標前</t>
  </si>
  <si>
    <t xml:space="preserve">開標後至決標前</t>
  </si>
  <si>
    <t xml:space="preserve">決標後至工程開工前</t>
  </si>
  <si>
    <t xml:space="preserve">開工後至完工前</t>
  </si>
  <si>
    <t xml:space="preserve">施工管制、契約管理、政府採購</t>
  </si>
  <si>
    <t xml:space="preserve">品管人員資格、人數及更換規定，應納入招標文件之預算金額門檻？</t>
  </si>
  <si>
    <r>
      <rPr>
        <sz val="10"/>
        <rFont val="Arial"/>
        <family val="0"/>
        <charset val="1"/>
      </rPr>
      <t xml:space="preserve">150</t>
    </r>
    <r>
      <rPr>
        <sz val="10"/>
        <rFont val="Noto Sans CJK SC"/>
        <family val="2"/>
      </rPr>
      <t xml:space="preserve">萬元</t>
    </r>
  </si>
  <si>
    <r>
      <rPr>
        <sz val="10"/>
        <rFont val="Arial"/>
        <family val="0"/>
        <charset val="1"/>
      </rPr>
      <t xml:space="preserve">5,000</t>
    </r>
    <r>
      <rPr>
        <sz val="10"/>
        <rFont val="Noto Sans CJK SC"/>
        <family val="2"/>
      </rPr>
      <t xml:space="preserve">萬元</t>
    </r>
  </si>
  <si>
    <t xml:space="preserve">每一工程標案品管人員至少1人之預算金額門檻為多少錢？</t>
  </si>
  <si>
    <r>
      <rPr>
        <sz val="10"/>
        <rFont val="Arial"/>
        <family val="0"/>
        <charset val="1"/>
      </rPr>
      <t xml:space="preserve">3</t>
    </r>
    <r>
      <rPr>
        <sz val="10"/>
        <rFont val="Noto Sans CJK SC"/>
        <family val="2"/>
      </rPr>
      <t xml:space="preserve">億元</t>
    </r>
  </si>
  <si>
    <r>
      <rPr>
        <sz val="10"/>
        <rFont val="Arial"/>
        <family val="0"/>
        <charset val="1"/>
      </rPr>
      <t xml:space="preserve">2,000</t>
    </r>
    <r>
      <rPr>
        <sz val="10"/>
        <rFont val="Noto Sans CJK SC"/>
        <family val="2"/>
      </rPr>
      <t xml:space="preserve">萬元以上</t>
    </r>
  </si>
  <si>
    <t xml:space="preserve">品管人員得同時擔任其他法規允許之職務，但不得跨越其他標案，且契約施工期間應在工地執行職務，其工程預算金額門檻？</t>
  </si>
  <si>
    <t xml:space="preserve">公有建築工程採購，土建部分1億2,000萬元，水電部分2,300萬元，採分開招標辦理，依照公共工程施工品質管理作業要點規定，試問此公有建築工地廠商品管人員至少？</t>
  </si>
  <si>
    <r>
      <rPr>
        <sz val="10"/>
        <rFont val="Arial"/>
        <family val="0"/>
        <charset val="1"/>
      </rPr>
      <t xml:space="preserve">4</t>
    </r>
    <r>
      <rPr>
        <sz val="10"/>
        <rFont val="Noto Sans CJK SC"/>
        <family val="2"/>
      </rPr>
      <t xml:space="preserve">人</t>
    </r>
  </si>
  <si>
    <t xml:space="preserve">各分項施工時，其契約工法是否安全，依營造業法之規定須由施工廠商之下列何者先行檢討？</t>
  </si>
  <si>
    <t xml:space="preserve">職業安全衛生人員</t>
  </si>
  <si>
    <t xml:space="preserve">行政院公共工程委員會函，於新建工程招標文件及契約書內應載明：</t>
  </si>
  <si>
    <t xml:space="preserve">應定期召開施工講習會或檢討會；</t>
  </si>
  <si>
    <t xml:space="preserve">於工地現場陳列使用材料樣品及安裝工法展示；</t>
  </si>
  <si>
    <t xml:space="preserve">設置有關混凝土澆置作業程序等之看板；</t>
  </si>
  <si>
    <t xml:space="preserve">下列何者為工程主辦機關在管制作業上常見缺失？</t>
  </si>
  <si>
    <t xml:space="preserve">未編列監造單位材料設備之抽驗費用</t>
  </si>
  <si>
    <t xml:space="preserve">對於監造計畫無核定紀錄，或未確實審查</t>
  </si>
  <si>
    <t xml:space="preserve">未將核定之委辦監造單位受訓合格之現場人員或廠商品管人員，填報於工程會資訊網路系統備查</t>
  </si>
  <si>
    <t xml:space="preserve">工程契約內未依「公共工程施工品質管理作業要點」規定，明定廠商提報品質計畫與應含之內容，或二千萬元以上工程，未規定品管人員資格、人數及更換規定，是屬於誰的責任缺失？</t>
  </si>
  <si>
    <t xml:space="preserve">承包商</t>
  </si>
  <si>
    <t xml:space="preserve">工程主辦機關</t>
  </si>
  <si>
    <t xml:space="preserve">下列何者為監造單位在管制作業上常見缺失？</t>
  </si>
  <si>
    <t xml:space="preserve">未依契約規定期限提送監造計畫</t>
  </si>
  <si>
    <t xml:space="preserve">未訂定對廠商品質計畫之審查時限</t>
  </si>
  <si>
    <t xml:space="preserve">現場人員未依契約規定落實填報監造報表</t>
  </si>
  <si>
    <t xml:space="preserve">施工管制、監造</t>
  </si>
  <si>
    <t xml:space="preserve">未訂定各材料/設備及施工之品質管理標準及材料/設備及施工之檢驗停留點，屬於誰的責任缺失？</t>
  </si>
  <si>
    <t xml:space="preserve">在施工/品質計畫管制作業中，下列何者不屬於監造單位管理之責？</t>
  </si>
  <si>
    <t xml:space="preserve">契約內要編列品管費用，材料設備之檢驗或系統功能運轉測試費用</t>
  </si>
  <si>
    <t xml:space="preserve">於工地現場陳列樣品及工法展示</t>
  </si>
  <si>
    <t xml:space="preserve">不需督導廠商執行工地安全衛生交通維持及環境保護等工作</t>
  </si>
  <si>
    <t xml:space="preserve">自主檢查表未確實記載檢查值</t>
  </si>
  <si>
    <t xml:space="preserve">未依契約規定期限提送施工計畫及品質計畫，是屬於誰的責任缺失：</t>
  </si>
  <si>
    <t xml:space="preserve">下列何者為承攬廠商在管制作業上常見缺失？</t>
  </si>
  <si>
    <t xml:space="preserve">未依契約規定期限提送品質計畫</t>
  </si>
  <si>
    <t xml:space="preserve">未訂定各材料/設備及施工之檢驗時機</t>
  </si>
  <si>
    <t xml:space="preserve">施工日誌未落實執行，或記載不完整</t>
  </si>
  <si>
    <t xml:space="preserve">工程材料試驗報告之結果出爐，主要認定是否合格與否，在於下列何者？</t>
  </si>
  <si>
    <t xml:space="preserve">試驗所在地符合TAF試驗室</t>
  </si>
  <si>
    <t xml:space="preserve">試驗之數據符合契約或法規之規定</t>
  </si>
  <si>
    <t xml:space="preserve">試驗報告上需有判讀簽章</t>
  </si>
  <si>
    <t xml:space="preserve">在執行施工檢驗作業時，監造單位在RC結構建築中進行檢驗停留點查驗的部份，指的是</t>
  </si>
  <si>
    <t xml:space="preserve">牆柱和樑版封模、灌漿前</t>
  </si>
  <si>
    <t xml:space="preserve">牆、柱封模前</t>
  </si>
  <si>
    <t xml:space="preserve">樑、版灌漿前</t>
  </si>
  <si>
    <t xml:space="preserve">監造單位自認為有必要時</t>
  </si>
  <si>
    <t xml:space="preserve">公有建築工程採購，土建部分10億2,000萬元，水電部分2億3,000萬元，採分開招標辦理，依照公共工程施工品質管理作業要點規定，試問監造單位應置受訓合格之現場人員至少？</t>
  </si>
  <si>
    <t xml:space="preserve">施工管制、監造、政府採購</t>
  </si>
  <si>
    <t xml:space="preserve">監造單位應於何時r將現場人員之登錄表，報經機關核定後，由機關填報於工程會資訊網路備查？</t>
  </si>
  <si>
    <t xml:space="preserve">工程決標後</t>
  </si>
  <si>
    <t xml:space="preserve">工程訂約後</t>
  </si>
  <si>
    <t xml:space="preserve">監造單位現場人員應專職，不得跨越其他標案，且監造服務期間應在工地執行職務之預算金額門檻？</t>
  </si>
  <si>
    <t xml:space="preserve">污水下水道推進工程採購預算金額1億6,000萬元，應編列品管費用，下列何者為非？</t>
  </si>
  <si>
    <t xml:space="preserve">以招標文件內品管人員設置規定為依據</t>
  </si>
  <si>
    <t xml:space="preserve">訂有專職及人數等規定者，以人月量化編列為原則</t>
  </si>
  <si>
    <t xml:space="preserve">未訂有專職及人數等規定者，以百分比法編列為原則，</t>
  </si>
  <si>
    <t xml:space="preserve">含材料設備抽(檢)驗費用</t>
  </si>
  <si>
    <t xml:space="preserve">各項施工計畫和品質計畫規定應由承包商按進度階性提出，免影嚮進料時間和施工進度，其審查最終核定權係</t>
  </si>
  <si>
    <t xml:space="preserve">承包商按時程提出送審即可</t>
  </si>
  <si>
    <t xml:space="preserve">監造單位審查核准即可</t>
  </si>
  <si>
    <t xml:space="preserve">主辦機關核備即可</t>
  </si>
  <si>
    <t xml:space="preserve">沒硬性規定</t>
  </si>
  <si>
    <t xml:space="preserve">施工管制、進料檢驗</t>
  </si>
  <si>
    <t xml:space="preserve">當工程規模與複雜程度越大時，下列哪一項目越顯得重要？</t>
  </si>
  <si>
    <t xml:space="preserve">有效的工作分配措施</t>
  </si>
  <si>
    <t xml:space="preserve">有效的人事管理措施</t>
  </si>
  <si>
    <t xml:space="preserve">有效的界面管理措施</t>
  </si>
  <si>
    <t xml:space="preserve">有效的經費管理措施</t>
  </si>
  <si>
    <t xml:space="preserve">按圖施工之原意包含</t>
  </si>
  <si>
    <t xml:space="preserve">檢討建築平面圖、立面圖、剖面圖、結構圖、給排水圖、電力圖、弱電圖及空調圖等設計圖面</t>
  </si>
  <si>
    <t xml:space="preserve">在各分項施工計畫時確實繪製相關施工圖及大樣圖</t>
  </si>
  <si>
    <t xml:space="preserve">檢討設計圖之矛盾處</t>
  </si>
  <si>
    <t xml:space="preserve">施工階段品質管理措施包括下列何者？</t>
  </si>
  <si>
    <t xml:space="preserve">訂定施工要領</t>
  </si>
  <si>
    <t xml:space="preserve">訂定施工品質管理標準</t>
  </si>
  <si>
    <t xml:space="preserve">訂定材料及施工檢驗程序</t>
  </si>
  <si>
    <t xml:space="preserve">設計圖為設計單位為表達設計理念之圖，而將其作為招標文件並訂為工程契約時之圖樣稱為何？</t>
  </si>
  <si>
    <t xml:space="preserve">施工大樣圖</t>
  </si>
  <si>
    <t xml:space="preserve">工作圖</t>
  </si>
  <si>
    <t xml:space="preserve">契約圖</t>
  </si>
  <si>
    <t xml:space="preserve">建築執照圖</t>
  </si>
  <si>
    <t xml:space="preserve">廠商依據設計圖之規定，配合現場實際狀況及其他配合條件所繪製之圖樣稱為？</t>
  </si>
  <si>
    <t xml:space="preserve">建築圖</t>
  </si>
  <si>
    <t xml:space="preserve">結構圖</t>
  </si>
  <si>
    <t xml:space="preserve">將設計圖作為招標文件，並為工程契約附件時即稱作：</t>
  </si>
  <si>
    <t xml:space="preserve">執照圖</t>
  </si>
  <si>
    <t xml:space="preserve">將設計圖申請建築執照及其相關圖面即為：</t>
  </si>
  <si>
    <t xml:space="preserve">廠商依據設計圖之規定，配合現場實際狀況及其他配合條件所繪製之圖樣稱作：</t>
  </si>
  <si>
    <t xml:space="preserve">施工階段品質管理措施，除訂定施工要領、施工品質管理標準等，並依自主檢查表落實自主品管外，另一重要之課題即為建立並執行何機制</t>
  </si>
  <si>
    <t xml:space="preserve">成本界面管理</t>
  </si>
  <si>
    <t xml:space="preserve">進度界面管理</t>
  </si>
  <si>
    <t xml:space="preserve">機具界面管理</t>
  </si>
  <si>
    <t xml:space="preserve">工程界面管理</t>
  </si>
  <si>
    <t xml:space="preserve">設計圖為設計單位為表達設計理念之圖而將其作為招標文件並訂為工程契約時即稱</t>
  </si>
  <si>
    <t xml:space="preserve">開工圖</t>
  </si>
  <si>
    <t xml:space="preserve">竣工圖</t>
  </si>
  <si>
    <t xml:space="preserve">施工大樣圖為</t>
  </si>
  <si>
    <t xml:space="preserve">廠商</t>
  </si>
  <si>
    <t xml:space="preserve">監造單位依據設計圖之規定，配合現場實際狀況及其他配合條件所繪製之圖樣</t>
  </si>
  <si>
    <t xml:space="preserve">設計圖為設計單位為表達設計理念之，而將其作為招標文件並訂為工程契約時即稱建築執照圖</t>
  </si>
  <si>
    <t xml:space="preserve">施工大樣圖為廠商依據設計圖之規定，配合現場實際狀況及其他配合條件所繪製之圖樣</t>
  </si>
  <si>
    <t xml:space="preserve">工作圖為廠商分項工程施工時，對臨時性工程施工順序、機具材料搬運、放置場所之說明所須使用之圖樣</t>
  </si>
  <si>
    <r>
      <rPr>
        <sz val="10"/>
        <rFont val="Arial"/>
        <family val="0"/>
        <charset val="1"/>
      </rPr>
      <t xml:space="preserve">CSD</t>
    </r>
    <r>
      <rPr>
        <sz val="10"/>
        <rFont val="Noto Sans CJK SC"/>
        <family val="2"/>
      </rPr>
      <t xml:space="preserve">圖為設計階段界面整合重要措施，係作為</t>
    </r>
    <r>
      <rPr>
        <sz val="10"/>
        <rFont val="Arial"/>
        <family val="0"/>
        <charset val="1"/>
      </rPr>
      <t xml:space="preserve">SEM</t>
    </r>
    <r>
      <rPr>
        <sz val="10"/>
        <rFont val="Noto Sans CJK SC"/>
        <family val="2"/>
      </rPr>
      <t xml:space="preserve">圖之製作依據，並作為日後施工階段各分標廠商繪製施工圖之依據</t>
    </r>
  </si>
  <si>
    <t xml:space="preserve">對於施工界面整合，CSD是指？</t>
  </si>
  <si>
    <t xml:space="preserve">廠商依據設計圖之規定，配合現場實際狀況及其他配合條件所繪製之圖樣</t>
  </si>
  <si>
    <t xml:space="preserve">將建築平面圖、結構圖以及電梯剖面圖進行套繪</t>
  </si>
  <si>
    <t xml:space="preserve">將工程中的水電、空調、消防、舞台燈光音響等各主要設備位置與管理路徑作協調配置</t>
  </si>
  <si>
    <t xml:space="preserve">對設計圖、契約圖、建築執照圖詳細研讀並清圖</t>
  </si>
  <si>
    <t xml:space="preserve">工作圖應適用於？</t>
  </si>
  <si>
    <t xml:space="preserve">同一廠商承攬之所有標案</t>
  </si>
  <si>
    <t xml:space="preserve">委託同一監造單位之工程標案</t>
  </si>
  <si>
    <t xml:space="preserve">同一機關招標之標案</t>
  </si>
  <si>
    <t xml:space="preserve">單一標案因地制宜</t>
  </si>
  <si>
    <t xml:space="preserve">下列何者不屬於工程界面管理所採用之措施？</t>
  </si>
  <si>
    <t xml:space="preserve">CSD(Combined Service Drawing)</t>
  </si>
  <si>
    <t xml:space="preserve">SEM(Structural Electricaland Mechanical)</t>
  </si>
  <si>
    <t xml:space="preserve">CIP(Coordinate Installation Program)</t>
  </si>
  <si>
    <t xml:space="preserve">Shop Drawings</t>
  </si>
  <si>
    <t xml:space="preserve">工程界對工程界面管理所採用之措施不包含何項？</t>
  </si>
  <si>
    <t xml:space="preserve">CAD</t>
  </si>
  <si>
    <t xml:space="preserve">SEM</t>
  </si>
  <si>
    <t xml:space="preserve">CSD</t>
  </si>
  <si>
    <t xml:space="preserve">CIP</t>
  </si>
  <si>
    <t xml:space="preserve">工程界常用工程界面管理措施計有下列何者？</t>
  </si>
  <si>
    <t xml:space="preserve">廠商進行分項工程施工時，對臨時性工程施工順序、機具材料搬運、放置場所之說明所須使用之圖樣稱為何？</t>
  </si>
  <si>
    <t xml:space="preserve">界面整合作業，若可由何時階段開始，其效果將較佳？</t>
  </si>
  <si>
    <t xml:space="preserve">招標階段</t>
  </si>
  <si>
    <t xml:space="preserve">開工階段</t>
  </si>
  <si>
    <t xml:space="preserve">施工界面整合措施，先後順序應為</t>
  </si>
  <si>
    <t xml:space="preserve">SEM→CSD→CIP</t>
  </si>
  <si>
    <t xml:space="preserve">CSD→SEM→CIP</t>
  </si>
  <si>
    <t xml:space="preserve">CIP→CSD→SEM</t>
  </si>
  <si>
    <t xml:space="preserve">CIP→SEM→CSD</t>
  </si>
  <si>
    <t xml:space="preserve">施工履約期間，下列哪階段做界面整合作業，其效果將較佳？</t>
  </si>
  <si>
    <t xml:space="preserve">施工前階段</t>
  </si>
  <si>
    <t xml:space="preserve">施工中階段</t>
  </si>
  <si>
    <t xml:space="preserve">施工後階段</t>
  </si>
  <si>
    <t xml:space="preserve">任何階段都一樣</t>
  </si>
  <si>
    <t xml:space="preserve">廠商分項工程施工時，對臨時性工程施工順序、機具材料搬運、放置場所之說明，所須使用之圖樣稱作為何？</t>
  </si>
  <si>
    <t xml:space="preserve">將工程中，所有機電設備部分，包括水電、空調、消防、舞台燈光音響等各主要設備位置與管理路徑作協調配置完成圖面稱作：</t>
  </si>
  <si>
    <t xml:space="preserve">機電整合界面圖-CSD</t>
  </si>
  <si>
    <t xml:space="preserve">結構機電整合界面圖</t>
  </si>
  <si>
    <t xml:space="preserve">施工界面協調計畫-CIP</t>
  </si>
  <si>
    <t xml:space="preserve">施工管制、消防、空調</t>
  </si>
  <si>
    <t xml:space="preserve">廠商分項工程施工時，對臨時性工程施工順序、機具材料搬運、放置場所之說明所須使用之圖樣為</t>
  </si>
  <si>
    <t xml:space="preserve">設備圖</t>
  </si>
  <si>
    <t xml:space="preserve">機具圖</t>
  </si>
  <si>
    <t xml:space="preserve">下列何者非有效的整合設計圖說，並套合繪製施工大樣圖，解決施工界面問題，所採用之措施</t>
  </si>
  <si>
    <t xml:space="preserve">機電整合界面圖</t>
  </si>
  <si>
    <t xml:space="preserve">施工界面協調計畫</t>
  </si>
  <si>
    <t xml:space="preserve">基地整合界面圖</t>
  </si>
  <si>
    <t xml:space="preserve">機電整合界面圖係將工程中，所有機電設備部分，包括水電、空調、消防等主要設備位置與管理路徑作協調配置，機電整合界面圖為何階段界面整合重要措施及作為結構、機電整合界面圖之製作依據，</t>
  </si>
  <si>
    <t xml:space="preserve">構想階段</t>
  </si>
  <si>
    <t xml:space="preserve">竣工階段</t>
  </si>
  <si>
    <t xml:space="preserve">在施工界面整合CSD過程中，有管線系統:a.匯流排槽、b.重力排水之污排水管、c.電纜架、d.空調風管，應考慮管線佈置之優先順序為？</t>
  </si>
  <si>
    <t xml:space="preserve">c→d→a→b</t>
  </si>
  <si>
    <t xml:space="preserve">d→b→a→c</t>
  </si>
  <si>
    <t xml:space="preserve">a→d→b→c</t>
  </si>
  <si>
    <t xml:space="preserve">b→d→a→c</t>
  </si>
  <si>
    <t xml:space="preserve">施工管制、空調、給排水</t>
  </si>
  <si>
    <t xml:space="preserve">目前工程界對工程界面管理所採用之措施，下列何者為正確？</t>
  </si>
  <si>
    <t xml:space="preserve">建築資訊模式(BIM)</t>
  </si>
  <si>
    <t xml:space="preserve">視訊會議</t>
  </si>
  <si>
    <t xml:space="preserve">施工前會勘</t>
  </si>
  <si>
    <t xml:space="preserve">土建工程為配合機電系統安裝，於結構安全考量下，綜整各關聯廠商需求，將其所需之開口、基座、套管、預埋件及管道間的整合方式謂之？</t>
  </si>
  <si>
    <t xml:space="preserve">結構機電整合界面圖-SEM</t>
  </si>
  <si>
    <t xml:space="preserve">道路新闢工程之路燈基座預埋基礎螺栓位置，廠商應藉由何機制整合</t>
  </si>
  <si>
    <t xml:space="preserve">設計前會勘</t>
  </si>
  <si>
    <t xml:space="preserve">公立學校半戶外球場新建工程，接地系統與基礎開挖回填作業，廠商應以何機制整合施工界面？</t>
  </si>
  <si>
    <t xml:space="preserve">施工管制、電氣安全</t>
  </si>
  <si>
    <t xml:space="preserve">整合CSD過程中，發現污排水、與自來水管線衝突，應採合整合之管線排序？</t>
  </si>
  <si>
    <r>
      <rPr>
        <sz val="10"/>
        <rFont val="Arial"/>
        <family val="0"/>
        <charset val="1"/>
      </rPr>
      <t xml:space="preserve">1</t>
    </r>
    <r>
      <rPr>
        <sz val="10"/>
        <rFont val="Noto Sans CJK SC"/>
        <family val="2"/>
      </rPr>
      <t xml:space="preserve">污排水</t>
    </r>
    <r>
      <rPr>
        <sz val="10"/>
        <rFont val="Arial"/>
        <family val="0"/>
        <charset val="1"/>
      </rPr>
      <t xml:space="preserve">2</t>
    </r>
    <r>
      <rPr>
        <sz val="10"/>
        <rFont val="Noto Sans CJK SC"/>
        <family val="2"/>
      </rPr>
      <t xml:space="preserve">自來水</t>
    </r>
  </si>
  <si>
    <r>
      <rPr>
        <sz val="10"/>
        <rFont val="Arial"/>
        <family val="0"/>
        <charset val="1"/>
      </rPr>
      <t xml:space="preserve">1</t>
    </r>
    <r>
      <rPr>
        <sz val="10"/>
        <rFont val="Noto Sans CJK SC"/>
        <family val="2"/>
      </rPr>
      <t xml:space="preserve">自來水</t>
    </r>
    <r>
      <rPr>
        <sz val="10"/>
        <rFont val="Arial"/>
        <family val="0"/>
        <charset val="1"/>
      </rPr>
      <t xml:space="preserve">2</t>
    </r>
    <r>
      <rPr>
        <sz val="10"/>
        <rFont val="Noto Sans CJK SC"/>
        <family val="2"/>
      </rPr>
      <t xml:space="preserve">污排水</t>
    </r>
  </si>
  <si>
    <t xml:space="preserve">無所謂</t>
  </si>
  <si>
    <t xml:space="preserve">施工管制、給排水</t>
  </si>
  <si>
    <t xml:space="preserve">下列敘述何者為是？</t>
  </si>
  <si>
    <t xml:space="preserve">整合CSD過程中，以管徑大小為第一考量、功能為第二考量</t>
  </si>
  <si>
    <r>
      <rPr>
        <sz val="10"/>
        <rFont val="Arial"/>
        <family val="0"/>
        <charset val="1"/>
      </rPr>
      <t xml:space="preserve">CSD</t>
    </r>
    <r>
      <rPr>
        <sz val="10"/>
        <rFont val="Noto Sans CJK SC"/>
        <family val="2"/>
      </rPr>
      <t xml:space="preserve">圖主要目的是提供土建廠商於施工過程中將機電系統廠商所需預埋套管、預留開口及設備混凝土基座等，套合成圖</t>
    </r>
  </si>
  <si>
    <r>
      <rPr>
        <sz val="10"/>
        <rFont val="Arial"/>
        <family val="0"/>
        <charset val="1"/>
      </rPr>
      <t xml:space="preserve">CSD</t>
    </r>
    <r>
      <rPr>
        <sz val="10"/>
        <rFont val="Noto Sans CJK SC"/>
        <family val="2"/>
      </rPr>
      <t xml:space="preserve">繪圖過程中，機電系統方面，則以弱電系統為第一優先考量</t>
    </r>
  </si>
  <si>
    <t xml:space="preserve">施工時除了依CSD及SEM所檢討出之相關圖面施工外，工地仍有許多界面點需檢討，可藉由施工界面協調會將現場發生之界面問題加以檢討</t>
  </si>
  <si>
    <t xml:space="preserve">下列何者不是CSD圖製作之主要操作步驟？</t>
  </si>
  <si>
    <t xml:space="preserve">以建築圖為背景，以CAD套繪機電、給排水等設計資料，並以顏色設層(Layer)編排完整</t>
  </si>
  <si>
    <t xml:space="preserve">依功能檢視設計資料，將各層相互重疊部分逐一檢討，並將產生界面問題部分提出協調，並排除所有衝突點</t>
  </si>
  <si>
    <t xml:space="preserve">依預留管件之功能需求，檢討留設於結構體中之管件大小及高程</t>
  </si>
  <si>
    <t xml:space="preserve">當CSD完成調整與整合，無衝突疑慮，依CSD內所有系統管線、設備需求，開始製作SEM圖</t>
  </si>
  <si>
    <t xml:space="preserve">將所有機電設備各主要設備位置及管理路徑間作協調配置，此項圖面整合工作稱為何？</t>
  </si>
  <si>
    <t xml:space="preserve">BIM</t>
  </si>
  <si>
    <t xml:space="preserve">將CSD圖彙整納入建築/結構圖中，並提供各分標廠商製作施工大樣圖(施工製造圖)，此結構機電整合界面圖又稱？</t>
  </si>
  <si>
    <t xml:space="preserve">管線佈置優先順序，以設備功能為第一考量係屬下列何者整合過程？</t>
  </si>
  <si>
    <t xml:space="preserve">圖說製作以建築圖為背景，以CAD套繪空調、給排水系統、消防系統等設計資料，並以顏色設層(Layer)編排完整而成，稱之為何？</t>
  </si>
  <si>
    <r>
      <rPr>
        <sz val="10"/>
        <rFont val="Arial"/>
        <family val="0"/>
        <charset val="1"/>
      </rPr>
      <t xml:space="preserve">CSD</t>
    </r>
    <r>
      <rPr>
        <sz val="10"/>
        <rFont val="Noto Sans CJK SC"/>
        <family val="2"/>
      </rPr>
      <t xml:space="preserve">圖</t>
    </r>
  </si>
  <si>
    <r>
      <rPr>
        <sz val="10"/>
        <rFont val="Arial"/>
        <family val="0"/>
        <charset val="1"/>
      </rPr>
      <t xml:space="preserve">SEM</t>
    </r>
    <r>
      <rPr>
        <sz val="10"/>
        <rFont val="Noto Sans CJK SC"/>
        <family val="2"/>
      </rPr>
      <t xml:space="preserve">圖</t>
    </r>
  </si>
  <si>
    <t xml:space="preserve">管線圖</t>
  </si>
  <si>
    <t xml:space="preserve">在整合CSD圖過程中，必須考慮各系統之優先順序，管線佈置之順序，應以何者為第一優先考量？</t>
  </si>
  <si>
    <t xml:space="preserve">空調風管</t>
  </si>
  <si>
    <t xml:space="preserve">匯流排槽</t>
  </si>
  <si>
    <t xml:space="preserve">重力排水之污排水管</t>
  </si>
  <si>
    <t xml:space="preserve">電纜架</t>
  </si>
  <si>
    <t xml:space="preserve">在整合CSD圖過程中，必須考慮各系統之優先順序，機電系統方面，應以何者為第一優先考量？</t>
  </si>
  <si>
    <t xml:space="preserve">通訊系統</t>
  </si>
  <si>
    <t xml:space="preserve">供電系統</t>
  </si>
  <si>
    <t xml:space="preserve">燈光系統</t>
  </si>
  <si>
    <t xml:space="preserve">號誌系統</t>
  </si>
  <si>
    <t xml:space="preserve">下列何種圖說，主要目的是提供土建廠商於施工過程中將機電系統廠商所需預埋套管、預留開口及設備混凝土基座等，套合成圖？</t>
  </si>
  <si>
    <t xml:space="preserve">結構、機電界面整合圖(SEM)主要目的是：</t>
  </si>
  <si>
    <t xml:space="preserve">將工程中，所有機電設備部分，包括水電、空調、消防、舞台燈光音響等各主要設備位置與管理路徑作協調配置</t>
  </si>
  <si>
    <t xml:space="preserve">以建築圖為背景，以CAD套繪空調、排煙、動力、自動控制、電氣、給排水系統、衛生排水、消防系統、電梯等設計資料</t>
  </si>
  <si>
    <t xml:space="preserve">提供土建廠商於施工過程中將機電系統廠商所需預埋套管、預留開口及設備混凝土基座等，套合成圖</t>
  </si>
  <si>
    <t xml:space="preserve">管線佈置之權重，以功能為第一考量、管徑大小為第二考量，因此，權重依序為：</t>
  </si>
  <si>
    <t xml:space="preserve">匯流排槽、電纜架、重力排水之污排水管、空調風管…等</t>
  </si>
  <si>
    <t xml:space="preserve">重力排水之污排水管、空調風管、匯流排槽、電纜架…等</t>
  </si>
  <si>
    <t xml:space="preserve">空調風管、匯流排槽、電纜架、重力排水之污排水管…等</t>
  </si>
  <si>
    <t xml:space="preserve">何種圖樣係為工程計畫中，土建工程為配合機電系統安裝，並於結構安全考量下，彙整納入建築/結構圖中，並提供各分標廠商製作施工大樣圖。</t>
  </si>
  <si>
    <t xml:space="preserve">建築整合界面圖</t>
  </si>
  <si>
    <t xml:space="preserve">結構整合界面圖</t>
  </si>
  <si>
    <t xml:space="preserve">結構、機電整合界面圖</t>
  </si>
  <si>
    <t xml:space="preserve">在整合CSD｢機電整合界面圖｣過程中，必須考慮各系統之優先順序，管線佈置之順序，以何者為第一考量？</t>
  </si>
  <si>
    <t xml:space="preserve">管徑厚薄</t>
  </si>
  <si>
    <t xml:space="preserve">管徑大小</t>
  </si>
  <si>
    <t xml:space="preserve">下列何者非SEM(Structural, Electricaland Mechanical)「結構、機電整合界面圖」，提供土建廠商於施工過程中將機電系統廠商所需？</t>
  </si>
  <si>
    <t xml:space="preserve">顏色設層</t>
  </si>
  <si>
    <t xml:space="preserve">預埋套管</t>
  </si>
  <si>
    <t xml:space="preserve">預留開口</t>
  </si>
  <si>
    <t xml:space="preserve">設備混凝土基座</t>
  </si>
  <si>
    <t xml:space="preserve">對於施工界面整合，SEM的S與E，概略的說各分別代表？</t>
  </si>
  <si>
    <t xml:space="preserve">結構、機電</t>
  </si>
  <si>
    <t xml:space="preserve">建築、水電</t>
  </si>
  <si>
    <t xml:space="preserve">高程、材質</t>
  </si>
  <si>
    <t xml:space="preserve">時間、空間</t>
  </si>
  <si>
    <t xml:space="preserve">在施工界面整合過程，SEM圖製作流程的首要步驟是？</t>
  </si>
  <si>
    <t xml:space="preserve">協調水、電、環控設施，調整路徑高程</t>
  </si>
  <si>
    <t xml:space="preserve">確定CSD圖各系統間衝突點已經初步排除</t>
  </si>
  <si>
    <t xml:space="preserve">以建築圖為背景，套繪空調、排煙、電氣、衛生排水、消防系統、電梯等</t>
  </si>
  <si>
    <t xml:space="preserve">製作圖面，計算數量</t>
  </si>
  <si>
    <t xml:space="preserve">機電整合界面圖-CSD與結構機電整合界面圖-SEM之關係？</t>
  </si>
  <si>
    <t xml:space="preserve">無關係</t>
  </si>
  <si>
    <t xml:space="preserve">先後順序關係</t>
  </si>
  <si>
    <t xml:space="preserve">併行關係</t>
  </si>
  <si>
    <t xml:space="preserve">下列哪一項為工程計畫中，土建工程為配合機電系統安裝，並於結構安全考量下，綜整各關聯廠商所提之意見需求，將其所需之開口、基座、套管、預埋件及管道間等，彙整納入建築/結構圖中，並提供各分標廠商製作施工大樣圖？</t>
  </si>
  <si>
    <t xml:space="preserve">檢討留設於結構體中之管件大小及高程係屬下列何者整合過程？</t>
  </si>
  <si>
    <t xml:space="preserve">在結構、機電界面整合圖樣(SEM)作業流程中，若發現有機電設備或管線與建築結構相碰撞衝突時，其解決之措施係</t>
  </si>
  <si>
    <t xml:space="preserve">協調修改建築設計圖</t>
  </si>
  <si>
    <t xml:space="preserve">協調結構設計修改結構圖</t>
  </si>
  <si>
    <t xml:space="preserve">協調水電、機電設施調整路徑高程</t>
  </si>
  <si>
    <t xml:space="preserve">請主辦機關辦理變更設計</t>
  </si>
  <si>
    <r>
      <rPr>
        <sz val="10"/>
        <rFont val="Arial"/>
        <family val="0"/>
        <charset val="1"/>
      </rPr>
      <t xml:space="preserve">SEM</t>
    </r>
    <r>
      <rPr>
        <sz val="10"/>
        <rFont val="Noto Sans CJK SC"/>
        <family val="2"/>
      </rPr>
      <t xml:space="preserve">圖製作流程包含</t>
    </r>
  </si>
  <si>
    <t xml:space="preserve">依CSD圖套繪於建築/結構圖中確認留設位置</t>
  </si>
  <si>
    <t xml:space="preserve">現場發生界面問題，藉由施工界面協調會將界面衝突予以排除，稱為下列何者？</t>
  </si>
  <si>
    <t xml:space="preserve">施工時依CSD圖及SEM圖所檢討出之相關圖面施工仍有衝突時，可藉由何種機制協調解決，</t>
  </si>
  <si>
    <t xml:space="preserve">施工界面協調會</t>
  </si>
  <si>
    <t xml:space="preserve">施工進度會議</t>
  </si>
  <si>
    <t xml:space="preserve">品管會議</t>
  </si>
  <si>
    <t xml:space="preserve">變更會議</t>
  </si>
  <si>
    <t xml:space="preserve">電梯之昇降道、電梯坑、建築主體結構之界面應於何時整合？</t>
  </si>
  <si>
    <t xml:space="preserve">結構體施工前</t>
  </si>
  <si>
    <t xml:space="preserve">電梯安裝前</t>
  </si>
  <si>
    <t xml:space="preserve">分項計畫撰寫前</t>
  </si>
  <si>
    <t xml:space="preserve">施工管制、電梯</t>
  </si>
  <si>
    <t xml:space="preserve">廚房牆面需開窗且須設置洗滌龍頭，窗台台度高度應予？</t>
  </si>
  <si>
    <t xml:space="preserve">維持原設計</t>
  </si>
  <si>
    <t xml:space="preserve">酌予降低</t>
  </si>
  <si>
    <t xml:space="preserve">酌予提高</t>
  </si>
  <si>
    <t xml:space="preserve">施工界面整合程序，電梯之昇降道以及電梯坑與建築主體結構之界面，宜於何階段加以檢討？</t>
  </si>
  <si>
    <t xml:space="preserve">需求編列前</t>
  </si>
  <si>
    <t xml:space="preserve">裝修工程施工前</t>
  </si>
  <si>
    <t xml:space="preserve">電梯運載前</t>
  </si>
  <si>
    <t xml:space="preserve">電梯工程與結構圖界面檢討程序中，應繪製何種比例尺之剖面及平面套合圖</t>
  </si>
  <si>
    <t xml:space="preserve">五分之一</t>
  </si>
  <si>
    <t xml:space="preserve">十分之一</t>
  </si>
  <si>
    <t xml:space="preserve">二十分之一</t>
  </si>
  <si>
    <t xml:space="preserve">五十分之一</t>
  </si>
  <si>
    <t xml:space="preserve">電梯工程與結構圖界面檢討程序中，應繪製何種比例尺之鋼筋加工圖，檢討現場可施工性？</t>
  </si>
  <si>
    <t xml:space="preserve">施工界面整合，管道間檢討程序，應繪製何種比例尺之管道間以安排管道位置</t>
  </si>
  <si>
    <t xml:space="preserve">施工界面整合，管道間檢討程序，應繪製何種比例尺之管道間詳圖，確認管路安裝可施工性</t>
  </si>
  <si>
    <t xml:space="preserve">施工界面整合，廚房給水管路與開窗界面檢討項，一般建築工程窗台台度約高幾公分？</t>
  </si>
  <si>
    <t xml:space="preserve">90</t>
  </si>
  <si>
    <t xml:space="preserve">110</t>
  </si>
  <si>
    <t xml:space="preserve">施工界面整合，廚房給水管路與開窗界面檢討項，廚房流理台之水龍頭高度約幾公分？</t>
  </si>
  <si>
    <t xml:space="preserve">下列何者非屬施工檢驗之程序？</t>
  </si>
  <si>
    <t xml:space="preserve">施工前說明會</t>
  </si>
  <si>
    <t xml:space="preserve">廠商完成自主檢查後，提出自主檢查成果及進行下一階段施工作業</t>
  </si>
  <si>
    <t xml:space="preserve">監造單位進行品質查證作業</t>
  </si>
  <si>
    <t xml:space="preserve">施工缺失之處理</t>
  </si>
  <si>
    <t xml:space="preserve">在執行施工檢驗作業時，下列敘述何者為對？</t>
  </si>
  <si>
    <t xml:space="preserve">廠商進行檢驗停留點與隨機抽查驗</t>
  </si>
  <si>
    <t xml:space="preserve">廠商必須徹底實行全面自主檢查</t>
  </si>
  <si>
    <t xml:space="preserve">監造單位不須徹底實行全面自主檢查</t>
  </si>
  <si>
    <t xml:space="preserve">根據施工經驗，廠商審慎檢討建築、水電等相關設計圖並未繪製圖樣而導致無法補救之缺失</t>
  </si>
  <si>
    <t xml:space="preserve">基地圖</t>
  </si>
  <si>
    <t xml:space="preserve">施工製造圖</t>
  </si>
  <si>
    <t xml:space="preserve">剖面圖</t>
  </si>
  <si>
    <t xml:space="preserve">在執行施工檢驗作業時，何單位應進行檢驗停留點與隨機抽查驗</t>
  </si>
  <si>
    <t xml:space="preserve">執行施工檢驗，應先完成品質管理標準及何項審定作業</t>
  </si>
  <si>
    <t xml:space="preserve">材料管製表</t>
  </si>
  <si>
    <t xml:space="preserve">不合格品管製表</t>
  </si>
  <si>
    <t xml:space="preserve">計價表</t>
  </si>
  <si>
    <t xml:space="preserve">為確保施工檢驗有效執行，廠商應於檢驗工作開始前，依據各項工作之特性、步驟、規定、規範等擬具哪種文件送監造單位審核？</t>
  </si>
  <si>
    <t xml:space="preserve">自主檢查計畫</t>
  </si>
  <si>
    <t xml:space="preserve">監造計畫書</t>
  </si>
  <si>
    <t xml:space="preserve">施工檢驗計畫</t>
  </si>
  <si>
    <t xml:space="preserve">檢驗資料造冊</t>
  </si>
  <si>
    <t xml:space="preserve">辦理施工檢驗程序，監造單位進行品質查證作業之前，廠商應先完成何種作業？</t>
  </si>
  <si>
    <t xml:space="preserve">進行施工檢驗與估驗計價</t>
  </si>
  <si>
    <t xml:space="preserve">請監造單位視情況進行品質查證作業</t>
  </si>
  <si>
    <t xml:space="preserve">進行檢驗停留點與不定期抽查驗</t>
  </si>
  <si>
    <t xml:space="preserve">完成自主檢查後，提出自主檢查成果</t>
  </si>
  <si>
    <t xml:space="preserve">承包商在完成自主檢查並紀錄於檢查表中後，何時要提出工程檢驗申請單交監造單位進行品質查證作業</t>
  </si>
  <si>
    <t xml:space="preserve">自檢表有確實填實並簽名即可</t>
  </si>
  <si>
    <t xml:space="preserve">若有缺失應進行改善，並將改善之前、中、後照片備查後</t>
  </si>
  <si>
    <t xml:space="preserve">工程檢驗申請單簽名蓋章即可交監造單位查證</t>
  </si>
  <si>
    <t xml:space="preserve">有缺失無需改善，俟監造單位查證後，再一併改善即可</t>
  </si>
  <si>
    <t xml:space="preserve">屬檢驗停留點之項目，工地負責人書面認可之後須經何作業程序才可進行次項工作？</t>
  </si>
  <si>
    <t xml:space="preserve">廠商負責人指示</t>
  </si>
  <si>
    <t xml:space="preserve">品管人員內部稽核</t>
  </si>
  <si>
    <t xml:space="preserve">向監造單位申請檢驗合格後</t>
  </si>
  <si>
    <t xml:space="preserve">機關備查</t>
  </si>
  <si>
    <t xml:space="preserve">施工成果缺失係指？</t>
  </si>
  <si>
    <t xml:space="preserve">符合設計圖說</t>
  </si>
  <si>
    <t xml:space="preserve">符合規範</t>
  </si>
  <si>
    <t xml:space="preserve">違背契約約定</t>
  </si>
  <si>
    <t xml:space="preserve">未依公司負責人指示</t>
  </si>
  <si>
    <t xml:space="preserve">下列哪一製程或施工成果不視為品質缺失項目？</t>
  </si>
  <si>
    <t xml:space="preserve">不符合設計圖說</t>
  </si>
  <si>
    <t xml:space="preserve">不符合規範</t>
  </si>
  <si>
    <t xml:space="preserve">不符合契約規定</t>
  </si>
  <si>
    <t xml:space="preserve">不符合時宜</t>
  </si>
  <si>
    <t xml:space="preserve">廠商進行自主檢查過程中，屬檢驗停留點之項目，應向哪個單位申請檢驗合格後才可進行次項工作？</t>
  </si>
  <si>
    <t xml:space="preserve">品管單位</t>
  </si>
  <si>
    <t xml:space="preserve">施工檢驗程序，廠商自主檢查表，應由何人檢查簽名並經工地負責人書面認可</t>
  </si>
  <si>
    <t xml:space="preserve">材料商</t>
  </si>
  <si>
    <t xml:space="preserve">監造單位派駐人員</t>
  </si>
  <si>
    <t xml:space="preserve">施工檢驗程序，對不符合設計圖說、規範或契約規定之製程或施工成果均視為缺失，如該項缺失經改善須進一步證實者，得由何人申請複驗？</t>
  </si>
  <si>
    <t xml:space="preserve">在材料或設備經監造或機關核定後進入工地時，依品管規定在何時，承商即可辦理估驗付款？</t>
  </si>
  <si>
    <t xml:space="preserve">主要進場經盤點廠牌、材質和數量，拍照存證即可</t>
  </si>
  <si>
    <t xml:space="preserve">先經承商自主檢查合格並檢具檢查或成果資料時</t>
  </si>
  <si>
    <t xml:space="preserve">需經監造單位配合查證作業符合規範或審查要求合格後</t>
  </si>
  <si>
    <t xml:space="preserve">契約主文有明定可先請領部份款，因此尚不需經查驗即可，以符契約規定</t>
  </si>
  <si>
    <t xml:space="preserve">下列何者不屬於施工品質管理標準所涵蓋的項目？</t>
  </si>
  <si>
    <t xml:space="preserve">監造單位權責劃分</t>
  </si>
  <si>
    <t xml:space="preserve">工作流程之檢查項目</t>
  </si>
  <si>
    <t xml:space="preserve">工作流程之檢查標準</t>
  </si>
  <si>
    <t xml:space="preserve">不合標準之處置</t>
  </si>
  <si>
    <t xml:space="preserve">下列何者不屬於施工品質管理標準之標準值設定應依據的文件？</t>
  </si>
  <si>
    <t xml:space="preserve">機關首長開工典禮致詞</t>
  </si>
  <si>
    <t xml:space="preserve">甲乙雙方協定數據</t>
  </si>
  <si>
    <t xml:space="preserve">為避免造成無謂之困擾，施工品質管理標準應？</t>
  </si>
  <si>
    <t xml:space="preserve">事先徵詢施工作業領班的同意</t>
  </si>
  <si>
    <t xml:space="preserve">每一項必須指定可量測的精密工具</t>
  </si>
  <si>
    <t xml:space="preserve">可以量化者應盡量量化，無法量化者亦應達可檢核之功效</t>
  </si>
  <si>
    <t xml:space="preserve">每一項必須事先製作視覺模型或樣品</t>
  </si>
  <si>
    <t xml:space="preserve">在施工執行檢驗過程或工程竣工驗收時，遇有對品質標準在契約，法令和施工規範中均查無標準值或規定時，應如何執行檢核功效？</t>
  </si>
  <si>
    <t xml:space="preserve">由承商自提標準</t>
  </si>
  <si>
    <t xml:space="preserve">由監造單位自行決定</t>
  </si>
  <si>
    <t xml:space="preserve">無相關規定以甲乙雙方協定數據為之</t>
  </si>
  <si>
    <t xml:space="preserve">施工管制、契約管理、驗收</t>
  </si>
  <si>
    <t xml:space="preserve">品質管理之標準值之設定，若無相關規定，可採何方式解決？</t>
  </si>
  <si>
    <t xml:space="preserve">調解</t>
  </si>
  <si>
    <t xml:space="preserve">仲裁</t>
  </si>
  <si>
    <t xml:space="preserve">契約雙方協定數據為之</t>
  </si>
  <si>
    <t xml:space="preserve">一般品質管理標準值之設定，下列敘述何者為非</t>
  </si>
  <si>
    <t xml:space="preserve">依契約條款</t>
  </si>
  <si>
    <t xml:space="preserve">依各縣市營建相關自治法規</t>
  </si>
  <si>
    <t xml:space="preserve">依土木水利學會制定之混凝土工程施工規範</t>
  </si>
  <si>
    <t xml:space="preserve">若無相關規定亦不得以甲乙雙方協定數據為之</t>
  </si>
  <si>
    <t xml:space="preserve">下列對監造單位之敘述何者為非？</t>
  </si>
  <si>
    <t xml:space="preserve">除針對檢驗停留點檢查外，亦須不定期抽查驗</t>
  </si>
  <si>
    <t xml:space="preserve">監造計畫書內之檢驗停留點位置，應標示明確，抽查驗細項應條列</t>
  </si>
  <si>
    <t xml:space="preserve">抽查驗品質管理標準應與承商一致</t>
  </si>
  <si>
    <t xml:space="preserve">抽查驗標準值應量化不得定性化</t>
  </si>
  <si>
    <t xml:space="preserve">施工品質管理標準之主要依據不包含下列哪一項：</t>
  </si>
  <si>
    <t xml:space="preserve">契約規定</t>
  </si>
  <si>
    <t xml:space="preserve">法令規定</t>
  </si>
  <si>
    <t xml:space="preserve">監造要求</t>
  </si>
  <si>
    <t xml:space="preserve">施工規範規定</t>
  </si>
  <si>
    <t xml:space="preserve">訂定施工品質管理標準之依據為何？</t>
  </si>
  <si>
    <t xml:space="preserve">契約相關規定</t>
  </si>
  <si>
    <t xml:space="preserve">施工品質管理標準之依據：</t>
  </si>
  <si>
    <t xml:space="preserve">具公信力之團體制定之規範，如土木水利學會制定之混凝土工程施工規範等</t>
  </si>
  <si>
    <t xml:space="preserve">品質管理標準表內可不包含下列何項</t>
  </si>
  <si>
    <t xml:space="preserve">品質金額</t>
  </si>
  <si>
    <t xml:space="preserve">下列何項不是施工品質管理標準之依據</t>
  </si>
  <si>
    <t xml:space="preserve">現場施工人員說法</t>
  </si>
  <si>
    <t xml:space="preserve">工程決標後，得標之施工廠商為解除施工管制，應建立各項施工計畫和品質計畫供審查，其製作計畫資料之內容主要是依據下列何者？</t>
  </si>
  <si>
    <t xml:space="preserve">相關法規</t>
  </si>
  <si>
    <t xml:space="preserve">砌紅磚之開口上方處僅能放置楣梁不得以平拱或尖拱(弧拱)方式施工</t>
  </si>
  <si>
    <t xml:space="preserve">管理標準可以量化者應盡量量化，無法量化者亦應定性化</t>
  </si>
  <si>
    <t xml:space="preserve">屋頂泛水與女兒牆混凝土可以施工縫方式分次澆築</t>
  </si>
  <si>
    <t xml:space="preserve">屋頂防水泛水立面與屋頂版交接處只需以直角方式處理</t>
  </si>
  <si>
    <t xml:space="preserve">以砌紅磚工程檢驗為例，每天砌築高度以多少公尺為度、每皮交丁？</t>
  </si>
  <si>
    <t xml:space="preserve">1.0m</t>
  </si>
  <si>
    <t xml:space="preserve">1.2m</t>
  </si>
  <si>
    <t xml:space="preserve">1.5m</t>
  </si>
  <si>
    <t xml:space="preserve">2.0m</t>
  </si>
  <si>
    <t xml:space="preserve">下列何者非屬鋁門窗工程之檢驗項目</t>
  </si>
  <si>
    <t xml:space="preserve">風壓等級</t>
  </si>
  <si>
    <t xml:space="preserve">破壞模數</t>
  </si>
  <si>
    <t xml:space="preserve">皮膜厚度</t>
  </si>
  <si>
    <t xml:space="preserve">塞水路之填縫劑</t>
  </si>
  <si>
    <t xml:space="preserve">下列何者非屬石材之檢驗項目？</t>
  </si>
  <si>
    <t xml:space="preserve">密度</t>
  </si>
  <si>
    <t xml:space="preserve">吸水率</t>
  </si>
  <si>
    <t xml:space="preserve">翹曲率</t>
  </si>
  <si>
    <t xml:space="preserve">抗壓強度</t>
  </si>
  <si>
    <t xml:space="preserve">工程現場人員為確保品質落實至實際現場，應根據何者訂定施工自主檢查表？</t>
  </si>
  <si>
    <t xml:space="preserve">每次檢查區位之估驗範圍</t>
  </si>
  <si>
    <t xml:space="preserve">實際檢查結果紀錄</t>
  </si>
  <si>
    <t xml:space="preserve">監造及承商於現場實施抽查驗結論</t>
  </si>
  <si>
    <t xml:space="preserve">施工品質管理標準表</t>
  </si>
  <si>
    <t xml:space="preserve">施工過程中品質是否有缺失，必須由檢查並與管理標準值對照是否合格才算數，因此自主檢查的存在至屬重要，請問紀錄該表中之檢查值是由何人執行紀錄</t>
  </si>
  <si>
    <t xml:space="preserve">品管工程師</t>
  </si>
  <si>
    <t xml:space="preserve">廠商自主檢查表之檢查標準及檢查結果欄位應填列？</t>
  </si>
  <si>
    <t xml:space="preserve">設計圖圖號</t>
  </si>
  <si>
    <t xml:space="preserve">契約條款條號</t>
  </si>
  <si>
    <t xml:space="preserve">設計標準與檢查結果之量化數據</t>
  </si>
  <si>
    <t xml:space="preserve">定性化文字例如符合、OK等</t>
  </si>
  <si>
    <t xml:space="preserve">工程現場人員為確保品質，落實至實際現場之最主要表單為何？</t>
  </si>
  <si>
    <t xml:space="preserve">施工自主檢查表</t>
  </si>
  <si>
    <t xml:space="preserve">局部工程暫時移交供後續施工移交單</t>
  </si>
  <si>
    <t xml:space="preserve">分項施工計畫書預定送審進度表</t>
  </si>
  <si>
    <t xml:space="preserve">設計界面一覽表</t>
  </si>
  <si>
    <t xml:space="preserve">下列對自主檢查表之敘述何者為非？</t>
  </si>
  <si>
    <t xml:space="preserve">標明工程作業過程的重點及最可能產生問題的地方</t>
  </si>
  <si>
    <t xml:space="preserve">檢查標準明確易懂，判別容易，表格化、紀錄容易</t>
  </si>
  <si>
    <t xml:space="preserve">僅能由監工人員按表逐項進行檢查，施工作業領班不能執行檢查工作</t>
  </si>
  <si>
    <t xml:space="preserve">標準值依據契約規範國家標準或公認之規範行規數據</t>
  </si>
  <si>
    <t xml:space="preserve">按三級品管制度，廠商執行施工檢驗作業全面自主檢查，屬下列何者？</t>
  </si>
  <si>
    <t xml:space="preserve">三級品管</t>
  </si>
  <si>
    <t xml:space="preserve">二級品管</t>
  </si>
  <si>
    <t xml:space="preserve">一級品管</t>
  </si>
  <si>
    <t xml:space="preserve">施工期間，監造單位進行檢驗停留點與隨機抽查驗，屬下列何者？</t>
  </si>
  <si>
    <t xml:space="preserve">監造單位除隨機抽查驗或針對檢驗停留點檢查，其抽查驗品質管理標準應與承商自主檢查</t>
  </si>
  <si>
    <t xml:space="preserve">一致</t>
  </si>
  <si>
    <t xml:space="preserve">稍有差異無妨</t>
  </si>
  <si>
    <t xml:space="preserve">監造單位除隨機抽查驗或針對檢驗停留點檢查，其抽查驗品質管理標準應與下列何者一致？</t>
  </si>
  <si>
    <t xml:space="preserve">施工承商</t>
  </si>
  <si>
    <t xml:space="preserve">上級機關</t>
  </si>
  <si>
    <t xml:space="preserve">督導單位</t>
  </si>
  <si>
    <t xml:space="preserve">施工自主檢查表使用方法，檢查後必須</t>
  </si>
  <si>
    <t xml:space="preserve">由檢查人員簽字</t>
  </si>
  <si>
    <t xml:space="preserve">由檢查人員蓋章</t>
  </si>
  <si>
    <t xml:space="preserve">由施工作業領班簽名</t>
  </si>
  <si>
    <t xml:space="preserve">由監造工程師蓋章</t>
  </si>
  <si>
    <t xml:space="preserve">施工缺失改善就三級品管機制相對比較而言，最具時間成本效益者，應為下列何者？</t>
  </si>
  <si>
    <t xml:space="preserve">監造抽查驗</t>
  </si>
  <si>
    <t xml:space="preserve">機關督導</t>
  </si>
  <si>
    <t xml:space="preserve">當原訂之管理標準經監造及承商於現場實施抽查驗與自主檢查後，經統計分析或品質稽核發現無法達成預期成果時，下列何者不是正確的做法？</t>
  </si>
  <si>
    <t xml:space="preserve">現場進行缺失改善</t>
  </si>
  <si>
    <t xml:space="preserve">執行矯正預防</t>
  </si>
  <si>
    <t xml:space="preserve">直接修訂原訂之計畫或標準，以符合工程實需</t>
  </si>
  <si>
    <t xml:space="preserve">修訂後之標準於實施前，應對相關員工做教育訓練</t>
  </si>
  <si>
    <t xml:space="preserve">施工管制、監造、品質稽核</t>
  </si>
  <si>
    <t xml:space="preserve">自主檢查表應具備的條件包含：</t>
  </si>
  <si>
    <t xml:space="preserve">檢查標準明確易懂，判別容易；</t>
  </si>
  <si>
    <t xml:space="preserve">檢查之順序步驟依序編排；</t>
  </si>
  <si>
    <t xml:space="preserve">合乎工地實用，表格化、紀錄容易；</t>
  </si>
  <si>
    <t xml:space="preserve">當原訂管理標準於現場實施抽查驗與自主檢查後，經統計分析或品質稽核發現無法達成預期成果時：</t>
  </si>
  <si>
    <t xml:space="preserve">須由現場進行缺失改善</t>
  </si>
  <si>
    <t xml:space="preserve">須由現場進行矯正預防</t>
  </si>
  <si>
    <t xml:space="preserve">須將方法、經驗知識化，回饋給公司、監造、設計單位</t>
  </si>
  <si>
    <t xml:space="preserve">施工管制、品質稽核</t>
  </si>
  <si>
    <t xml:space="preserve">品管制度品質循環(PDCA)包括下列何項？</t>
  </si>
  <si>
    <t xml:space="preserve">缺失改善矯正預防</t>
  </si>
  <si>
    <t xml:space="preserve">管理稽核統計分析</t>
  </si>
  <si>
    <t xml:space="preserve">經驗傳承業界分享</t>
  </si>
  <si>
    <t xml:space="preserve">施工自主檢查表至少必須具備何種條件？</t>
  </si>
  <si>
    <t xml:space="preserve">檢查標準明確易懂，判別容易</t>
  </si>
  <si>
    <t xml:space="preserve">合乎工地實用，表格化、紀錄容易</t>
  </si>
  <si>
    <t xml:space="preserve">儲存檢查紀錄，容易查證</t>
  </si>
  <si>
    <t xml:space="preserve">自主檢查表應具備條件為：</t>
  </si>
  <si>
    <t xml:space="preserve">檢查項目依步驟之順序序編排</t>
  </si>
  <si>
    <t xml:space="preserve">當原訂之管理標準經監造及承商於現場實施抽查驗與自主檢查後，經統計分析或品質稽核發現無法達成預期成果時，則應：</t>
  </si>
  <si>
    <t xml:space="preserve">由現場進行缺失改善或矯正預防</t>
  </si>
  <si>
    <t xml:space="preserve">檢討是否調整、修定原訂之計畫或標準，以符合工程實需</t>
  </si>
  <si>
    <t xml:space="preserve">廠商施工自主檢查表之檢查項目與檢查標準應依照何者訂定？</t>
  </si>
  <si>
    <t xml:space="preserve">監造單位之施工抽查紀錄表</t>
  </si>
  <si>
    <t xml:space="preserve">設計圖說與規範內容</t>
  </si>
  <si>
    <t xml:space="preserve">自主檢查表的使用方法，下列那一項是錯誤的？</t>
  </si>
  <si>
    <t xml:space="preserve">逐項檢查並紀錄</t>
  </si>
  <si>
    <t xml:space="preserve">品管人員簽字，並註明檢查日期代表區位</t>
  </si>
  <si>
    <t xml:space="preserve">編排分類號碼、次數、頁數等</t>
  </si>
  <si>
    <t xml:space="preserve">應註明該次檢查區位或範圍，作為估驗依據</t>
  </si>
  <si>
    <t xml:space="preserve">廠商自主檢查表(WIS)應由誰簽名認可？</t>
  </si>
  <si>
    <t xml:space="preserve">廠商負責人</t>
  </si>
  <si>
    <t xml:space="preserve">工地主任(工地負責人)</t>
  </si>
  <si>
    <t xml:space="preserve">下列何者不是自主檢查表正確之使用方法？</t>
  </si>
  <si>
    <t xml:space="preserve">表所列項目，逐項檢查並紀錄，如使無須該項目，直接劃掉無須註明</t>
  </si>
  <si>
    <t xml:space="preserve">編排分類號碼、次數、頁數</t>
  </si>
  <si>
    <t xml:space="preserve">檢查人員簽字，並註明檢查日期、代表區位</t>
  </si>
  <si>
    <t xml:space="preserve">自主檢查之執行，下列何者為對？</t>
  </si>
  <si>
    <t xml:space="preserve">監造單位應當場簽章</t>
  </si>
  <si>
    <t xml:space="preserve">檢查者因趕時間得於事後補蓋章</t>
  </si>
  <si>
    <t xml:space="preserve">應記錄實際檢查情形：將檢查結果詳實紀錄，再將檢查結果以”○”或”X”等方式填記，以便追蹤管理</t>
  </si>
  <si>
    <t xml:space="preserve">施工品質缺失處理作業程序裡，自主檢查過程所發現何種缺失才需由檢查人員在自主檢查表予以紀錄存檔？</t>
  </si>
  <si>
    <t xml:space="preserve">重大品質缺失</t>
  </si>
  <si>
    <t xml:space="preserve">任何品質缺失</t>
  </si>
  <si>
    <t xml:space="preserve">無法立即改善的缺失</t>
  </si>
  <si>
    <t xml:space="preserve">已被監造工程師發現之缺失</t>
  </si>
  <si>
    <t xml:space="preserve">施工品質缺失處理作業程序裡，對於無法立即改善或重大缺失，檢查人員應將缺失及改善情形登錄於何處？</t>
  </si>
  <si>
    <t xml:space="preserve">不合格報告及改善通知單</t>
  </si>
  <si>
    <t xml:space="preserve">矯正措施報告表</t>
  </si>
  <si>
    <t xml:space="preserve">不合格品管制總表</t>
  </si>
  <si>
    <t xml:space="preserve">自主檢查表複查欄</t>
  </si>
  <si>
    <t xml:space="preserve">對於品質缺失之矯正行動，何種情形才可簽註結案？</t>
  </si>
  <si>
    <t xml:space="preserve">經統計分析或品質稽核發現紀錄完整並存檔時</t>
  </si>
  <si>
    <t xml:space="preserve">將方法、經驗知識化，回饋給公司、監造、設計單位</t>
  </si>
  <si>
    <t xml:space="preserve">對相關員工做教育訓練完成</t>
  </si>
  <si>
    <t xml:space="preserve">經品管人員確認成效，證實執行完成後</t>
  </si>
  <si>
    <t xml:space="preserve">在公共工程施工品質管理作業要點中，明示執行內部品質稽核工作的人員是何者？</t>
  </si>
  <si>
    <t xml:space="preserve">施工過程中不管機關、監造單位或承商之任何品質管理之活動，均有可能發現工程實質或文件紀錄之缺失，各單位之改善、預防等做法是</t>
  </si>
  <si>
    <t xml:space="preserve">書面通知</t>
  </si>
  <si>
    <t xml:space="preserve">開會討論</t>
  </si>
  <si>
    <t xml:space="preserve">快速反應告之，以收時效</t>
  </si>
  <si>
    <t xml:space="preserve">拍照，錄影存證</t>
  </si>
  <si>
    <t xml:space="preserve">品管人員工作重點，下列敘述何者為非？</t>
  </si>
  <si>
    <t xml:space="preserve">自主檢查過程所發現之任何品質缺失，無法立即改善或重大缺失，應做何處置？</t>
  </si>
  <si>
    <t xml:space="preserve">簽發不合格報告及改善通知單</t>
  </si>
  <si>
    <t xml:space="preserve">申請查驗</t>
  </si>
  <si>
    <t xml:space="preserve">申請估驗</t>
  </si>
  <si>
    <t xml:space="preserve">向廠商負責人請示</t>
  </si>
  <si>
    <t xml:space="preserve">下列施工品質缺失之處理作業程序何者為非？</t>
  </si>
  <si>
    <t xml:space="preserve">自主檢查過程所發現之任何品質缺失，均應由檢查人員在自主檢查表予以紀錄存檔</t>
  </si>
  <si>
    <t xml:space="preserve">無法立即改善或重大缺失，應簽發不合格報告及改善通知單，通知改善人員辦理改善及通知品管人員辦理矯正措施</t>
  </si>
  <si>
    <t xml:space="preserve">執行矯正行動過程檢查人員應觀察評估矯正措施執行成效</t>
  </si>
  <si>
    <t xml:space="preserve">執行矯正單位須將結案之資料建檔保存</t>
  </si>
  <si>
    <t xml:space="preserve">當遇到無法立即改善的缺失時，檢查人員應負責追蹤改善情形，當中追蹤管制之期限為：</t>
  </si>
  <si>
    <t xml:space="preserve">直至合格為止；</t>
  </si>
  <si>
    <t xml:space="preserve">再次改善後；</t>
  </si>
  <si>
    <t xml:space="preserve">整體施工計畫完成後；</t>
  </si>
  <si>
    <t xml:space="preserve">分項施工計畫完成後</t>
  </si>
  <si>
    <t xml:space="preserve">自主檢查過程發現之任何品質缺失，均應由下列何種人員在自主檢查表內紀錄存檔：</t>
  </si>
  <si>
    <t xml:space="preserve">檢查人員</t>
  </si>
  <si>
    <t xml:space="preserve">施工過程中，均有可能發現實質或文件紀錄之缺失，下列何者應建立書面之通知？</t>
  </si>
  <si>
    <t xml:space="preserve">自主檢查過程所發現之任何品質缺失，其處理作業為：</t>
  </si>
  <si>
    <t xml:space="preserve">均應由檢查人員在自主檢查表予以紀錄存檔</t>
  </si>
  <si>
    <t xml:space="preserve">可立即改善之缺失，應於自主檢查表複查欄位，紀錄複驗合格時間</t>
  </si>
  <si>
    <t xml:space="preserve">無法立即改善或重大缺失，應簽發不合格報告及改善通知單通知改善人員辦理改善</t>
  </si>
  <si>
    <t xml:space="preserve">自主檢查過程所發現之任何品質缺失，均應由檢查人員在自主檢查表予以紀錄存檔，可立即改善之缺失，應於自主檢查表複查欄位，紀錄複驗</t>
  </si>
  <si>
    <t xml:space="preserve">所需次數</t>
  </si>
  <si>
    <t xml:space="preserve">所需時間</t>
  </si>
  <si>
    <t xml:space="preserve">檢查時間</t>
  </si>
  <si>
    <t xml:space="preserve">合格時間</t>
  </si>
  <si>
    <t xml:space="preserve">在工程品質缺失處理流程中，對於重大缺失由監造單位填具「品質矯正通知」交承商調查改善，並要求將矯正行動簽註在「答覆」欄內；惟監造單位對「答覆」不同意時，得在「評估」欄簽註不能接受之理由，惟若雙方仍有歧見時，該由誰做核定</t>
  </si>
  <si>
    <t xml:space="preserve">監造主任</t>
  </si>
  <si>
    <t xml:space="preserve">執行矯正單位之結案資料：</t>
  </si>
  <si>
    <t xml:space="preserve">須函送甲方主管；</t>
  </si>
  <si>
    <t xml:space="preserve">須函送乙方主管；</t>
  </si>
  <si>
    <t xml:space="preserve">建檔保存；</t>
  </si>
  <si>
    <t xml:space="preserve">計畫之目的就是將契約規範及相關規定依要領之｢想｣、｢寫｣成品質管理標準及作業程序、隨以抽查驗及自主檢查之｢作｣為落實</t>
  </si>
  <si>
    <t xml:space="preserve">依據公共工程施工品質管理作業要點規定，公告金額以上之公共工程，施工單位須先建立施工及品質計畫，監造單位依施工單位之施工及品質計畫建立監造計畫</t>
  </si>
  <si>
    <t xml:space="preserve">承商可以相關之工作說明或檢討會議，明確傳達品質政策、目標與確實執行各分項之計畫</t>
  </si>
  <si>
    <t xml:space="preserve">對於新工法、新材料、新技術或其他重要工項，必要時以工法說明或試作方式，使管理標準趨於一致性</t>
  </si>
  <si>
    <t xml:space="preserve">下列哪些因素是增加營建工程缺失及失敗成本的原因：</t>
  </si>
  <si>
    <t xml:space="preserve">營造環境條件差；</t>
  </si>
  <si>
    <t xml:space="preserve">營造期程長；</t>
  </si>
  <si>
    <t xml:space="preserve">營造介面多元且複雜；</t>
  </si>
  <si>
    <t xml:space="preserve">層別法，</t>
  </si>
  <si>
    <t xml:space="preserve">散佈圖，</t>
  </si>
  <si>
    <t xml:space="preserve">查核表，</t>
  </si>
  <si>
    <t xml:space="preserve">一個問題的特性(現象)，肯定是受到一些要因(主要因素)之影響，經過耙梳歸納這些要因，整理成具有層次且相互關聯的圖形稱為？</t>
  </si>
  <si>
    <t xml:space="preserve">層次圖，</t>
  </si>
  <si>
    <t xml:space="preserve">關聯圖，</t>
  </si>
  <si>
    <t xml:space="preserve">歸納圖，</t>
  </si>
  <si>
    <t xml:space="preserve">將一組工程現場查驗所蒐集的數據、特性值或結果值加以整理，用一定的範圍在橫坐標軸上區分為幾個相等的區間，再將查驗數值出現於各區間內的次數於縱坐標軸上累積起來的面積，以柱狀表現的圖形稱為？</t>
  </si>
  <si>
    <t xml:space="preserve">折線圖，</t>
  </si>
  <si>
    <t xml:space="preserve">雷達圖，</t>
  </si>
  <si>
    <t xml:space="preserve">直方圖，</t>
  </si>
  <si>
    <t xml:space="preserve">將可能互有關聯的兩組對應數據，以縱橫坐標位置呈現出來，橫坐標軸表示要因，縱坐標軸為結果，這些數據所呈現的點布狀態，依據分布的型態，可判讀對應數據間的相關程度，此圖形稱之為？</t>
  </si>
  <si>
    <t xml:space="preserve">對數圖，</t>
  </si>
  <si>
    <t xml:space="preserve">將群體資料分層，依某種特徵或規則劃分為不同的層，將品質特性均一的資料放在一起成為一層，使層內的差異小，而各層間的差異大，以便進行分析者稱之為？</t>
  </si>
  <si>
    <r>
      <rPr>
        <sz val="10"/>
        <rFont val="Arial"/>
        <family val="0"/>
        <charset val="1"/>
      </rPr>
      <t xml:space="preserve">QC</t>
    </r>
    <r>
      <rPr>
        <sz val="10"/>
        <rFont val="Noto Sans CJK SC"/>
        <family val="2"/>
      </rPr>
      <t xml:space="preserve">與</t>
    </r>
    <r>
      <rPr>
        <sz val="10"/>
        <rFont val="Arial"/>
        <family val="0"/>
        <charset val="1"/>
      </rPr>
      <t xml:space="preserve">NC</t>
    </r>
    <r>
      <rPr>
        <sz val="10"/>
        <rFont val="Noto Sans CJK SC"/>
        <family val="2"/>
      </rPr>
      <t xml:space="preserve">七大手法分別著重在何種數據資料的應用？</t>
    </r>
  </si>
  <si>
    <r>
      <rPr>
        <sz val="10"/>
        <rFont val="Arial"/>
        <family val="0"/>
        <charset val="1"/>
      </rPr>
      <t xml:space="preserve">QC</t>
    </r>
    <r>
      <rPr>
        <sz val="10"/>
        <rFont val="Noto Sans CJK SC"/>
        <family val="2"/>
      </rPr>
      <t xml:space="preserve">定量、</t>
    </r>
    <r>
      <rPr>
        <sz val="10"/>
        <rFont val="Arial"/>
        <family val="0"/>
        <charset val="1"/>
      </rPr>
      <t xml:space="preserve">NC</t>
    </r>
    <r>
      <rPr>
        <sz val="10"/>
        <rFont val="Noto Sans CJK SC"/>
        <family val="2"/>
      </rPr>
      <t xml:space="preserve">定量</t>
    </r>
  </si>
  <si>
    <r>
      <rPr>
        <sz val="10"/>
        <rFont val="Arial"/>
        <family val="0"/>
        <charset val="1"/>
      </rPr>
      <t xml:space="preserve">QC</t>
    </r>
    <r>
      <rPr>
        <sz val="10"/>
        <rFont val="Noto Sans CJK SC"/>
        <family val="2"/>
      </rPr>
      <t xml:space="preserve">定性、</t>
    </r>
    <r>
      <rPr>
        <sz val="10"/>
        <rFont val="Arial"/>
        <family val="0"/>
        <charset val="1"/>
      </rPr>
      <t xml:space="preserve">NC</t>
    </r>
    <r>
      <rPr>
        <sz val="10"/>
        <rFont val="Noto Sans CJK SC"/>
        <family val="2"/>
      </rPr>
      <t xml:space="preserve">定量</t>
    </r>
  </si>
  <si>
    <r>
      <rPr>
        <sz val="10"/>
        <rFont val="Arial"/>
        <family val="0"/>
        <charset val="1"/>
      </rPr>
      <t xml:space="preserve">QC</t>
    </r>
    <r>
      <rPr>
        <sz val="10"/>
        <rFont val="Noto Sans CJK SC"/>
        <family val="2"/>
      </rPr>
      <t xml:space="preserve">定性、</t>
    </r>
    <r>
      <rPr>
        <sz val="10"/>
        <rFont val="Arial"/>
        <family val="0"/>
        <charset val="1"/>
      </rPr>
      <t xml:space="preserve">NC</t>
    </r>
    <r>
      <rPr>
        <sz val="10"/>
        <rFont val="Noto Sans CJK SC"/>
        <family val="2"/>
      </rPr>
      <t xml:space="preserve">定性</t>
    </r>
  </si>
  <si>
    <r>
      <rPr>
        <sz val="10"/>
        <rFont val="Arial"/>
        <family val="0"/>
        <charset val="1"/>
      </rPr>
      <t xml:space="preserve">QC</t>
    </r>
    <r>
      <rPr>
        <sz val="10"/>
        <rFont val="Noto Sans CJK SC"/>
        <family val="2"/>
      </rPr>
      <t xml:space="preserve">定量、</t>
    </r>
    <r>
      <rPr>
        <sz val="10"/>
        <rFont val="Arial"/>
        <family val="0"/>
        <charset val="1"/>
      </rPr>
      <t xml:space="preserve">NC</t>
    </r>
    <r>
      <rPr>
        <sz val="10"/>
        <rFont val="Noto Sans CJK SC"/>
        <family val="2"/>
      </rPr>
      <t xml:space="preserve">定性</t>
    </r>
  </si>
  <si>
    <t xml:space="preserve">關聯圖工具手法是在管理循環的哪個階段？</t>
  </si>
  <si>
    <r>
      <rPr>
        <sz val="10"/>
        <rFont val="Arial"/>
        <family val="0"/>
        <charset val="1"/>
      </rPr>
      <t xml:space="preserve">Action</t>
    </r>
    <r>
      <rPr>
        <sz val="10"/>
        <rFont val="Noto Sans CJK SC"/>
        <family val="2"/>
      </rPr>
      <t xml:space="preserve">，</t>
    </r>
  </si>
  <si>
    <r>
      <rPr>
        <sz val="10"/>
        <rFont val="Arial"/>
        <family val="0"/>
        <charset val="1"/>
      </rPr>
      <t xml:space="preserve">Plan</t>
    </r>
    <r>
      <rPr>
        <sz val="10"/>
        <rFont val="Noto Sans CJK SC"/>
        <family val="2"/>
      </rPr>
      <t xml:space="preserve">，</t>
    </r>
  </si>
  <si>
    <r>
      <rPr>
        <sz val="10"/>
        <rFont val="Arial"/>
        <family val="0"/>
        <charset val="1"/>
      </rPr>
      <t xml:space="preserve">Check</t>
    </r>
    <r>
      <rPr>
        <sz val="10"/>
        <rFont val="Noto Sans CJK SC"/>
        <family val="2"/>
      </rPr>
      <t xml:space="preserve">，</t>
    </r>
  </si>
  <si>
    <t xml:space="preserve">將工作計畫之各作業項目及其時程，根據各項作業間從屬先後或同步併行關係，以節點表示作業項目，結點間再以箭線串連所繪出之網狀圖稱之為？</t>
  </si>
  <si>
    <t xml:space="preserve">節點圖</t>
  </si>
  <si>
    <t xml:space="preserve">箭線圖法可找出要徑，進行進度管控，請問要徑浮時為？</t>
  </si>
  <si>
    <r>
      <rPr>
        <sz val="10"/>
        <rFont val="Arial"/>
        <family val="0"/>
        <charset val="1"/>
      </rPr>
      <t xml:space="preserve">3~5</t>
    </r>
    <r>
      <rPr>
        <sz val="10"/>
        <rFont val="Noto Sans CJK SC"/>
        <family val="2"/>
      </rPr>
      <t xml:space="preserve">天</t>
    </r>
  </si>
  <si>
    <r>
      <rPr>
        <sz val="10"/>
        <rFont val="Arial"/>
        <family val="0"/>
        <charset val="1"/>
      </rPr>
      <t xml:space="preserve">2~3</t>
    </r>
    <r>
      <rPr>
        <sz val="10"/>
        <rFont val="Noto Sans CJK SC"/>
        <family val="2"/>
      </rPr>
      <t xml:space="preserve">週</t>
    </r>
  </si>
  <si>
    <t xml:space="preserve">時程無餘裕</t>
  </si>
  <si>
    <r>
      <rPr>
        <sz val="10"/>
        <rFont val="Arial"/>
        <family val="0"/>
        <charset val="1"/>
      </rPr>
      <t xml:space="preserve">1~2</t>
    </r>
    <r>
      <rPr>
        <sz val="10"/>
        <rFont val="Noto Sans CJK SC"/>
        <family val="2"/>
      </rPr>
      <t xml:space="preserve">月</t>
    </r>
  </si>
  <si>
    <t xml:space="preserve">標準作業程序，</t>
  </si>
  <si>
    <t xml:space="preserve">箭線圖，</t>
  </si>
  <si>
    <r>
      <rPr>
        <sz val="10"/>
        <rFont val="Arial"/>
        <family val="0"/>
        <charset val="1"/>
      </rPr>
      <t xml:space="preserve">KJ</t>
    </r>
    <r>
      <rPr>
        <sz val="10"/>
        <rFont val="Noto Sans CJK SC"/>
        <family val="2"/>
      </rPr>
      <t xml:space="preserve">圖，</t>
    </r>
  </si>
  <si>
    <t xml:space="preserve">廣義的工程品質問題包含下列何者？</t>
  </si>
  <si>
    <t xml:space="preserve">工期</t>
  </si>
  <si>
    <t xml:space="preserve">安全</t>
  </si>
  <si>
    <t xml:space="preserve">訂定品質改善目標可參考下列何者項目？</t>
  </si>
  <si>
    <t xml:space="preserve">傳統的七大手法比較偏向於何種階段？</t>
  </si>
  <si>
    <t xml:space="preserve">新QC七大手法為充實何種階段的重要工具？</t>
  </si>
  <si>
    <t xml:space="preserve">現代的品管作業基本觀念已進入</t>
  </si>
  <si>
    <t xml:space="preserve">全面品質管制</t>
  </si>
  <si>
    <t xml:space="preserve">統計流程管制</t>
  </si>
  <si>
    <t xml:space="preserve">品質查證</t>
  </si>
  <si>
    <t xml:space="preserve">全面品質管理的時代</t>
  </si>
  <si>
    <t xml:space="preserve">施工廠商在訂定各分項品質計畫時，建議承商應召集相關人員參加品質說明會，以了解主辦機關、監造單位之品質水準及作業程序與工程施工管理細節等要領，主要召集之對象有？</t>
  </si>
  <si>
    <t xml:space="preserve">協力商</t>
  </si>
  <si>
    <t xml:space="preserve">領班</t>
  </si>
  <si>
    <t xml:space="preserve">下列何者不屬於施工階段之品質管理措施？</t>
  </si>
  <si>
    <t xml:space="preserve">環保與安全衛生計畫</t>
  </si>
  <si>
    <t xml:space="preserve">設備功能測試運轉與檢測程序與標準</t>
  </si>
  <si>
    <t xml:space="preserve">建立並執行工程界面管理</t>
  </si>
  <si>
    <t xml:space="preserve">依據公共工程施工品質管理作業要點之規定，查核金額以上工程，品質計畫內容不包括下列何者？</t>
  </si>
  <si>
    <t xml:space="preserve">建立管理權責及分工</t>
  </si>
  <si>
    <t xml:space="preserve">訂定自主檢查表</t>
  </si>
  <si>
    <t xml:space="preserve">外部品質稽核</t>
  </si>
  <si>
    <t xml:space="preserve">在分項施工計畫書中不包括下列何者？</t>
  </si>
  <si>
    <t xml:space="preserve">經費需求</t>
  </si>
  <si>
    <t xml:space="preserve">公告金額以上之公共工程，監造單位須先建立下列何項，作為監造工作之準則？</t>
  </si>
  <si>
    <t xml:space="preserve">設計圖說</t>
  </si>
  <si>
    <t xml:space="preserve">施工廠商建立施工計畫及品質計畫係依據下列何者？</t>
  </si>
  <si>
    <t xml:space="preserve">契約圖說</t>
  </si>
  <si>
    <t xml:space="preserve">查核金額以上工程，施工廠商所提計畫書包括建立管理權責及分工、不合格品管制等章節，係列於下列何項計畫？</t>
  </si>
  <si>
    <t xml:space="preserve">依據公共工程施工品質管理作業要點規定，多少金額以上之公共工程，監造單位須先建立監造計畫？</t>
  </si>
  <si>
    <r>
      <rPr>
        <sz val="10"/>
        <rFont val="Arial"/>
        <family val="0"/>
        <charset val="1"/>
      </rPr>
      <t xml:space="preserve">150</t>
    </r>
    <r>
      <rPr>
        <sz val="10"/>
        <rFont val="Noto Sans CJK SC"/>
        <family val="2"/>
      </rPr>
      <t xml:space="preserve">萬</t>
    </r>
  </si>
  <si>
    <r>
      <rPr>
        <sz val="10"/>
        <rFont val="Arial"/>
        <family val="0"/>
        <charset val="1"/>
      </rPr>
      <t xml:space="preserve">5</t>
    </r>
    <r>
      <rPr>
        <sz val="10"/>
        <rFont val="Noto Sans CJK SC"/>
        <family val="2"/>
      </rPr>
      <t xml:space="preserve">千萬</t>
    </r>
  </si>
  <si>
    <t xml:space="preserve">預算金額</t>
  </si>
  <si>
    <t xml:space="preserve">設計金額</t>
  </si>
  <si>
    <t xml:space="preserve">依規定多少金額以上之公共工程，監造單位須先建立監造計畫，以作為監造工作之準則</t>
  </si>
  <si>
    <t xml:space="preserve">公告金額採購</t>
  </si>
  <si>
    <t xml:space="preserve">查核金額採購</t>
  </si>
  <si>
    <t xml:space="preserve">巨額採購</t>
  </si>
  <si>
    <t xml:space="preserve">依據施工品質管理作業要點之規定，分項工程因性質差異甚大須另成立分項品質計畫其內容至少須包括項目，何項為非？</t>
  </si>
  <si>
    <t xml:space="preserve">依據施工品質管理作業要點，訂定各分項品質計畫時，建議承商應先招集相關</t>
  </si>
  <si>
    <t xml:space="preserve">領班等研討計畫作業內容，上述何項為非</t>
  </si>
  <si>
    <t xml:space="preserve">整體施工計畫書為廠商履行契約要求，依契約相關規定所撰寫之專案工程書圖；範圍為？</t>
  </si>
  <si>
    <t xml:space="preserve">包括工程開工至完工一切作業</t>
  </si>
  <si>
    <t xml:space="preserve">只針對各分項施工計畫書所擬定的作業</t>
  </si>
  <si>
    <t xml:space="preserve">只針對分項施工計畫書擬定的基本規畫作業</t>
  </si>
  <si>
    <t xml:space="preserve">包括工程投標至完工一切作業</t>
  </si>
  <si>
    <t xml:space="preserve">當代科技昌明，廠商撰寫施工計畫等相關文件，得採過去類似標案之送審文件電子檔案為底稿以爭時效，但應考量事項下列何者為正確？</t>
  </si>
  <si>
    <t xml:space="preserve">須以另存pdf檔為之</t>
  </si>
  <si>
    <t xml:space="preserve">僅就個案工程名稱、送審日期等形式上修改即可</t>
  </si>
  <si>
    <t xml:space="preserve">須就此個案不同需求與限制條件全盤考量完整修正</t>
  </si>
  <si>
    <t xml:space="preserve">付費委託外部人員書面修正即可</t>
  </si>
  <si>
    <t xml:space="preserve">第六章 工程品質稽核</t>
  </si>
  <si>
    <t xml:space="preserve">單元二：第六章 工程品質稽核</t>
  </si>
  <si>
    <t xml:space="preserve">ＰＤＣＡ的品質循環是由下列哪一位品質大師提出？</t>
  </si>
  <si>
    <t xml:space="preserve">石川馨</t>
  </si>
  <si>
    <t xml:space="preserve">戴明</t>
  </si>
  <si>
    <t xml:space="preserve">克勞斯比</t>
  </si>
  <si>
    <t xml:space="preserve">朱蘭</t>
  </si>
  <si>
    <t xml:space="preserve">提出『PDCA』的品質循環後，其實已經將品質管控的技術提升到下列哪一個層次？</t>
  </si>
  <si>
    <t xml:space="preserve">保證</t>
  </si>
  <si>
    <t xml:space="preserve">稽核</t>
  </si>
  <si>
    <t xml:space="preserve">管理</t>
  </si>
  <si>
    <t xml:space="preserve">『全員品管』是由下列哪一位品質大師提出？</t>
  </si>
  <si>
    <t xml:space="preserve">費根堡</t>
  </si>
  <si>
    <t xml:space="preserve">『品質免費』是由下列哪一位品質大師提出？</t>
  </si>
  <si>
    <t xml:space="preserve">『不流淚品管』是由下列哪一位品質大師提出？</t>
  </si>
  <si>
    <t xml:space="preserve">提出『品質免費』與『不流淚品管』的品質循環後，更是將品質管理的工作推動到組織何處？</t>
  </si>
  <si>
    <t xml:space="preserve">決策階層</t>
  </si>
  <si>
    <t xml:space="preserve">每一個角落</t>
  </si>
  <si>
    <t xml:space="preserve">最前線的工作者</t>
  </si>
  <si>
    <t xml:space="preserve">從經營管理的決策階層到最前線的工作者，任何一個工作管理環節都不能疏漏，其關鍵角色為？</t>
  </si>
  <si>
    <t xml:space="preserve">經營決策者</t>
  </si>
  <si>
    <t xml:space="preserve">達成品質的做法，必須靠下列何項？</t>
  </si>
  <si>
    <t xml:space="preserve">產品檢驗</t>
  </si>
  <si>
    <t xml:space="preserve">製程管制</t>
  </si>
  <si>
    <t xml:space="preserve">系統的保證</t>
  </si>
  <si>
    <t xml:space="preserve">結合組織資源(人力、財力與資訊)管理與控制者的配合</t>
  </si>
  <si>
    <t xml:space="preserve">稽核是確認在創造產品品質之初，去執行下列何項？</t>
  </si>
  <si>
    <t xml:space="preserve">檢驗產品</t>
  </si>
  <si>
    <t xml:space="preserve">比對規範</t>
  </si>
  <si>
    <t xml:space="preserve">投入的資源都被適當的規劃</t>
  </si>
  <si>
    <t xml:space="preserve">改善與防止再犯</t>
  </si>
  <si>
    <t xml:space="preserve">稽核的產生，其核心目的不是下列哪一項？</t>
  </si>
  <si>
    <t xml:space="preserve">確認創造品質的資源是否被適當規劃</t>
  </si>
  <si>
    <t xml:space="preserve">確認最終產品是否符合規範的產品檢驗</t>
  </si>
  <si>
    <t xml:space="preserve">確認一切遵循既定的規劃執行</t>
  </si>
  <si>
    <t xml:space="preserve">確認階段性成果符合既定的品質目標</t>
  </si>
  <si>
    <t xml:space="preserve">人類追求品質的歷史，從下列何項開始？</t>
  </si>
  <si>
    <t xml:space="preserve">古時候</t>
  </si>
  <si>
    <r>
      <rPr>
        <sz val="10"/>
        <rFont val="Arial"/>
        <family val="0"/>
        <charset val="1"/>
      </rPr>
      <t xml:space="preserve">1900</t>
    </r>
    <r>
      <rPr>
        <sz val="10"/>
        <rFont val="Noto Sans CJK SC"/>
        <family val="2"/>
      </rPr>
      <t xml:space="preserve">年初期</t>
    </r>
  </si>
  <si>
    <t xml:space="preserve">第二次大戰以後</t>
  </si>
  <si>
    <t xml:space="preserve">工業革命以後</t>
  </si>
  <si>
    <t xml:space="preserve">引發人們探索品質存在與否的好奇心，或許我們更可將它視為重視消費者權益與人權之萌芽，何時開始？</t>
  </si>
  <si>
    <t xml:space="preserve">美國機械工程師學會(ASME)為克服鍋爐爆炸事件所制訂的「檢驗方案」被稱為什麼制度？</t>
  </si>
  <si>
    <t xml:space="preserve">品質保證(Quality Assurance, QA)</t>
  </si>
  <si>
    <t xml:space="preserve">品質管制(Quality Control, QC)</t>
  </si>
  <si>
    <t xml:space="preserve">交貨前檢驗制度(Quality Inspection, QI)</t>
  </si>
  <si>
    <t xml:space="preserve">『成品』，是屬於下列何項的管理標的？</t>
  </si>
  <si>
    <t xml:space="preserve">品質檢驗(Quality Inspection, QI)</t>
  </si>
  <si>
    <t xml:space="preserve">「交貨前檢驗制度(Quality Inspection, QI)」，這個制度管理品質標的是最終完成的是下列何項？</t>
  </si>
  <si>
    <t xml:space="preserve">製程</t>
  </si>
  <si>
    <t xml:space="preserve">成品</t>
  </si>
  <si>
    <t xml:space="preserve">藉由檢驗停留點的設置，階段性的確認品質符合，進而確保最終的品質無虞，是屬於下列何項的管理標的？</t>
  </si>
  <si>
    <t xml:space="preserve">『製程』，是屬於下列何項的管理標的？</t>
  </si>
  <si>
    <t xml:space="preserve">直接影響產品最終品質達成率的要因，是在下列哪個階段就已經決定？</t>
  </si>
  <si>
    <t xml:space="preserve">可行性研究階段</t>
  </si>
  <si>
    <t xml:space="preserve">營運維護階段</t>
  </si>
  <si>
    <t xml:space="preserve">品質管理的工作跨越生產製造，而進入整個工程技術的範疇，下列何項應運而生？</t>
  </si>
  <si>
    <t xml:space="preserve">產品品質的表現，是組織所擁有下列何項資源的表現？</t>
  </si>
  <si>
    <t xml:space="preserve">人、物、設備</t>
  </si>
  <si>
    <t xml:space="preserve">人、設備、資訊</t>
  </si>
  <si>
    <t xml:space="preserve">物、設備、資訊</t>
  </si>
  <si>
    <t xml:space="preserve">人、物、設備、資訊</t>
  </si>
  <si>
    <t xml:space="preserve">產品品質真正的關鍵是在於：對達成品質目標所需的資源，做適切的調度與運用，也就是下列何項？</t>
  </si>
  <si>
    <t xml:space="preserve">管理品質技術的探討，成為品管技術的新課題，權責、制度，以及下列何項成為新的品管標的？</t>
  </si>
  <si>
    <t xml:space="preserve">流程</t>
  </si>
  <si>
    <t xml:space="preserve">組織</t>
  </si>
  <si>
    <t xml:space="preserve">進度</t>
  </si>
  <si>
    <t xml:space="preserve">管理品質技術的探討，從工學院的知識領域，跨入了商學院，建構一個持續生產優良品質的經營環境，也因此誕生了下列何項？</t>
  </si>
  <si>
    <t xml:space="preserve">經營制度</t>
  </si>
  <si>
    <t xml:space="preserve">矯正制度</t>
  </si>
  <si>
    <t xml:space="preserve">當品質以下列何項為主後，傳統品管或品保單位的功能與組織定位也產生重大的改變？</t>
  </si>
  <si>
    <t xml:space="preserve">品管單位(人員)驗證品質的目的，是為了下列何項？</t>
  </si>
  <si>
    <t xml:space="preserve">確認管理系統是否正常與有效運作</t>
  </si>
  <si>
    <t xml:space="preserve">確認產品的品質</t>
  </si>
  <si>
    <t xml:space="preserve">確認統計技術是否完備</t>
  </si>
  <si>
    <t xml:space="preserve">確認生產人員的員額是否足夠</t>
  </si>
  <si>
    <t xml:space="preserve">依據公共工程品質管理作業要點，承包商實施稽核的目的是下列何項？</t>
  </si>
  <si>
    <t xml:space="preserve">驗證公司是否符合ISO 9000標準</t>
  </si>
  <si>
    <t xml:space="preserve">確認核定的品質計畫被落實執行</t>
  </si>
  <si>
    <t xml:space="preserve">確認組織所擁有整體資源的表現</t>
  </si>
  <si>
    <t xml:space="preserve">確認整個工程技術的範疇</t>
  </si>
  <si>
    <t xml:space="preserve">監造單位透過下列何項，確實掌握承包商品質計畫執行狀況，以及監造計畫的執行成效？</t>
  </si>
  <si>
    <t xml:space="preserve">評鑑</t>
  </si>
  <si>
    <t xml:space="preserve">查驗</t>
  </si>
  <si>
    <t xml:space="preserve">品質稽核、監造</t>
  </si>
  <si>
    <t xml:space="preserve">為能建立全球共識，國際規範組織以下列何項為架構基礎，於西元1986年發佈ISO 9000系列標準規範？</t>
  </si>
  <si>
    <t xml:space="preserve">品質管制制度</t>
  </si>
  <si>
    <t xml:space="preserve">品質稽核制度</t>
  </si>
  <si>
    <t xml:space="preserve">品質保證制度</t>
  </si>
  <si>
    <t xml:space="preserve">品質管理制度</t>
  </si>
  <si>
    <t xml:space="preserve">為能建立全球共識，國際規範組織除品質架構基礎外，並納入經營所需的何項觀念，於西元1986年發佈ISO 9000系列標準規範？</t>
  </si>
  <si>
    <t xml:space="preserve">品質管制</t>
  </si>
  <si>
    <t xml:space="preserve">品質成本</t>
  </si>
  <si>
    <t xml:space="preserve">品質保證</t>
  </si>
  <si>
    <t xml:space="preserve">品質管理</t>
  </si>
  <si>
    <t xml:space="preserve">我國亦於民國七十九年翻譯ISO 9000系列內容，正式公佈品質管理國家標準為CNS ？</t>
  </si>
  <si>
    <t xml:space="preserve">14001</t>
  </si>
  <si>
    <t xml:space="preserve">27001</t>
  </si>
  <si>
    <t xml:space="preserve">12860</t>
  </si>
  <si>
    <t xml:space="preserve">12680</t>
  </si>
  <si>
    <t xml:space="preserve">在國家標準品質管理系統基本原理與詞彙的標準中，將稽核這項工作明確的定位在品質管理系統的何種範疇？</t>
  </si>
  <si>
    <t xml:space="preserve">改正</t>
  </si>
  <si>
    <t xml:space="preserve">係用下列何種方式，決定品質管理系統要求所達成的程度？</t>
  </si>
  <si>
    <t xml:space="preserve">係用下列何項，以評鑑品質管理系統的效果與鑑別改進的機會？</t>
  </si>
  <si>
    <t xml:space="preserve">稽核評估</t>
  </si>
  <si>
    <t xml:space="preserve">稽核準則</t>
  </si>
  <si>
    <t xml:space="preserve">稽核發現</t>
  </si>
  <si>
    <t xml:space="preserve">稽核證據</t>
  </si>
  <si>
    <t xml:space="preserve">公共工程委員會考量營建產業客觀環境因素，公共工程品質管理的標準，是採用下列何項？</t>
  </si>
  <si>
    <t xml:space="preserve">ISO 9000</t>
  </si>
  <si>
    <t xml:space="preserve">公共工程施工品質管理作業要點</t>
  </si>
  <si>
    <t xml:space="preserve">CNS 12680</t>
  </si>
  <si>
    <t xml:space="preserve">品質計畫與監造計畫(品質系統)的內容中，下列何項的内涵不是援引國家標準的精神？</t>
  </si>
  <si>
    <t xml:space="preserve">責任與職權</t>
  </si>
  <si>
    <t xml:space="preserve">分析</t>
  </si>
  <si>
    <t xml:space="preserve">紀錄</t>
  </si>
  <si>
    <t xml:space="preserve">承包商依據作業要點所執行的稽核，是由組織本身或其代表者為其內部目的所執行者，稱為下列何項？</t>
  </si>
  <si>
    <t xml:space="preserve">第一者稽核</t>
  </si>
  <si>
    <t xml:space="preserve">第二者稽核</t>
  </si>
  <si>
    <t xml:space="preserve">第三者稽核</t>
  </si>
  <si>
    <t xml:space="preserve">營造廠對工地工務所之稽核，稱為下列何項？</t>
  </si>
  <si>
    <t xml:space="preserve">外部稽核</t>
  </si>
  <si>
    <t xml:space="preserve">監造單位以主辦/管機關核定的監造計畫為基礎，確認監造計畫的落實成效，稱為下列何項？</t>
  </si>
  <si>
    <t xml:space="preserve">監造單位針對承包商的品質系統所做的效果鑑別，稱為下列何項？</t>
  </si>
  <si>
    <t xml:space="preserve">監造單位的稽核不包括下列何項？</t>
  </si>
  <si>
    <t xml:space="preserve">下列何項單位都會定期與不定期的依據工程進展，對特定工程實施查核？</t>
  </si>
  <si>
    <t xml:space="preserve">工程主管機關與公共工程委員會</t>
  </si>
  <si>
    <t xml:space="preserve">品質稽核、工程查核</t>
  </si>
  <si>
    <t xml:space="preserve">定期與不定期的依據工程進展，對特定工程實施查核，這種已經跳脫契約甲、乙方的查核，應可歸類為下列何項之稽核？</t>
  </si>
  <si>
    <t xml:space="preserve">品質稽核、契約管理、工程查核</t>
  </si>
  <si>
    <t xml:space="preserve">以驗證主辦機關或其委託或自辦的監造單位是否落實計畫與發揮功效為目標，為下列何項之稽核？</t>
  </si>
  <si>
    <t xml:space="preserve">公共工程委員的稽核</t>
  </si>
  <si>
    <t xml:space="preserve">工程主管機關的稽核</t>
  </si>
  <si>
    <t xml:space="preserve">除對施工團隊是否落實契約規定為稽核重點外，對其所頒布之各項行政命令是否被落實與其執行成效，亦應作為稽核的目標，為下列何項之稽核？</t>
  </si>
  <si>
    <t xml:space="preserve">行政院公共工程委員會的查核</t>
  </si>
  <si>
    <t xml:space="preserve">品質稽核、契約管理</t>
  </si>
  <si>
    <t xml:space="preserve">我們應以下列何項為核心，描繪出國內落實公共工程品質的一個管理體系？</t>
  </si>
  <si>
    <t xml:space="preserve">依據工程管理與專案需求所制訂的標準作業程序，下列何項為執行稽核的準則？</t>
  </si>
  <si>
    <t xml:space="preserve">品質檢驗標準</t>
  </si>
  <si>
    <t xml:space="preserve">監造、品質、施工計畫</t>
  </si>
  <si>
    <t xml:space="preserve">主要稽核計畫</t>
  </si>
  <si>
    <t xml:space="preserve">對稽核的定義為:以系統的、獨立的及下列何項之過程，做客觀的評估？</t>
  </si>
  <si>
    <t xml:space="preserve">證據化</t>
  </si>
  <si>
    <t xml:space="preserve">文件化</t>
  </si>
  <si>
    <t xml:space="preserve">品質化</t>
  </si>
  <si>
    <t xml:space="preserve">準則化</t>
  </si>
  <si>
    <t xml:space="preserve">對稽核的定義為:以文件化、獨立的及下列何項之過程，做客觀的評估？</t>
  </si>
  <si>
    <t xml:space="preserve">證據的</t>
  </si>
  <si>
    <t xml:space="preserve">準則的</t>
  </si>
  <si>
    <t xml:space="preserve">責任的</t>
  </si>
  <si>
    <t xml:space="preserve">系統的</t>
  </si>
  <si>
    <t xml:space="preserve">對稽核的定義為:以系統的、文件化及下列何項之過程，做客觀的評估？</t>
  </si>
  <si>
    <t xml:space="preserve">獨立的</t>
  </si>
  <si>
    <t xml:space="preserve">明確的</t>
  </si>
  <si>
    <t xml:space="preserve">用以獲得稽核證據，並對他做客觀的評估，以決定下列何項所滿足之程度？</t>
  </si>
  <si>
    <t xml:space="preserve">稽核方法</t>
  </si>
  <si>
    <t xml:space="preserve">稽核目標</t>
  </si>
  <si>
    <t xml:space="preserve">稽核原則</t>
  </si>
  <si>
    <t xml:space="preserve">「作為依據的一組政策、程序或要求」是下列何項之定義？</t>
  </si>
  <si>
    <t xml:space="preserve">準則</t>
  </si>
  <si>
    <t xml:space="preserve">證據</t>
  </si>
  <si>
    <t xml:space="preserve">承包商與監造單位若能落實執行計畫承諾，工程品質應能確保，若再輔以下列何項，讓工程品質進入良性循環？</t>
  </si>
  <si>
    <t xml:space="preserve">主管機關與工程會的工程查核</t>
  </si>
  <si>
    <t xml:space="preserve">關於品質稽核程序，下列何項敘述正確？</t>
  </si>
  <si>
    <t xml:space="preserve">查證工作因查證對象而異</t>
  </si>
  <si>
    <t xml:space="preserve">查證工作因執行者而異</t>
  </si>
  <si>
    <t xml:space="preserve">作業法則因人而異</t>
  </si>
  <si>
    <t xml:space="preserve">作業程序幾乎舉世皆然，不論內外或深淺</t>
  </si>
  <si>
    <t xml:space="preserve">品質稽核的作業程序幾乎舉世皆然，不論內外或深淺。此處所指「內外」是指下列何項？</t>
  </si>
  <si>
    <t xml:space="preserve">稽核小組</t>
  </si>
  <si>
    <t xml:space="preserve">品質稽核的作業程序幾乎舉世皆然，不論內外或深淺。此處所指「深淺」是指下列何項？</t>
  </si>
  <si>
    <t xml:space="preserve">稽核要求改善件數與時限之規定</t>
  </si>
  <si>
    <t xml:space="preserve">稽核時間之長短</t>
  </si>
  <si>
    <t xml:space="preserve">稽核內容之多寡</t>
  </si>
  <si>
    <t xml:space="preserve">制度稽核與符合度稽核</t>
  </si>
  <si>
    <t xml:space="preserve">品質稽核的目的，是在確認下列何項？</t>
  </si>
  <si>
    <t xml:space="preserve">品管及技術作業規範</t>
  </si>
  <si>
    <t xml:space="preserve">企業或組織作業規範</t>
  </si>
  <si>
    <t xml:space="preserve">品質系統的執行成效</t>
  </si>
  <si>
    <t xml:space="preserve">材料及施工規範</t>
  </si>
  <si>
    <t xml:space="preserve">稽核計畫與時程，為下列何項時機的工作？</t>
  </si>
  <si>
    <t xml:space="preserve">稽核前</t>
  </si>
  <si>
    <t xml:space="preserve">稽核中</t>
  </si>
  <si>
    <t xml:space="preserve">稽核後</t>
  </si>
  <si>
    <t xml:space="preserve">通知與資料收集，為下列何項時機的工作？</t>
  </si>
  <si>
    <t xml:space="preserve">成立稽核組織，為下列何項時機的工作？</t>
  </si>
  <si>
    <t xml:space="preserve">編寫稽核查對表，為下列何項時機的工作？</t>
  </si>
  <si>
    <t xml:space="preserve">為釐清每一項稽核工作的目的與範圍，稽核執行單位應就其品質系統之內涵及參與單位之多寡，研定整體品質稽核計畫稱為？</t>
  </si>
  <si>
    <t xml:space="preserve">稽核時程計畫</t>
  </si>
  <si>
    <t xml:space="preserve">主要品質計畫</t>
  </si>
  <si>
    <t xml:space="preserve">主要查核計畫</t>
  </si>
  <si>
    <t xml:space="preserve">當主要稽核計畫訂定後，應該由何種人員安排稽核時程？</t>
  </si>
  <si>
    <t xml:space="preserve">稽核組長</t>
  </si>
  <si>
    <t xml:space="preserve">觀察員</t>
  </si>
  <si>
    <t xml:space="preserve">稽核員</t>
  </si>
  <si>
    <t xml:space="preserve">當主要稽核計畫訂定後，對於稽核工作的安排，下列何項為非？</t>
  </si>
  <si>
    <t xml:space="preserve">安排時段的長短有一定的法則</t>
  </si>
  <si>
    <t xml:space="preserve">就工作現況安排日常稽核工作</t>
  </si>
  <si>
    <t xml:space="preserve">就稽核人力資源安排日常稽核工作</t>
  </si>
  <si>
    <t xml:space="preserve">完全視管理階層所提供的資源</t>
  </si>
  <si>
    <t xml:space="preserve">當主要稽核計畫訂定後，應就安排日常稽核工作，這種安排稱之為下列何項？</t>
  </si>
  <si>
    <t xml:space="preserve">通知與資料收集</t>
  </si>
  <si>
    <t xml:space="preserve">稽核時程</t>
  </si>
  <si>
    <t xml:space="preserve">編寫稽核查對表</t>
  </si>
  <si>
    <t xml:space="preserve">稽核作業之規劃</t>
  </si>
  <si>
    <t xml:space="preserve">下列何項不屬於稽核前的工作？</t>
  </si>
  <si>
    <t xml:space="preserve">稽核計畫與時程</t>
  </si>
  <si>
    <t xml:space="preserve">成立稽核組織</t>
  </si>
  <si>
    <t xml:space="preserve">缺失之追蹤列管</t>
  </si>
  <si>
    <t xml:space="preserve">下列何項屬於稽核前的工作？</t>
  </si>
  <si>
    <t xml:space="preserve">稽核前會議</t>
  </si>
  <si>
    <t xml:space="preserve">執行稽核</t>
  </si>
  <si>
    <t xml:space="preserve">簽發稽核報告</t>
  </si>
  <si>
    <t xml:space="preserve">稽核前應使用下列哪一表單訂定稽核頻率？</t>
  </si>
  <si>
    <t xml:space="preserve">稽核計畫表</t>
  </si>
  <si>
    <t xml:space="preserve">稽核計畫時程管制表</t>
  </si>
  <si>
    <t xml:space="preserve">稽核通知</t>
  </si>
  <si>
    <t xml:space="preserve">監造單位稽核的目的是確認承包商品管作業符合其所提送的計畫，且能確實達成下列何項？</t>
  </si>
  <si>
    <t xml:space="preserve">主要稽核計畫規定</t>
  </si>
  <si>
    <t xml:space="preserve">稽核查對表規定</t>
  </si>
  <si>
    <t xml:space="preserve">稽核準則規定</t>
  </si>
  <si>
    <t xml:space="preserve">監造單位原則上應針對承包商所提送的計畫，於下列何項時機，實施該計畫第一次稽核？</t>
  </si>
  <si>
    <t xml:space="preserve">該計畫核定時</t>
  </si>
  <si>
    <t xml:space="preserve">該計畫簽約時</t>
  </si>
  <si>
    <t xml:space="preserve">該計畫開工後一段時限內</t>
  </si>
  <si>
    <t xml:space="preserve">該計畫完工時</t>
  </si>
  <si>
    <t xml:space="preserve">監造單位實施第一次稽核後，依工程之規模大小及下列何項，執行往後的定期稽核？</t>
  </si>
  <si>
    <t xml:space="preserve">契約金額</t>
  </si>
  <si>
    <t xml:space="preserve">分項施工計畫的數量</t>
  </si>
  <si>
    <t xml:space="preserve">工程期程長短</t>
  </si>
  <si>
    <t xml:space="preserve">稽核計畫與時程，對承包商而言，稽核的安排可自契約啟始日至少在多少天內，應執行第一次品質稽核？</t>
  </si>
  <si>
    <r>
      <rPr>
        <sz val="10"/>
        <rFont val="Arial"/>
        <family val="0"/>
        <charset val="1"/>
      </rPr>
      <t xml:space="preserve">30</t>
    </r>
    <r>
      <rPr>
        <sz val="10"/>
        <rFont val="Noto Sans CJK SC"/>
        <family val="2"/>
      </rPr>
      <t xml:space="preserve">天內</t>
    </r>
  </si>
  <si>
    <r>
      <rPr>
        <sz val="10"/>
        <rFont val="Arial"/>
        <family val="0"/>
        <charset val="1"/>
      </rPr>
      <t xml:space="preserve">60</t>
    </r>
    <r>
      <rPr>
        <sz val="10"/>
        <rFont val="Noto Sans CJK SC"/>
        <family val="2"/>
      </rPr>
      <t xml:space="preserve">天內</t>
    </r>
  </si>
  <si>
    <r>
      <rPr>
        <sz val="10"/>
        <rFont val="Arial"/>
        <family val="0"/>
        <charset val="1"/>
      </rPr>
      <t xml:space="preserve">90</t>
    </r>
    <r>
      <rPr>
        <sz val="10"/>
        <rFont val="Noto Sans CJK SC"/>
        <family val="2"/>
      </rPr>
      <t xml:space="preserve">天內</t>
    </r>
  </si>
  <si>
    <r>
      <rPr>
        <sz val="10"/>
        <rFont val="Arial"/>
        <family val="0"/>
        <charset val="1"/>
      </rPr>
      <t xml:space="preserve">180</t>
    </r>
    <r>
      <rPr>
        <sz val="10"/>
        <rFont val="Noto Sans CJK SC"/>
        <family val="2"/>
      </rPr>
      <t xml:space="preserve">天內</t>
    </r>
  </si>
  <si>
    <t xml:space="preserve">承包商實施第一次稽核，主要查證下列何項？</t>
  </si>
  <si>
    <t xml:space="preserve">品質管理符合度與成效</t>
  </si>
  <si>
    <t xml:space="preserve">品質系統建立之狀況</t>
  </si>
  <si>
    <t xml:space="preserve">公司之品質管理方案</t>
  </si>
  <si>
    <t xml:space="preserve">契約工作之實際執行狀況</t>
  </si>
  <si>
    <t xml:space="preserve">評估品質系統與實務需求之落差性</t>
  </si>
  <si>
    <t xml:space="preserve">評估品質系統執行有效性</t>
  </si>
  <si>
    <t xml:space="preserve">人員對系統內容之認知</t>
  </si>
  <si>
    <t xml:space="preserve">實施第一次稽核後，往後至少多久執行一次「符合度與成效稽核」？</t>
  </si>
  <si>
    <t xml:space="preserve">每季</t>
  </si>
  <si>
    <t xml:space="preserve">每月</t>
  </si>
  <si>
    <t xml:space="preserve">每半年</t>
  </si>
  <si>
    <t xml:space="preserve">每周</t>
  </si>
  <si>
    <t xml:space="preserve">對承包商而言，執行「符合度與成效稽核」，下列何項敘述為非？</t>
  </si>
  <si>
    <t xml:space="preserve">查證契約工作之實際執行狀況</t>
  </si>
  <si>
    <t xml:space="preserve">查證公司之品質管理方案</t>
  </si>
  <si>
    <t xml:space="preserve">定期評估品質系統執行有效性</t>
  </si>
  <si>
    <t xml:space="preserve">對承包商而言，執行「符合度與成效稽核」，查證下列何項間之差異程度？</t>
  </si>
  <si>
    <t xml:space="preserve">對承包商而言，執行「符合度與成效稽核」，綜合管理制度及符合度之查證內容，據以進行改善矯正或下列何項之檢討？</t>
  </si>
  <si>
    <t xml:space="preserve">成效性</t>
  </si>
  <si>
    <t xml:space="preserve">落差性</t>
  </si>
  <si>
    <t xml:space="preserve">符合性</t>
  </si>
  <si>
    <t xml:space="preserve">執行該分項作業相關品質作業之稽核，依據所研訂之分項施工計畫作業規定，查證下列何項人員對計畫作業的瞭解程度？</t>
  </si>
  <si>
    <t xml:space="preserve">作業人員</t>
  </si>
  <si>
    <t xml:space="preserve">公司管理階層</t>
  </si>
  <si>
    <t xml:space="preserve">對承包商要求，每一分項施工計畫核定後多少天内，必須執行該分項作業相關品質作業之稽核？</t>
  </si>
  <si>
    <r>
      <rPr>
        <sz val="10"/>
        <rFont val="Arial"/>
        <family val="0"/>
        <charset val="1"/>
      </rPr>
      <t xml:space="preserve">20</t>
    </r>
    <r>
      <rPr>
        <sz val="10"/>
        <rFont val="Noto Sans CJK SC"/>
        <family val="2"/>
      </rPr>
      <t xml:space="preserve">天内</t>
    </r>
  </si>
  <si>
    <r>
      <rPr>
        <sz val="10"/>
        <rFont val="Arial"/>
        <family val="0"/>
        <charset val="1"/>
      </rPr>
      <t xml:space="preserve">30</t>
    </r>
    <r>
      <rPr>
        <sz val="10"/>
        <rFont val="Noto Sans CJK SC"/>
        <family val="2"/>
      </rPr>
      <t xml:space="preserve">天内</t>
    </r>
  </si>
  <si>
    <r>
      <rPr>
        <sz val="10"/>
        <rFont val="Arial"/>
        <family val="0"/>
        <charset val="1"/>
      </rPr>
      <t xml:space="preserve">40</t>
    </r>
    <r>
      <rPr>
        <sz val="10"/>
        <rFont val="Noto Sans CJK SC"/>
        <family val="2"/>
      </rPr>
      <t xml:space="preserve">天内</t>
    </r>
  </si>
  <si>
    <r>
      <rPr>
        <sz val="10"/>
        <rFont val="Arial"/>
        <family val="0"/>
        <charset val="1"/>
      </rPr>
      <t xml:space="preserve">50</t>
    </r>
    <r>
      <rPr>
        <sz val="10"/>
        <rFont val="Noto Sans CJK SC"/>
        <family val="2"/>
      </rPr>
      <t xml:space="preserve">天內</t>
    </r>
  </si>
  <si>
    <t xml:space="preserve">品管人員得視實際狀況合併相關稽查項目併案辦理稽核，惟範圍以多少天内為度？</t>
  </si>
  <si>
    <t xml:space="preserve">當稽核時程排定後，品管人員(監造單位)下列何者為非？稽核通知內容應包括</t>
  </si>
  <si>
    <t xml:space="preserve">告知稽核範圍</t>
  </si>
  <si>
    <t xml:space="preserve">知選定雙方都方便的日期</t>
  </si>
  <si>
    <t xml:space="preserve">於行前適當日期內，書面通知受稽核單位</t>
  </si>
  <si>
    <t xml:space="preserve">應先正式的與受稽核單位聯繫</t>
  </si>
  <si>
    <t xml:space="preserve">在稽核行前書面通知受稽核單位時，稽核通知內容，不需包括下列何項？</t>
  </si>
  <si>
    <t xml:space="preserve">稽核成員及希望對方配合事項</t>
  </si>
  <si>
    <t xml:space="preserve">目的、範圍</t>
  </si>
  <si>
    <t xml:space="preserve">稽核組長的考核標準</t>
  </si>
  <si>
    <t xml:space="preserve">日期、時間</t>
  </si>
  <si>
    <t xml:space="preserve">確定稽核時程後，品管人員(監造單位)應針對主要稽核計畫所訂定之目的與範圍，蒐集與彙整相關資料，內容不包括下列何項？</t>
  </si>
  <si>
    <t xml:space="preserve">工程契約</t>
  </si>
  <si>
    <t xml:space="preserve">檢測計畫</t>
  </si>
  <si>
    <t xml:space="preserve">規範(標準)</t>
  </si>
  <si>
    <t xml:space="preserve">歷次稽核報告</t>
  </si>
  <si>
    <t xml:space="preserve">在確定稽核時程後，品管人員應蒐集相關資料，若以往已有稽核紀錄，則應一併取得下列何項文件？</t>
  </si>
  <si>
    <t xml:space="preserve">程序書</t>
  </si>
  <si>
    <t xml:space="preserve">工作說明書</t>
  </si>
  <si>
    <t xml:space="preserve">執行稽核時則必須完全獨立，下列何項敘述為非？</t>
  </si>
  <si>
    <t xml:space="preserve">不可以用主觀的好惡去影響判斷</t>
  </si>
  <si>
    <t xml:space="preserve">嚴謹的評估</t>
  </si>
  <si>
    <t xml:space="preserve">以日常協助專案的角色</t>
  </si>
  <si>
    <t xml:space="preserve">提出前瞻的建議</t>
  </si>
  <si>
    <t xml:space="preserve">執行品質稽核工作的稽核組織成員通常可分為下列幾種？</t>
  </si>
  <si>
    <r>
      <rPr>
        <sz val="10"/>
        <rFont val="Arial"/>
        <family val="0"/>
        <charset val="1"/>
      </rPr>
      <t xml:space="preserve">5</t>
    </r>
    <r>
      <rPr>
        <sz val="10"/>
        <rFont val="Noto Sans CJK SC"/>
        <family val="2"/>
      </rPr>
      <t xml:space="preserve">種</t>
    </r>
  </si>
  <si>
    <r>
      <rPr>
        <sz val="10"/>
        <rFont val="Arial"/>
        <family val="0"/>
        <charset val="1"/>
      </rPr>
      <t xml:space="preserve">4</t>
    </r>
    <r>
      <rPr>
        <sz val="10"/>
        <rFont val="Noto Sans CJK SC"/>
        <family val="2"/>
      </rPr>
      <t xml:space="preserve">種</t>
    </r>
  </si>
  <si>
    <r>
      <rPr>
        <sz val="10"/>
        <rFont val="Arial"/>
        <family val="0"/>
        <charset val="1"/>
      </rPr>
      <t xml:space="preserve">3</t>
    </r>
    <r>
      <rPr>
        <sz val="10"/>
        <rFont val="Noto Sans CJK SC"/>
        <family val="2"/>
      </rPr>
      <t xml:space="preserve">種</t>
    </r>
  </si>
  <si>
    <r>
      <rPr>
        <sz val="10"/>
        <rFont val="Arial"/>
        <family val="0"/>
        <charset val="1"/>
      </rPr>
      <t xml:space="preserve">2</t>
    </r>
    <r>
      <rPr>
        <sz val="10"/>
        <rFont val="Noto Sans CJK SC"/>
        <family val="2"/>
      </rPr>
      <t xml:space="preserve">種</t>
    </r>
  </si>
  <si>
    <t xml:space="preserve">下列何項人員不屬於品質稽核組織的成員？</t>
  </si>
  <si>
    <t xml:space="preserve">專家</t>
  </si>
  <si>
    <t xml:space="preserve">稽核作業之規劃、聯繫與工作分配，為下列何項人員工作項目？</t>
  </si>
  <si>
    <t xml:space="preserve">參與稽核工作成員之擇選，為下列何項人員工作項目？</t>
  </si>
  <si>
    <t xml:space="preserve">指揮稽核工作之執行，為下列何項人員工作項目？</t>
  </si>
  <si>
    <t xml:space="preserve">稽核報告之撰寫，為下列何項人員工作項目？</t>
  </si>
  <si>
    <t xml:space="preserve">稽核員於作業期間之表現考核，為下列何項人員工作項目？</t>
  </si>
  <si>
    <t xml:space="preserve">下列何項不於稽核組長之工作？</t>
  </si>
  <si>
    <t xml:space="preserve">稽核作業之規劃與工作分配</t>
  </si>
  <si>
    <t xml:space="preserve">參與稽核工作成員之選擇</t>
  </si>
  <si>
    <t xml:space="preserve">稽核查對表之編擬</t>
  </si>
  <si>
    <t xml:space="preserve">稽核報告之撰寫</t>
  </si>
  <si>
    <t xml:space="preserve">下列何項不屬於稽核組長的工作範圍？</t>
  </si>
  <si>
    <t xml:space="preserve">在被稽核單位處召開「稽核前會議」介紹雙方與會人員</t>
  </si>
  <si>
    <t xml:space="preserve">依事前規劃之稽核查對表所列事項逐項查核</t>
  </si>
  <si>
    <t xml:space="preserve">主持稽核後會議</t>
  </si>
  <si>
    <t xml:space="preserve">對稽核員於作業期間之表現進行考核</t>
  </si>
  <si>
    <t xml:space="preserve">稽核查對表之編擬，為下列何項人員工作？</t>
  </si>
  <si>
    <t xml:space="preserve">執行稽核，為下列何項人員所負責的工作項目？</t>
  </si>
  <si>
    <t xml:space="preserve">稽核組長及稽核員</t>
  </si>
  <si>
    <t xml:space="preserve">稽核員及專家</t>
  </si>
  <si>
    <t xml:space="preserve">稽核員及觀察員</t>
  </si>
  <si>
    <t xml:space="preserve">下列何項人員於稽核過程中，僅提供專技知識諮詢，不實際執行稽核作業？</t>
  </si>
  <si>
    <t xml:space="preserve">稽核組織的成員中，主要是下列何項人員？</t>
  </si>
  <si>
    <t xml:space="preserve">稽核組長及專家</t>
  </si>
  <si>
    <t xml:space="preserve">稽核組織成員中，視實際需求邀請或選派，是下列何項人員？</t>
  </si>
  <si>
    <t xml:space="preserve">專家及觀察員</t>
  </si>
  <si>
    <t xml:space="preserve">由於稽核工作涉及許多溝通與調查技巧，稽核員必須具備下列何項經驗條件？</t>
  </si>
  <si>
    <t xml:space="preserve">曾擔任工地主任三年以上</t>
  </si>
  <si>
    <t xml:space="preserve">具備工程技術專業且有管理背景</t>
  </si>
  <si>
    <t xml:space="preserve">曾擔任專案經理且通過國家考試</t>
  </si>
  <si>
    <t xml:space="preserve">受過稽核訓練，並曾多次參與稽核工作者</t>
  </si>
  <si>
    <t xml:space="preserve">由於稽核工作涉及許多溝通與調查技巧，稽核員曾以下列何項身分，多次參與稽核工作者？</t>
  </si>
  <si>
    <t xml:space="preserve">稽核承辦人</t>
  </si>
  <si>
    <t xml:space="preserve">稽核員之進階，為下列何項人員？</t>
  </si>
  <si>
    <t xml:space="preserve">稽核查對表編擬完成後，必須經過下列何項人員的審核？</t>
  </si>
  <si>
    <t xml:space="preserve">稽核查對表對稽核者的益處，為下列何項？</t>
  </si>
  <si>
    <t xml:space="preserve">執行稽核作業時之工作導引</t>
  </si>
  <si>
    <t xml:space="preserve">協助接受稽核單位準備稽核資料，以供驗證</t>
  </si>
  <si>
    <t xml:space="preserve">有助於掌握工作重點</t>
  </si>
  <si>
    <t xml:space="preserve">已經稽核查證事務之佐證</t>
  </si>
  <si>
    <t xml:space="preserve">有助稽核員掌握作業進度</t>
  </si>
  <si>
    <t xml:space="preserve">稽核組長與稽核員的溝通橋梁</t>
  </si>
  <si>
    <t xml:space="preserve">有助於稽核員間的技術交流與傳承</t>
  </si>
  <si>
    <t xml:space="preserve">稽核作業中之作業登錄簿</t>
  </si>
  <si>
    <t xml:space="preserve">提供稽核組長編寫稽核報告時之參考佐證</t>
  </si>
  <si>
    <t xml:space="preserve">稽核查對表對接受稽核者的益處，為下列何項？</t>
  </si>
  <si>
    <t xml:space="preserve">協助接受稽核單位準備稽核資料，以供驗證執行稽核作業時之工作導引</t>
  </si>
  <si>
    <t xml:space="preserve">制訂稽核查對表的原因，為下列何項？</t>
  </si>
  <si>
    <t xml:space="preserve">免除稽核組織投入管理資源</t>
  </si>
  <si>
    <t xml:space="preserve">有效率的執行稽核工作</t>
  </si>
  <si>
    <t xml:space="preserve">增加被稽核者人力時間</t>
  </si>
  <si>
    <t xml:space="preserve">增加稽核員思索稽核標的物所耗時間</t>
  </si>
  <si>
    <t xml:space="preserve">稽核人員專業考量關鍵之一，為下列何項？</t>
  </si>
  <si>
    <t xml:space="preserve">技術交流與傳承</t>
  </si>
  <si>
    <t xml:space="preserve">稽核查對表的完整性</t>
  </si>
  <si>
    <t xml:space="preserve">與稽核組長的溝通</t>
  </si>
  <si>
    <t xml:space="preserve">如何有效率的完成</t>
  </si>
  <si>
    <t xml:space="preserve">接受稽核單位瞞過稽核人員的最佳法則，為下列何項？</t>
  </si>
  <si>
    <t xml:space="preserve">作弊</t>
  </si>
  <si>
    <t xml:space="preserve">造假</t>
  </si>
  <si>
    <t xml:space="preserve">依規定行事</t>
  </si>
  <si>
    <t xml:space="preserve">隱匿事實</t>
  </si>
  <si>
    <t xml:space="preserve">稽核臨場的變化與適時的調整，仰賴於下列何項？</t>
  </si>
  <si>
    <t xml:space="preserve">稽核員的智慧與敏銳的反應</t>
  </si>
  <si>
    <t xml:space="preserve">關於品質稽核，下列何項敘述不正確？</t>
  </si>
  <si>
    <t xml:space="preserve">是一種完全公開的作為</t>
  </si>
  <si>
    <t xml:space="preserve">編擬完成的查對表，事前不可交由接受稽核人員參考</t>
  </si>
  <si>
    <t xml:space="preserve">稽核員僅應將稽核查對表視為輔助工具</t>
  </si>
  <si>
    <t xml:space="preserve">不可企圖以趁其不備找到瑕疵</t>
  </si>
  <si>
    <t xml:space="preserve">當稽核工作展開時，第一件工作為下列何項？</t>
  </si>
  <si>
    <t xml:space="preserve">稽核前會議結束後，下列何項作業即正式展開？</t>
  </si>
  <si>
    <t xml:space="preserve">資料收集</t>
  </si>
  <si>
    <t xml:space="preserve">改正措施通知</t>
  </si>
  <si>
    <t xml:space="preserve">稽核作業</t>
  </si>
  <si>
    <t xml:space="preserve">稽核前會議，為下列何項時機的工作？</t>
  </si>
  <si>
    <t xml:space="preserve">執行稽核，為下列何項時機的工作？</t>
  </si>
  <si>
    <t xml:space="preserve">稽核後會議，為下列何項時機的工作？</t>
  </si>
  <si>
    <t xml:space="preserve">改正措施通知，為下列何項時機的工作？</t>
  </si>
  <si>
    <t xml:space="preserve">執行稽核，下列何項敘述為非？</t>
  </si>
  <si>
    <t xml:space="preserve">稽核是一項溝通的工作</t>
  </si>
  <si>
    <t xml:space="preserve">儘量避免干擾受查單位之正常作息</t>
  </si>
  <si>
    <t xml:space="preserve">檔案搬到會議室受檢，可瞭解實際工作狀況</t>
  </si>
  <si>
    <t xml:space="preserve">直接進入實際工作地點，直接調閱檔案</t>
  </si>
  <si>
    <t xml:space="preserve">下列何項不屬於稽核中的工作？</t>
  </si>
  <si>
    <t xml:space="preserve">稽核報告</t>
  </si>
  <si>
    <t xml:space="preserve">下列何項非影響工作品質的關鍵事務？</t>
  </si>
  <si>
    <t xml:space="preserve">物料</t>
  </si>
  <si>
    <t xml:space="preserve">資訊</t>
  </si>
  <si>
    <t xml:space="preserve">一般而言，能力、訓練，是影響工作品質的關鍵事務的哪一項？</t>
  </si>
  <si>
    <t xml:space="preserve">「人」</t>
  </si>
  <si>
    <t xml:space="preserve">「設備(工具)」</t>
  </si>
  <si>
    <t xml:space="preserve">「資訊」</t>
  </si>
  <si>
    <t xml:space="preserve">「物」</t>
  </si>
  <si>
    <t xml:space="preserve">一般而言，型態、數量、能量，是影響工作品質的關鍵事務的哪項？</t>
  </si>
  <si>
    <t xml:space="preserve">一般而言，型態、規格、能量，是影響工作品質的關鍵事務的哪一項？</t>
  </si>
  <si>
    <t xml:space="preserve">一般而言，正確版本與分發，是影響工作品質的關鍵事務的哪一項？</t>
  </si>
  <si>
    <t xml:space="preserve">在稽核作業中，稽核員將與誰交談、審閱何種文件、所得資訊等詳細記載在查對表上，此時查對表扮演了什麼角色？</t>
  </si>
  <si>
    <t xml:space="preserve">掌握作業進度</t>
  </si>
  <si>
    <t xml:space="preserve">如為連續數日的稽核，每日工作結束前，稽核組長應詳細瞭解內容，如有偏差，該如何因應？</t>
  </si>
  <si>
    <t xml:space="preserve">立即結束稽核作業</t>
  </si>
  <si>
    <t xml:space="preserve">等待稽核後會議再行討論</t>
  </si>
  <si>
    <t xml:space="preserve">應立即調整次日作業</t>
  </si>
  <si>
    <t xml:space="preserve">請受稽核單位主管自行調整</t>
  </si>
  <si>
    <t xml:space="preserve">稽核後會議前，應由下列何項人員，彙整全部查證事實，邀請受查單位主管初步確認？</t>
  </si>
  <si>
    <t xml:space="preserve">稽核後會議目的是確認稽核過程中所發現的下列何項？</t>
  </si>
  <si>
    <t xml:space="preserve">工程品質執行良窳</t>
  </si>
  <si>
    <t xml:space="preserve">優劣事實</t>
  </si>
  <si>
    <t xml:space="preserve">工程進度執行效率</t>
  </si>
  <si>
    <t xml:space="preserve">品管組織適任與否</t>
  </si>
  <si>
    <t xml:space="preserve">稽核後會議中，稽核組長須有效掌握議程，避免冗長的辯解與探討，其中會議時間以多少分鐘內完成為佳？</t>
  </si>
  <si>
    <t xml:space="preserve">九十分鐘</t>
  </si>
  <si>
    <t xml:space="preserve">三十分鐘</t>
  </si>
  <si>
    <t xml:space="preserve">四十五分鐘</t>
  </si>
  <si>
    <t xml:space="preserve">六十分鐘</t>
  </si>
  <si>
    <t xml:space="preserve">有關稽核後會議，下列何項敘述為非？</t>
  </si>
  <si>
    <t xml:space="preserve">會議由稽核組長主持</t>
  </si>
  <si>
    <t xml:space="preserve">避免冗長的辯解與探討</t>
  </si>
  <si>
    <t xml:space="preserve">缺失的報告，讓受稽核單位充分瞭解其缺失內容</t>
  </si>
  <si>
    <t xml:space="preserve">對雙方認知不同的事項，請對方收到報告後再作書面答覆</t>
  </si>
  <si>
    <t xml:space="preserve">稽核員關切的重點，下列何項敘述為非？</t>
  </si>
  <si>
    <t xml:space="preserve">文件未簽署的嚴重性與導因的判定</t>
  </si>
  <si>
    <t xml:space="preserve">未依規定執行工作的嚴重性與導因的判定</t>
  </si>
  <si>
    <t xml:space="preserve">品質稽核的目的是確認品質制度的成效</t>
  </si>
  <si>
    <t xml:space="preserve">規格選訂的好壞</t>
  </si>
  <si>
    <t xml:space="preserve">稽核作業中對已確認未達成之事項，即應簽發下列何項程序？</t>
  </si>
  <si>
    <t xml:space="preserve">改正行動通知</t>
  </si>
  <si>
    <t xml:space="preserve">調查行動通知</t>
  </si>
  <si>
    <t xml:space="preserve">補救行動通知</t>
  </si>
  <si>
    <t xml:space="preserve">矯正行動通知</t>
  </si>
  <si>
    <t xml:space="preserve">意願、態度，是影響工作品質的關鍵事務的哪一項？</t>
  </si>
  <si>
    <t xml:space="preserve">特性、數量，是影響工作品質的關鍵事務的哪一項？</t>
  </si>
  <si>
    <t xml:space="preserve">位置、環境，是影響工作品質的關鍵事務的哪一項？</t>
  </si>
  <si>
    <t xml:space="preserve">關於品質稽核技巧七個步驟之淺深順序，下列何項敘述不正確？</t>
  </si>
  <si>
    <t xml:space="preserve">符合性比制度之有效性淺</t>
  </si>
  <si>
    <t xml:space="preserve">制度之有效性比簡化的可行性淺</t>
  </si>
  <si>
    <t xml:space="preserve">成本效益比簡化的可行性淺</t>
  </si>
  <si>
    <t xml:space="preserve">關於品質稽核技巧七個步驟之淺深順序，下列何項敘述正確？</t>
  </si>
  <si>
    <t xml:space="preserve">簡化的可行性比制度之有效性淺</t>
  </si>
  <si>
    <t xml:space="preserve">改善機率比簡化的可行性淺</t>
  </si>
  <si>
    <t xml:space="preserve">成本效益比制度之有效性淺</t>
  </si>
  <si>
    <t xml:space="preserve">關於品質稽核技巧七個步驟之淺深順序，下列何項步驟最淺？</t>
  </si>
  <si>
    <t xml:space="preserve">制度之有效性</t>
  </si>
  <si>
    <t xml:space="preserve">關於品質稽核技巧七個步驟之淺深順序，下列何項步驟最深？</t>
  </si>
  <si>
    <t xml:space="preserve">改善機率</t>
  </si>
  <si>
    <t xml:space="preserve">成本效益</t>
  </si>
  <si>
    <t xml:space="preserve">簡化的可行性</t>
  </si>
  <si>
    <t xml:space="preserve">品質稽核技巧之七步驟，不包括下列何項？</t>
  </si>
  <si>
    <t xml:space="preserve">品質效益</t>
  </si>
  <si>
    <t xml:space="preserve">稽核時間的安排並不足以讓稽核人員事事追根究底，因無法立即改正，應考慮列管追蹤，應用於這種事務之管制文件，通常稱為下列何項？</t>
  </si>
  <si>
    <t xml:space="preserve">矯正措施通知</t>
  </si>
  <si>
    <t xml:space="preserve">預防措施通知</t>
  </si>
  <si>
    <t xml:space="preserve">對於下列哪種狀況不考慮簽發改正措施通知？</t>
  </si>
  <si>
    <t xml:space="preserve">制度性缺失</t>
  </si>
  <si>
    <t xml:space="preserve">有缺失徵兆</t>
  </si>
  <si>
    <t xml:space="preserve">重複性缺失或以往曾列管缺失再犯者</t>
  </si>
  <si>
    <t xml:space="preserve">在稽核期間改善完成可見實效者</t>
  </si>
  <si>
    <t xml:space="preserve">需研修現行品質制度者，為下列何項應考慮的列管追蹤狀況？</t>
  </si>
  <si>
    <t xml:space="preserve">重複性缺失</t>
  </si>
  <si>
    <t xml:space="preserve">以往曾列管缺失再犯者</t>
  </si>
  <si>
    <t xml:space="preserve">需進一步調查影響範圍者，為下列何項應考慮的列管追蹤狀況？</t>
  </si>
  <si>
    <t xml:space="preserve">改正行動作業，應由下列何單位自行研提矯正措施？</t>
  </si>
  <si>
    <t xml:space="preserve">受稽核單位</t>
  </si>
  <si>
    <t xml:space="preserve">稽核作業中對未達成事項之「改正行動」作業必須涵蓋下列何項？</t>
  </si>
  <si>
    <t xml:space="preserve">調查行動</t>
  </si>
  <si>
    <t xml:space="preserve">補救行動</t>
  </si>
  <si>
    <t xml:space="preserve">矯正行動</t>
  </si>
  <si>
    <t xml:space="preserve">改正行動作業中，確認缺失實況與影響範圍，屬於下列何項行動？</t>
  </si>
  <si>
    <t xml:space="preserve">預防行動</t>
  </si>
  <si>
    <t xml:space="preserve">改正行動作業中的調查行動，指的是下列何項？</t>
  </si>
  <si>
    <t xml:space="preserve">對缺失已造成影響的彌補措施</t>
  </si>
  <si>
    <t xml:space="preserve">防止再犯的因應措施</t>
  </si>
  <si>
    <t xml:space="preserve">確認缺失實況與影響範圍</t>
  </si>
  <si>
    <t xml:space="preserve">追查並消除潛在不符合之原因</t>
  </si>
  <si>
    <t xml:space="preserve">改正行動作業中，對缺失已造成影響的彌補措施，屬於下列何項行動？</t>
  </si>
  <si>
    <t xml:space="preserve">改正行動作業中的補救行動，指的是下列何項？</t>
  </si>
  <si>
    <t xml:space="preserve">改正行動作業中，防止再犯的因應措施，屬於下列何項行動？</t>
  </si>
  <si>
    <t xml:space="preserve">改正行動作業中的矯正行動，指的是下列何項？</t>
  </si>
  <si>
    <t xml:space="preserve">簽發稽核報告，為下列何項時機的工作?</t>
  </si>
  <si>
    <t xml:space="preserve">稽核人員之考核，為下列何項時機的工作？</t>
  </si>
  <si>
    <t xml:space="preserve">缺失之追蹤列管，為下列何項時機的工作？</t>
  </si>
  <si>
    <t xml:space="preserve">下列何項不屬於稽核後的工作？</t>
  </si>
  <si>
    <t xml:space="preserve">稽核人員考核</t>
  </si>
  <si>
    <t xml:space="preserve">缺失的追蹤列管</t>
  </si>
  <si>
    <t xml:space="preserve">稽核報告編寫的重點在於下列何項？</t>
  </si>
  <si>
    <t xml:space="preserve">陳述事實</t>
  </si>
  <si>
    <t xml:space="preserve">缺失內容</t>
  </si>
  <si>
    <t xml:space="preserve">錯誤的陳述</t>
  </si>
  <si>
    <t xml:space="preserve">組織檢討</t>
  </si>
  <si>
    <t xml:space="preserve">稽核報告的目的，是要讓下列何項人員瞭解工地所發生之品質管理系統面問題？</t>
  </si>
  <si>
    <t xml:space="preserve">稽核報告的內容，除了需填寫基本資料外，不需包括下列何項？</t>
  </si>
  <si>
    <t xml:space="preserve">稽核的目的與範圍</t>
  </si>
  <si>
    <t xml:space="preserve">稽核結果</t>
  </si>
  <si>
    <t xml:space="preserve">簽發預防措施通知目錄</t>
  </si>
  <si>
    <t xml:space="preserve">稽核組長總評</t>
  </si>
  <si>
    <t xml:space="preserve">品質稽核報告內容，應從所見問題探討成因，進而改進制度與根絕再生，所以「事實」是下列何項？</t>
  </si>
  <si>
    <t xml:space="preserve">缺失表相</t>
  </si>
  <si>
    <t xml:space="preserve">導致問題的本質</t>
  </si>
  <si>
    <t xml:space="preserve">工程品質良窳</t>
  </si>
  <si>
    <t xml:space="preserve">陳述錯誤</t>
  </si>
  <si>
    <t xml:space="preserve">監造單位在完成第一者稽核後，應能向其委託者或主管機關清楚宣告，下列何項計畫的落實程度與有效性？</t>
  </si>
  <si>
    <t xml:space="preserve">監造單位在完成第二者稽核後，應能向其委託者或主管機關清楚宣告，下列何項計畫的落實程度與有效性？</t>
  </si>
  <si>
    <t xml:space="preserve">關於稽核作業，下列何項敘述不正確？</t>
  </si>
  <si>
    <t xml:space="preserve">不可與自主品管觀念相違背</t>
  </si>
  <si>
    <t xml:space="preserve">以稽核之名，著眼於施工技術問題的發覺或改善</t>
  </si>
  <si>
    <t xml:space="preserve">是一種客觀作業</t>
  </si>
  <si>
    <t xml:space="preserve">是一種獨立作業</t>
  </si>
  <si>
    <t xml:space="preserve">稽核作業最終結果將回歸於下列何項？</t>
  </si>
  <si>
    <t xml:space="preserve">自主品管觀念</t>
  </si>
  <si>
    <t xml:space="preserve">施工技術問題的改善</t>
  </si>
  <si>
    <t xml:space="preserve">品質制度成效之探討</t>
  </si>
  <si>
    <t xml:space="preserve">施工技術問題的發覺</t>
  </si>
  <si>
    <t xml:space="preserve">未受過稽核訓練與未通過稽核員必要之養成教育的專業人士，僅能以下列何種身份參加稽核？</t>
  </si>
  <si>
    <t xml:space="preserve">對稽核工作應有正確的認知，稽核尋求的是下列何項？</t>
  </si>
  <si>
    <t xml:space="preserve">理由</t>
  </si>
  <si>
    <t xml:space="preserve">事實</t>
  </si>
  <si>
    <t xml:space="preserve">原因</t>
  </si>
  <si>
    <t xml:space="preserve">品質</t>
  </si>
  <si>
    <t xml:space="preserve">對稽核工作應有正確的認知，下列何項敘述不正確？</t>
  </si>
  <si>
    <t xml:space="preserve">稽核者位於為決策管理與執行兩者間</t>
  </si>
  <si>
    <t xml:space="preserve">稽核者要如朋友、嚮導與哲學家般的心境</t>
  </si>
  <si>
    <t xml:space="preserve">稽核者要建立有效的溝通管道</t>
  </si>
  <si>
    <t xml:space="preserve">稽核尋求的是找錯(fault)</t>
  </si>
  <si>
    <t xml:space="preserve">主要稽核計畫表，不包括下列何項？</t>
  </si>
  <si>
    <t xml:space="preserve">稽核事項</t>
  </si>
  <si>
    <t xml:space="preserve">稽核區域</t>
  </si>
  <si>
    <t xml:space="preserve">稽核範圍</t>
  </si>
  <si>
    <t xml:space="preserve">參考文件</t>
  </si>
  <si>
    <t xml:space="preserve">品質稽核查對表，不包括下列何項？</t>
  </si>
  <si>
    <t xml:space="preserve">證實方法</t>
  </si>
  <si>
    <t xml:space="preserve">參考資料</t>
  </si>
  <si>
    <t xml:space="preserve">第一章 電氣設備工程品質管理實務</t>
  </si>
  <si>
    <t xml:space="preserve">單元二：第一章 電氣設備工程品質管理實務</t>
  </si>
  <si>
    <t xml:space="preserve">有關導線槽配線，下列敘述何者不正確？</t>
  </si>
  <si>
    <t xml:space="preserve">導線槽係指以金屬板或耐燃性非金屬槽道製成，以供配裝電線或電纜之管槽</t>
  </si>
  <si>
    <t xml:space="preserve">水平裝置之金屬導線槽應在每距2公尺處加一固定支持</t>
  </si>
  <si>
    <t xml:space="preserve">裝於導線槽內之有載導線數不得超過30條，且各導線截面積之和不得超過該線槽內截面積百分之二十</t>
  </si>
  <si>
    <t xml:space="preserve">由金屬導線槽展延而引出之配線，得按金屬管或金屬外皮電纜裝置法配裝</t>
  </si>
  <si>
    <t xml:space="preserve">電氣設備</t>
  </si>
  <si>
    <t xml:space="preserve">貫穿地下室外牆之配管，常因施工不當，造成滲漏水現象，在地下室外牆封模與澆築混凝土前，應先行預埋</t>
  </si>
  <si>
    <t xml:space="preserve">過牆管且管圍並加止水環</t>
  </si>
  <si>
    <t xml:space="preserve">套管</t>
  </si>
  <si>
    <t xml:space="preserve">連接管</t>
  </si>
  <si>
    <t xml:space="preserve">連通管</t>
  </si>
  <si>
    <t xml:space="preserve">照明、火警探測器及開關、插座等，埋設於樓版及柱牆配管施工作業內，下列何者為錯誤方式？</t>
  </si>
  <si>
    <t xml:space="preserve">柱牆之管路應配設於箍筋外，以防混凝土澆築後保護層不足</t>
  </si>
  <si>
    <t xml:space="preserve">配管應施設於雙層鋼筋中間，並採用高腳型出線匣，管路與出線匣接續處接成S型</t>
  </si>
  <si>
    <t xml:space="preserve">配管應避免過度集中及交錯重疊，致影響混凝土澆築後之強度及保護層不足</t>
  </si>
  <si>
    <t xml:space="preserve">兩出線匣間之配管應避免轉彎</t>
  </si>
  <si>
    <t xml:space="preserve">三相四線多重接地系統供電地區用戶變壓器之低壓電源系統接地，或高壓用電設備接地，稱為下列何者接地？</t>
  </si>
  <si>
    <t xml:space="preserve">特種接地</t>
  </si>
  <si>
    <t xml:space="preserve">第一種接地</t>
  </si>
  <si>
    <t xml:space="preserve">第二種接地</t>
  </si>
  <si>
    <t xml:space="preserve">第三種接地</t>
  </si>
  <si>
    <t xml:space="preserve">電氣設備、電氣安全</t>
  </si>
  <si>
    <t xml:space="preserve">電纜配線採用保護管保護時，其內徑應大於電纜外徑</t>
  </si>
  <si>
    <r>
      <rPr>
        <sz val="10"/>
        <rFont val="Arial"/>
        <family val="0"/>
        <charset val="1"/>
      </rPr>
      <t xml:space="preserve">1</t>
    </r>
    <r>
      <rPr>
        <sz val="10"/>
        <rFont val="Noto Sans CJK SC"/>
        <family val="2"/>
      </rPr>
      <t xml:space="preserve">倍</t>
    </r>
  </si>
  <si>
    <r>
      <rPr>
        <sz val="10"/>
        <rFont val="Arial"/>
        <family val="0"/>
        <charset val="1"/>
      </rPr>
      <t xml:space="preserve">1.5</t>
    </r>
    <r>
      <rPr>
        <sz val="10"/>
        <rFont val="Noto Sans CJK SC"/>
        <family val="2"/>
      </rPr>
      <t xml:space="preserve">倍</t>
    </r>
  </si>
  <si>
    <r>
      <rPr>
        <sz val="10"/>
        <rFont val="Arial"/>
        <family val="0"/>
        <charset val="1"/>
      </rPr>
      <t xml:space="preserve">1.2</t>
    </r>
    <r>
      <rPr>
        <sz val="10"/>
        <rFont val="Noto Sans CJK SC"/>
        <family val="2"/>
      </rPr>
      <t xml:space="preserve">倍</t>
    </r>
  </si>
  <si>
    <r>
      <rPr>
        <sz val="10"/>
        <rFont val="Arial"/>
        <family val="0"/>
        <charset val="1"/>
      </rPr>
      <t xml:space="preserve">1.1</t>
    </r>
    <r>
      <rPr>
        <sz val="10"/>
        <rFont val="Noto Sans CJK SC"/>
        <family val="2"/>
      </rPr>
      <t xml:space="preserve">倍以上</t>
    </r>
  </si>
  <si>
    <t xml:space="preserve">將各構件被收容於各自分開的隔間內，但隔板係為非金屬製之隔板的配電箱稱為</t>
  </si>
  <si>
    <t xml:space="preserve">裝甲型(Metal-Clad Type)</t>
  </si>
  <si>
    <t xml:space="preserve">隔間型(Compartmented Type)</t>
  </si>
  <si>
    <t xml:space="preserve">箱櫃型(Cubicle Type)</t>
  </si>
  <si>
    <t xml:space="preserve">F2 Type</t>
  </si>
  <si>
    <t xml:space="preserve">過電流電驛之電流分接頭標置T(Current tap setting)之設定與下列何項設備有關？</t>
  </si>
  <si>
    <t xml:space="preserve">比壓器比值，</t>
  </si>
  <si>
    <t xml:space="preserve">整流器比值，</t>
  </si>
  <si>
    <t xml:space="preserve">比流器比值，</t>
  </si>
  <si>
    <t xml:space="preserve">分流器比值</t>
  </si>
  <si>
    <t xml:space="preserve">斷路器或電力熔絲從開始動作到切離線路或滅孤的全部時間約為5-8週，如斷路器為8週型，即表示斷路器從開始動作到切離線路或滅孤的全部時間約為何？</t>
  </si>
  <si>
    <r>
      <rPr>
        <sz val="10"/>
        <rFont val="Arial"/>
        <family val="0"/>
        <charset val="1"/>
      </rPr>
      <t xml:space="preserve">0.082</t>
    </r>
    <r>
      <rPr>
        <sz val="10"/>
        <rFont val="Noto Sans CJK SC"/>
        <family val="2"/>
      </rPr>
      <t xml:space="preserve">秒</t>
    </r>
  </si>
  <si>
    <r>
      <rPr>
        <sz val="10"/>
        <rFont val="Arial"/>
        <family val="0"/>
        <charset val="1"/>
      </rPr>
      <t xml:space="preserve">0.133</t>
    </r>
    <r>
      <rPr>
        <sz val="10"/>
        <rFont val="Noto Sans CJK SC"/>
        <family val="2"/>
      </rPr>
      <t xml:space="preserve">秒</t>
    </r>
  </si>
  <si>
    <r>
      <rPr>
        <sz val="10"/>
        <rFont val="Arial"/>
        <family val="0"/>
        <charset val="1"/>
      </rPr>
      <t xml:space="preserve">0.082</t>
    </r>
    <r>
      <rPr>
        <sz val="10"/>
        <rFont val="Noto Sans CJK SC"/>
        <family val="2"/>
      </rPr>
      <t xml:space="preserve">至</t>
    </r>
    <r>
      <rPr>
        <sz val="10"/>
        <rFont val="Arial"/>
        <family val="0"/>
        <charset val="1"/>
      </rPr>
      <t xml:space="preserve">0.133</t>
    </r>
    <r>
      <rPr>
        <sz val="10"/>
        <rFont val="Noto Sans CJK SC"/>
        <family val="2"/>
      </rPr>
      <t xml:space="preserve">秒</t>
    </r>
  </si>
  <si>
    <r>
      <rPr>
        <sz val="10"/>
        <rFont val="Arial"/>
        <family val="0"/>
        <charset val="1"/>
      </rPr>
      <t xml:space="preserve">8</t>
    </r>
    <r>
      <rPr>
        <sz val="10"/>
        <rFont val="Noto Sans CJK SC"/>
        <family val="2"/>
      </rPr>
      <t xml:space="preserve">秒</t>
    </r>
  </si>
  <si>
    <t xml:space="preserve">過電流電驛動作曲線均為繪製於雙對數座標上，橫座標是以電流對分接頭標置T的倍數或百分比，縱座標是電驛之</t>
  </si>
  <si>
    <t xml:space="preserve">動作時間，</t>
  </si>
  <si>
    <t xml:space="preserve">動作電流，</t>
  </si>
  <si>
    <t xml:space="preserve">動作電壓，</t>
  </si>
  <si>
    <t xml:space="preserve">感應電流</t>
  </si>
  <si>
    <t xml:space="preserve">機水電施工圖繪製及檢討原則可不包含下列何項？</t>
  </si>
  <si>
    <t xml:space="preserve">管路平面圖套繪</t>
  </si>
  <si>
    <t xml:space="preserve">管路高程</t>
  </si>
  <si>
    <t xml:space="preserve">管路尺寸</t>
  </si>
  <si>
    <t xml:space="preserve">管路之廠牌</t>
  </si>
  <si>
    <t xml:space="preserve">下列何者不是施工圖繪製及檢討原則？</t>
  </si>
  <si>
    <t xml:space="preserve">釐清工程界面</t>
  </si>
  <si>
    <t xml:space="preserve">避免施工錯誤</t>
  </si>
  <si>
    <t xml:space="preserve">建立共同施工標準</t>
  </si>
  <si>
    <t xml:space="preserve">計算標價準備投標</t>
  </si>
  <si>
    <t xml:space="preserve">柱內配管應配設於</t>
  </si>
  <si>
    <t xml:space="preserve">箍筋內側</t>
  </si>
  <si>
    <t xml:space="preserve">箍筋外側</t>
  </si>
  <si>
    <t xml:space="preserve">鋼筋保護層內</t>
  </si>
  <si>
    <t xml:space="preserve">箍筋外側或鋼筋保護層內</t>
  </si>
  <si>
    <t xml:space="preserve">電纜架之選用規定，下列敘述何者不正確？</t>
  </si>
  <si>
    <t xml:space="preserve">電纜架應有足夠強度及硬度</t>
  </si>
  <si>
    <t xml:space="preserve">非金屬電纜架應以非耐燃性之材質製成</t>
  </si>
  <si>
    <t xml:space="preserve">不得有尖銳邊緣、鋸齒狀或突出物</t>
  </si>
  <si>
    <t xml:space="preserve">電纜架系統應有耐腐蝕性</t>
  </si>
  <si>
    <r>
      <rPr>
        <sz val="10"/>
        <rFont val="Arial"/>
        <family val="0"/>
        <charset val="1"/>
      </rPr>
      <t xml:space="preserve">MCCB(NFB)</t>
    </r>
    <r>
      <rPr>
        <sz val="10"/>
        <rFont val="Noto Sans CJK SC"/>
        <family val="2"/>
      </rPr>
      <t xml:space="preserve">之電流額定係以周溫</t>
    </r>
  </si>
  <si>
    <t xml:space="preserve">55℃</t>
  </si>
  <si>
    <t xml:space="preserve">45℃</t>
  </si>
  <si>
    <t xml:space="preserve">35℃</t>
  </si>
  <si>
    <r>
      <rPr>
        <sz val="10"/>
        <rFont val="Arial"/>
        <family val="0"/>
        <charset val="1"/>
      </rPr>
      <t xml:space="preserve">25℃</t>
    </r>
    <r>
      <rPr>
        <sz val="10"/>
        <rFont val="Noto Sans CJK SC"/>
        <family val="2"/>
      </rPr>
      <t xml:space="preserve">為準，若裝於配電箱中，則其電流額定應略降低之</t>
    </r>
  </si>
  <si>
    <t xml:space="preserve">有關電氣系統之接地方式，下列何者敘述為錯誤？</t>
  </si>
  <si>
    <t xml:space="preserve">應能抑制因負載電流過大</t>
  </si>
  <si>
    <t xml:space="preserve">應能抑制線路突波</t>
  </si>
  <si>
    <t xml:space="preserve">應能抑制意外接觸較高電壓線路</t>
  </si>
  <si>
    <t xml:space="preserve">應能抑制由雷擊，所引起之異常電壓</t>
  </si>
  <si>
    <t xml:space="preserve">用戶用電線路屬於被接地導線之再行接地，是屬於下列何種接地？</t>
  </si>
  <si>
    <t xml:space="preserve">低壓電源系統接地</t>
  </si>
  <si>
    <t xml:space="preserve">內線系統接地</t>
  </si>
  <si>
    <t xml:space="preserve">設備接地</t>
  </si>
  <si>
    <t xml:space="preserve">避雷接地</t>
  </si>
  <si>
    <t xml:space="preserve">配電變壓器之二次側低壓線或中性線之接地，是屬於下列何種接地？</t>
  </si>
  <si>
    <t xml:space="preserve">電信接地</t>
  </si>
  <si>
    <t xml:space="preserve">設備與系統共同接地，下列何者敘述為正確？</t>
  </si>
  <si>
    <t xml:space="preserve">內線系統接地，與設備接地共用一接地導線或同一接地電極</t>
  </si>
  <si>
    <t xml:space="preserve">用電設備及用電器具之非帶電金屬部分應予接地，是屬於下列何種接地？</t>
  </si>
  <si>
    <t xml:space="preserve">用戶變壓器之低壓電源系統接地，其接地電阻值下列何者正確？</t>
  </si>
  <si>
    <r>
      <rPr>
        <sz val="10"/>
        <rFont val="Arial"/>
        <family val="0"/>
        <charset val="1"/>
      </rPr>
      <t xml:space="preserve">100Ω</t>
    </r>
    <r>
      <rPr>
        <sz val="10"/>
        <rFont val="Noto Sans CJK SC"/>
        <family val="2"/>
      </rPr>
      <t xml:space="preserve">以下</t>
    </r>
  </si>
  <si>
    <r>
      <rPr>
        <sz val="10"/>
        <rFont val="Arial"/>
        <family val="0"/>
        <charset val="1"/>
      </rPr>
      <t xml:space="preserve">10Ω</t>
    </r>
    <r>
      <rPr>
        <sz val="10"/>
        <rFont val="Noto Sans CJK SC"/>
        <family val="2"/>
      </rPr>
      <t xml:space="preserve">以下</t>
    </r>
  </si>
  <si>
    <r>
      <rPr>
        <sz val="10"/>
        <rFont val="Arial"/>
        <family val="0"/>
        <charset val="1"/>
      </rPr>
      <t xml:space="preserve">50Ω</t>
    </r>
    <r>
      <rPr>
        <sz val="10"/>
        <rFont val="Noto Sans CJK SC"/>
        <family val="2"/>
      </rPr>
      <t xml:space="preserve">以下</t>
    </r>
  </si>
  <si>
    <r>
      <rPr>
        <sz val="10"/>
        <rFont val="Arial"/>
        <family val="0"/>
        <charset val="1"/>
      </rPr>
      <t xml:space="preserve">75Ω</t>
    </r>
    <r>
      <rPr>
        <sz val="10"/>
        <rFont val="Noto Sans CJK SC"/>
        <family val="2"/>
      </rPr>
      <t xml:space="preserve">以下</t>
    </r>
  </si>
  <si>
    <t xml:space="preserve">高壓用電設備接地，其接地電阻值下列何者正確？</t>
  </si>
  <si>
    <t xml:space="preserve">對地電壓151V至300V之間，其接地電阻值下列何者正確？</t>
  </si>
  <si>
    <r>
      <rPr>
        <sz val="10"/>
        <rFont val="Arial"/>
        <family val="0"/>
        <charset val="1"/>
      </rPr>
      <t xml:space="preserve">150Ω</t>
    </r>
    <r>
      <rPr>
        <sz val="10"/>
        <rFont val="Noto Sans CJK SC"/>
        <family val="2"/>
      </rPr>
      <t xml:space="preserve">以下</t>
    </r>
  </si>
  <si>
    <t xml:space="preserve">依規定低壓用電器具或配線應加以接地，不包含下列何者？</t>
  </si>
  <si>
    <t xml:space="preserve">電纜之PVC被覆</t>
  </si>
  <si>
    <t xml:space="preserve">低壓電動機之外殼</t>
  </si>
  <si>
    <t xml:space="preserve">電纜之金屬被覆</t>
  </si>
  <si>
    <t xml:space="preserve">對地電壓超過150V之固定式用電器具</t>
  </si>
  <si>
    <t xml:space="preserve">非金屬導線管連接之金屬配件，用於對地電壓超過150V之配線</t>
  </si>
  <si>
    <t xml:space="preserve">對地電壓150V以下之移動式用電器具，用於乾燥場所者</t>
  </si>
  <si>
    <t xml:space="preserve">固定式用電設備或器具之非帶電金屬部分施行設備接地，下列何者敘述不正確？</t>
  </si>
  <si>
    <t xml:space="preserve">在導線管內或電纜內附加或內含一條設備接地導線</t>
  </si>
  <si>
    <t xml:space="preserve">設備接地導線之絕緣或被覆，應為綠色</t>
  </si>
  <si>
    <t xml:space="preserve">設備接地導線之絕緣或被覆，應為黃色</t>
  </si>
  <si>
    <t xml:space="preserve">設備接地導線之絕緣或被覆，採綠色加一條以上黃色條紋</t>
  </si>
  <si>
    <t xml:space="preserve">電氣接地系統之接地電極採棒狀或管狀接地電極，其長度應為多少公尺以上？</t>
  </si>
  <si>
    <t xml:space="preserve">2.4m</t>
  </si>
  <si>
    <t xml:space="preserve">2m</t>
  </si>
  <si>
    <t xml:space="preserve">1.8m</t>
  </si>
  <si>
    <t xml:space="preserve">電氣接地系統之接地電極採導管或管狀接地電極，其外徑何者為正確？</t>
  </si>
  <si>
    <r>
      <rPr>
        <sz val="10"/>
        <rFont val="Arial"/>
        <family val="0"/>
        <charset val="1"/>
      </rPr>
      <t xml:space="preserve">15</t>
    </r>
    <r>
      <rPr>
        <sz val="10"/>
        <rFont val="Noto Sans CJK SC"/>
        <family val="2"/>
      </rPr>
      <t xml:space="preserve">㎜以上</t>
    </r>
  </si>
  <si>
    <r>
      <rPr>
        <sz val="10"/>
        <rFont val="Arial"/>
        <family val="0"/>
        <charset val="1"/>
      </rPr>
      <t xml:space="preserve">19</t>
    </r>
    <r>
      <rPr>
        <sz val="10"/>
        <rFont val="Noto Sans CJK SC"/>
        <family val="2"/>
      </rPr>
      <t xml:space="preserve">㎜以上</t>
    </r>
  </si>
  <si>
    <r>
      <rPr>
        <sz val="10"/>
        <rFont val="Arial"/>
        <family val="0"/>
        <charset val="1"/>
      </rPr>
      <t xml:space="preserve">12</t>
    </r>
    <r>
      <rPr>
        <sz val="10"/>
        <rFont val="Noto Sans CJK SC"/>
        <family val="2"/>
      </rPr>
      <t xml:space="preserve">㎜以上</t>
    </r>
  </si>
  <si>
    <r>
      <rPr>
        <sz val="10"/>
        <rFont val="Arial"/>
        <family val="0"/>
        <charset val="1"/>
      </rPr>
      <t xml:space="preserve">10</t>
    </r>
    <r>
      <rPr>
        <sz val="10"/>
        <rFont val="Noto Sans CJK SC"/>
        <family val="2"/>
      </rPr>
      <t xml:space="preserve">㎜以上</t>
    </r>
  </si>
  <si>
    <t xml:space="preserve">電氣接地系統之接地電極採鋼心包銅之棒狀接地電極，其直徑何者為正確？</t>
  </si>
  <si>
    <r>
      <rPr>
        <sz val="10"/>
        <rFont val="Arial"/>
        <family val="0"/>
        <charset val="1"/>
      </rPr>
      <t xml:space="preserve">14mm</t>
    </r>
    <r>
      <rPr>
        <sz val="10"/>
        <rFont val="Noto Sans CJK SC"/>
        <family val="2"/>
      </rPr>
      <t xml:space="preserve">以上</t>
    </r>
  </si>
  <si>
    <r>
      <rPr>
        <sz val="10"/>
        <rFont val="Arial"/>
        <family val="0"/>
        <charset val="1"/>
      </rPr>
      <t xml:space="preserve">13mm</t>
    </r>
    <r>
      <rPr>
        <sz val="10"/>
        <rFont val="Noto Sans CJK SC"/>
        <family val="2"/>
      </rPr>
      <t xml:space="preserve">以上</t>
    </r>
  </si>
  <si>
    <r>
      <rPr>
        <sz val="10"/>
        <rFont val="Arial"/>
        <family val="0"/>
        <charset val="1"/>
      </rPr>
      <t xml:space="preserve">15mm</t>
    </r>
    <r>
      <rPr>
        <sz val="10"/>
        <rFont val="Noto Sans CJK SC"/>
        <family val="2"/>
      </rPr>
      <t xml:space="preserve">以上</t>
    </r>
  </si>
  <si>
    <r>
      <rPr>
        <sz val="10"/>
        <rFont val="Arial"/>
        <family val="0"/>
        <charset val="1"/>
      </rPr>
      <t xml:space="preserve">12mm</t>
    </r>
    <r>
      <rPr>
        <sz val="10"/>
        <rFont val="Noto Sans CJK SC"/>
        <family val="2"/>
      </rPr>
      <t xml:space="preserve">以上</t>
    </r>
  </si>
  <si>
    <t xml:space="preserve">電氣接地系統之接地電極採板狀接地電極，板狀接地電極任一面與土壤接觸面積，下列何者為正確？</t>
  </si>
  <si>
    <r>
      <rPr>
        <sz val="10"/>
        <rFont val="Arial"/>
        <family val="0"/>
        <charset val="1"/>
      </rPr>
      <t xml:space="preserve">0.176</t>
    </r>
    <r>
      <rPr>
        <sz val="10"/>
        <rFont val="Noto Sans CJK SC"/>
        <family val="2"/>
      </rPr>
      <t xml:space="preserve">平方米以上</t>
    </r>
  </si>
  <si>
    <r>
      <rPr>
        <sz val="10"/>
        <rFont val="Arial"/>
        <family val="0"/>
        <charset val="1"/>
      </rPr>
      <t xml:space="preserve">0.166</t>
    </r>
    <r>
      <rPr>
        <sz val="10"/>
        <rFont val="Noto Sans CJK SC"/>
        <family val="2"/>
      </rPr>
      <t xml:space="preserve">平方米以上</t>
    </r>
  </si>
  <si>
    <r>
      <rPr>
        <sz val="10"/>
        <rFont val="Arial"/>
        <family val="0"/>
        <charset val="1"/>
      </rPr>
      <t xml:space="preserve">0.156</t>
    </r>
    <r>
      <rPr>
        <sz val="10"/>
        <rFont val="Noto Sans CJK SC"/>
        <family val="2"/>
      </rPr>
      <t xml:space="preserve">平方米以上</t>
    </r>
  </si>
  <si>
    <r>
      <rPr>
        <sz val="10"/>
        <rFont val="Arial"/>
        <family val="0"/>
        <charset val="1"/>
      </rPr>
      <t xml:space="preserve">0.186</t>
    </r>
    <r>
      <rPr>
        <sz val="10"/>
        <rFont val="Noto Sans CJK SC"/>
        <family val="2"/>
      </rPr>
      <t xml:space="preserve">平方米以上</t>
    </r>
  </si>
  <si>
    <t xml:space="preserve">電氣接地系統之接地電極採板狀接地電極，如採裸鐵板、裸鋼板或導電塗布之鐵板或鋼板，其厚度下列何者為正確？</t>
  </si>
  <si>
    <r>
      <rPr>
        <sz val="10"/>
        <rFont val="Arial"/>
        <family val="0"/>
        <charset val="1"/>
      </rPr>
      <t xml:space="preserve">6.4</t>
    </r>
    <r>
      <rPr>
        <sz val="10"/>
        <rFont val="Noto Sans CJK SC"/>
        <family val="2"/>
      </rPr>
      <t xml:space="preserve">毫米以上</t>
    </r>
  </si>
  <si>
    <r>
      <rPr>
        <sz val="10"/>
        <rFont val="Arial"/>
        <family val="0"/>
        <charset val="1"/>
      </rPr>
      <t xml:space="preserve">5.5</t>
    </r>
    <r>
      <rPr>
        <sz val="10"/>
        <rFont val="Noto Sans CJK SC"/>
        <family val="2"/>
      </rPr>
      <t xml:space="preserve">毫米以上</t>
    </r>
  </si>
  <si>
    <r>
      <rPr>
        <sz val="10"/>
        <rFont val="Arial"/>
        <family val="0"/>
        <charset val="1"/>
      </rPr>
      <t xml:space="preserve">5.0</t>
    </r>
    <r>
      <rPr>
        <sz val="10"/>
        <rFont val="Noto Sans CJK SC"/>
        <family val="2"/>
      </rPr>
      <t xml:space="preserve">毫米以上</t>
    </r>
  </si>
  <si>
    <r>
      <rPr>
        <sz val="10"/>
        <rFont val="Arial"/>
        <family val="0"/>
        <charset val="1"/>
      </rPr>
      <t xml:space="preserve">4.5</t>
    </r>
    <r>
      <rPr>
        <sz val="10"/>
        <rFont val="Noto Sans CJK SC"/>
        <family val="2"/>
      </rPr>
      <t xml:space="preserve">毫米以上</t>
    </r>
  </si>
  <si>
    <t xml:space="preserve">電氣接地系統之接地電極採板狀接地電極，如採銅板，其厚度下列何者為正確？</t>
  </si>
  <si>
    <r>
      <rPr>
        <sz val="10"/>
        <rFont val="Arial"/>
        <family val="0"/>
        <charset val="1"/>
      </rPr>
      <t xml:space="preserve">1.4</t>
    </r>
    <r>
      <rPr>
        <sz val="10"/>
        <rFont val="Noto Sans CJK SC"/>
        <family val="2"/>
      </rPr>
      <t xml:space="preserve">毫米以上</t>
    </r>
  </si>
  <si>
    <r>
      <rPr>
        <sz val="10"/>
        <rFont val="Arial"/>
        <family val="0"/>
        <charset val="1"/>
      </rPr>
      <t xml:space="preserve">1.5</t>
    </r>
    <r>
      <rPr>
        <sz val="10"/>
        <rFont val="Noto Sans CJK SC"/>
        <family val="2"/>
      </rPr>
      <t xml:space="preserve">毫米以上</t>
    </r>
  </si>
  <si>
    <r>
      <rPr>
        <sz val="10"/>
        <rFont val="Arial"/>
        <family val="0"/>
        <charset val="1"/>
      </rPr>
      <t xml:space="preserve">1.3</t>
    </r>
    <r>
      <rPr>
        <sz val="10"/>
        <rFont val="Noto Sans CJK SC"/>
        <family val="2"/>
      </rPr>
      <t xml:space="preserve">毫米以上</t>
    </r>
  </si>
  <si>
    <r>
      <rPr>
        <sz val="10"/>
        <rFont val="Arial"/>
        <family val="0"/>
        <charset val="1"/>
      </rPr>
      <t xml:space="preserve">1.2</t>
    </r>
    <r>
      <rPr>
        <sz val="10"/>
        <rFont val="Noto Sans CJK SC"/>
        <family val="2"/>
      </rPr>
      <t xml:space="preserve">毫米以上</t>
    </r>
  </si>
  <si>
    <t xml:space="preserve">避雷器(Lightning Arrester)簡稱LA，是一種</t>
  </si>
  <si>
    <t xml:space="preserve">過電流</t>
  </si>
  <si>
    <t xml:space="preserve">過電阻</t>
  </si>
  <si>
    <t xml:space="preserve">過電壓</t>
  </si>
  <si>
    <t xml:space="preserve">欠電壓保護設備</t>
  </si>
  <si>
    <t xml:space="preserve">高壓以上用戶之變電站應裝設</t>
  </si>
  <si>
    <t xml:space="preserve">避雷針</t>
  </si>
  <si>
    <t xml:space="preserve">漏電斷路器</t>
  </si>
  <si>
    <t xml:space="preserve">無熔線斷路器</t>
  </si>
  <si>
    <t xml:space="preserve">避雷器，以保護用戶用電設備</t>
  </si>
  <si>
    <t xml:space="preserve">避雷器應裝設於進屋線</t>
  </si>
  <si>
    <t xml:space="preserve">隔離開關</t>
  </si>
  <si>
    <t xml:space="preserve">比流器之電源側或負載側</t>
  </si>
  <si>
    <t xml:space="preserve">避雷器與大地間之接地電極導線應採用銅質導線且線徑不得</t>
  </si>
  <si>
    <t xml:space="preserve">小於8平方毫米</t>
  </si>
  <si>
    <t xml:space="preserve">小於14平方毫米</t>
  </si>
  <si>
    <t xml:space="preserve">小於5.5平方毫米</t>
  </si>
  <si>
    <t xml:space="preserve">小於3.5平方毫米</t>
  </si>
  <si>
    <t xml:space="preserve">避雷器之接地電阻應在</t>
  </si>
  <si>
    <r>
      <rPr>
        <sz val="10"/>
        <rFont val="Arial"/>
        <family val="0"/>
        <charset val="1"/>
      </rPr>
      <t xml:space="preserve">10</t>
    </r>
    <r>
      <rPr>
        <sz val="10"/>
        <rFont val="Noto Sans CJK SC"/>
        <family val="2"/>
      </rPr>
      <t xml:space="preserve">歐姆以上</t>
    </r>
  </si>
  <si>
    <r>
      <rPr>
        <sz val="10"/>
        <rFont val="Arial"/>
        <family val="0"/>
        <charset val="1"/>
      </rPr>
      <t xml:space="preserve">50</t>
    </r>
    <r>
      <rPr>
        <sz val="10"/>
        <rFont val="Noto Sans CJK SC"/>
        <family val="2"/>
      </rPr>
      <t xml:space="preserve">歐姆以下</t>
    </r>
  </si>
  <si>
    <r>
      <rPr>
        <sz val="10"/>
        <rFont val="Arial"/>
        <family val="0"/>
        <charset val="1"/>
      </rPr>
      <t xml:space="preserve">10</t>
    </r>
    <r>
      <rPr>
        <sz val="10"/>
        <rFont val="Noto Sans CJK SC"/>
        <family val="2"/>
      </rPr>
      <t xml:space="preserve">歐姆以下</t>
    </r>
  </si>
  <si>
    <r>
      <rPr>
        <sz val="10"/>
        <rFont val="Arial"/>
        <family val="0"/>
        <charset val="1"/>
      </rPr>
      <t xml:space="preserve">50</t>
    </r>
    <r>
      <rPr>
        <sz val="10"/>
        <rFont val="Noto Sans CJK SC"/>
        <family val="2"/>
      </rPr>
      <t xml:space="preserve">歐姆以上</t>
    </r>
  </si>
  <si>
    <t xml:space="preserve">按建築技術規則之規定，需裝設避雷針之場所，下列何者為正確？</t>
  </si>
  <si>
    <t xml:space="preserve">高度超過20公尺</t>
  </si>
  <si>
    <t xml:space="preserve">高度超過18公尺</t>
  </si>
  <si>
    <t xml:space="preserve">高度超過15公尺</t>
  </si>
  <si>
    <t xml:space="preserve">高度超過12公尺以上建築物</t>
  </si>
  <si>
    <t xml:space="preserve">按建築技術規則之規定，作危險物品倉庫使用者，高度超過多少公尺以上需裝設避雷針，下列何者為正確？</t>
  </si>
  <si>
    <t xml:space="preserve">高度超過2公尺</t>
  </si>
  <si>
    <t xml:space="preserve">高度超過3公尺</t>
  </si>
  <si>
    <t xml:space="preserve">高度超過1.5公尺</t>
  </si>
  <si>
    <t xml:space="preserve">高度超過2.5公尺以上建築物</t>
  </si>
  <si>
    <t xml:space="preserve">避雷針之保護範圍，一般建築物之保護角不得超過多少度，下列何者為正確？</t>
  </si>
  <si>
    <r>
      <rPr>
        <sz val="10"/>
        <rFont val="Arial"/>
        <family val="0"/>
        <charset val="1"/>
      </rPr>
      <t xml:space="preserve">90</t>
    </r>
    <r>
      <rPr>
        <sz val="10"/>
        <rFont val="Noto Sans CJK SC"/>
        <family val="2"/>
      </rPr>
      <t xml:space="preserve">度</t>
    </r>
  </si>
  <si>
    <r>
      <rPr>
        <sz val="10"/>
        <rFont val="Arial"/>
        <family val="0"/>
        <charset val="1"/>
      </rPr>
      <t xml:space="preserve">80</t>
    </r>
    <r>
      <rPr>
        <sz val="10"/>
        <rFont val="Noto Sans CJK SC"/>
        <family val="2"/>
      </rPr>
      <t xml:space="preserve">度</t>
    </r>
  </si>
  <si>
    <r>
      <rPr>
        <sz val="10"/>
        <rFont val="Arial"/>
        <family val="0"/>
        <charset val="1"/>
      </rPr>
      <t xml:space="preserve">60</t>
    </r>
    <r>
      <rPr>
        <sz val="10"/>
        <rFont val="Noto Sans CJK SC"/>
        <family val="2"/>
      </rPr>
      <t xml:space="preserve">度</t>
    </r>
  </si>
  <si>
    <r>
      <rPr>
        <sz val="10"/>
        <rFont val="Arial"/>
        <family val="0"/>
        <charset val="1"/>
      </rPr>
      <t xml:space="preserve">70</t>
    </r>
    <r>
      <rPr>
        <sz val="10"/>
        <rFont val="Noto Sans CJK SC"/>
        <family val="2"/>
      </rPr>
      <t xml:space="preserve">度</t>
    </r>
  </si>
  <si>
    <t xml:space="preserve">避雷針之保護範圍，危險物品倉庫之保護角不得超過多少度，下列何者為正確？</t>
  </si>
  <si>
    <r>
      <rPr>
        <sz val="10"/>
        <rFont val="Arial"/>
        <family val="0"/>
        <charset val="1"/>
      </rPr>
      <t xml:space="preserve">85</t>
    </r>
    <r>
      <rPr>
        <sz val="10"/>
        <rFont val="Noto Sans CJK SC"/>
        <family val="2"/>
      </rPr>
      <t xml:space="preserve">度</t>
    </r>
  </si>
  <si>
    <r>
      <rPr>
        <sz val="10"/>
        <rFont val="Arial"/>
        <family val="0"/>
        <charset val="1"/>
      </rPr>
      <t xml:space="preserve">45</t>
    </r>
    <r>
      <rPr>
        <sz val="10"/>
        <rFont val="Noto Sans CJK SC"/>
        <family val="2"/>
      </rPr>
      <t xml:space="preserve">度</t>
    </r>
  </si>
  <si>
    <t xml:space="preserve">避雷針之接地極採用銅板，下列何者為正確？</t>
  </si>
  <si>
    <t xml:space="preserve">接地極需使用厚度1.4公厘以上之銅板</t>
  </si>
  <si>
    <t xml:space="preserve">接地極需使用厚度1.3公厘以上之銅板</t>
  </si>
  <si>
    <t xml:space="preserve">接地極需使用厚度1.2公厘以上</t>
  </si>
  <si>
    <t xml:space="preserve">接地極需使用厚度1.0公厘以上</t>
  </si>
  <si>
    <t xml:space="preserve">避雷針之接地極採用鋼心包銅接地棒，下列何者為正確？</t>
  </si>
  <si>
    <t xml:space="preserve">使用1.6公尺長</t>
  </si>
  <si>
    <t xml:space="preserve">使用2.4公尺長</t>
  </si>
  <si>
    <t xml:space="preserve">使用1.8公尺長</t>
  </si>
  <si>
    <t xml:space="preserve">使用2.0公尺長，以上之鋼心包銅接地棒</t>
  </si>
  <si>
    <t xml:space="preserve">避雷針之接地極採用鋼心包銅接地棒,下列何者為正確？</t>
  </si>
  <si>
    <t xml:space="preserve">使用直徑10公厘</t>
  </si>
  <si>
    <t xml:space="preserve">使用直徑12公厘</t>
  </si>
  <si>
    <t xml:space="preserve">使用直徑19公厘</t>
  </si>
  <si>
    <t xml:space="preserve">使用直徑15公厘，以上之鋼心包銅接地棒</t>
  </si>
  <si>
    <t xml:space="preserve">避雷針之接地極採用銅板之埋設深度，其頂部與地表面之距離應有</t>
  </si>
  <si>
    <r>
      <rPr>
        <sz val="10"/>
        <rFont val="Arial"/>
        <family val="0"/>
        <charset val="1"/>
      </rPr>
      <t xml:space="preserve">1.5</t>
    </r>
    <r>
      <rPr>
        <sz val="10"/>
        <rFont val="Noto Sans CJK SC"/>
        <family val="2"/>
      </rPr>
      <t xml:space="preserve">公尺以上</t>
    </r>
  </si>
  <si>
    <r>
      <rPr>
        <sz val="10"/>
        <rFont val="Arial"/>
        <family val="0"/>
        <charset val="1"/>
      </rPr>
      <t xml:space="preserve">1.2</t>
    </r>
    <r>
      <rPr>
        <sz val="10"/>
        <rFont val="Noto Sans CJK SC"/>
        <family val="2"/>
      </rPr>
      <t xml:space="preserve">公尺以上</t>
    </r>
  </si>
  <si>
    <r>
      <rPr>
        <sz val="10"/>
        <rFont val="Arial"/>
        <family val="0"/>
        <charset val="1"/>
      </rPr>
      <t xml:space="preserve">1.0</t>
    </r>
    <r>
      <rPr>
        <sz val="10"/>
        <rFont val="Noto Sans CJK SC"/>
        <family val="2"/>
      </rPr>
      <t xml:space="preserve">公尺以上</t>
    </r>
  </si>
  <si>
    <r>
      <rPr>
        <sz val="10"/>
        <rFont val="Arial"/>
        <family val="0"/>
        <charset val="1"/>
      </rPr>
      <t xml:space="preserve">0.8</t>
    </r>
    <r>
      <rPr>
        <sz val="10"/>
        <rFont val="Noto Sans CJK SC"/>
        <family val="2"/>
      </rPr>
      <t xml:space="preserve">公尺以上</t>
    </r>
  </si>
  <si>
    <t xml:space="preserve">避雷針之接地極採用接地棒之埋設深度，其頂部與地表面之距離應有</t>
  </si>
  <si>
    <r>
      <rPr>
        <sz val="10"/>
        <rFont val="Arial"/>
        <family val="0"/>
        <charset val="1"/>
      </rPr>
      <t xml:space="preserve">0.9</t>
    </r>
    <r>
      <rPr>
        <sz val="10"/>
        <rFont val="Noto Sans CJK SC"/>
        <family val="2"/>
      </rPr>
      <t xml:space="preserve">公尺以上</t>
    </r>
  </si>
  <si>
    <r>
      <rPr>
        <sz val="10"/>
        <rFont val="Arial"/>
        <family val="0"/>
        <charset val="1"/>
      </rPr>
      <t xml:space="preserve">0.5</t>
    </r>
    <r>
      <rPr>
        <sz val="10"/>
        <rFont val="Noto Sans CJK SC"/>
        <family val="2"/>
      </rPr>
      <t xml:space="preserve">公尺以上</t>
    </r>
  </si>
  <si>
    <t xml:space="preserve">避雷針之接地線如並聯二個以上之接地極時，其相互距離不得小於</t>
  </si>
  <si>
    <r>
      <rPr>
        <sz val="10"/>
        <rFont val="Arial"/>
        <family val="0"/>
        <charset val="1"/>
      </rPr>
      <t xml:space="preserve">1.8</t>
    </r>
    <r>
      <rPr>
        <sz val="10"/>
        <rFont val="Noto Sans CJK SC"/>
        <family val="2"/>
      </rPr>
      <t xml:space="preserve">公尺</t>
    </r>
  </si>
  <si>
    <r>
      <rPr>
        <sz val="10"/>
        <rFont val="Arial"/>
        <family val="0"/>
        <charset val="1"/>
      </rPr>
      <t xml:space="preserve">1.2</t>
    </r>
    <r>
      <rPr>
        <sz val="10"/>
        <rFont val="Noto Sans CJK SC"/>
        <family val="2"/>
      </rPr>
      <t xml:space="preserve">公尺</t>
    </r>
  </si>
  <si>
    <t xml:space="preserve">建築物高度在36公尺以上時，避雷針所使用之接地導線線徑，下列何者為正確？</t>
  </si>
  <si>
    <t xml:space="preserve">50mm²</t>
  </si>
  <si>
    <t xml:space="preserve">60mm²</t>
  </si>
  <si>
    <t xml:space="preserve">80mm²</t>
  </si>
  <si>
    <r>
      <rPr>
        <sz val="10"/>
        <rFont val="Arial"/>
        <family val="0"/>
        <charset val="1"/>
      </rPr>
      <t xml:space="preserve">100mm²</t>
    </r>
    <r>
      <rPr>
        <sz val="10"/>
        <rFont val="Noto Sans CJK SC"/>
        <family val="2"/>
      </rPr>
      <t xml:space="preserve">，以上之銅線</t>
    </r>
  </si>
  <si>
    <t xml:space="preserve">避雷針接地導線與電力線、電話線、燃氣設備之供氣管路應離開</t>
  </si>
  <si>
    <r>
      <rPr>
        <sz val="10"/>
        <rFont val="Arial"/>
        <family val="0"/>
        <charset val="1"/>
      </rPr>
      <t xml:space="preserve">0.5</t>
    </r>
    <r>
      <rPr>
        <sz val="10"/>
        <rFont val="Noto Sans CJK SC"/>
        <family val="2"/>
      </rPr>
      <t xml:space="preserve">公尺</t>
    </r>
  </si>
  <si>
    <r>
      <rPr>
        <sz val="10"/>
        <rFont val="Arial"/>
        <family val="0"/>
        <charset val="1"/>
      </rPr>
      <t xml:space="preserve">0.8</t>
    </r>
    <r>
      <rPr>
        <sz val="10"/>
        <rFont val="Noto Sans CJK SC"/>
        <family val="2"/>
      </rPr>
      <t xml:space="preserve">公尺</t>
    </r>
  </si>
  <si>
    <r>
      <rPr>
        <sz val="10"/>
        <rFont val="Arial"/>
        <family val="0"/>
        <charset val="1"/>
      </rPr>
      <t xml:space="preserve">0.9</t>
    </r>
    <r>
      <rPr>
        <sz val="10"/>
        <rFont val="Noto Sans CJK SC"/>
        <family val="2"/>
      </rPr>
      <t xml:space="preserve">公尺</t>
    </r>
  </si>
  <si>
    <r>
      <rPr>
        <sz val="10"/>
        <rFont val="Arial"/>
        <family val="0"/>
        <charset val="1"/>
      </rPr>
      <t xml:space="preserve">1</t>
    </r>
    <r>
      <rPr>
        <sz val="10"/>
        <rFont val="Noto Sans CJK SC"/>
        <family val="2"/>
      </rPr>
      <t xml:space="preserve">公尺以上</t>
    </r>
  </si>
  <si>
    <t xml:space="preserve">避雷針接地導線施工規定轉彎時其彎曲半徑，下列何者為正確？</t>
  </si>
  <si>
    <t xml:space="preserve">應在20公分以上</t>
  </si>
  <si>
    <t xml:space="preserve">應在15公分以上</t>
  </si>
  <si>
    <t xml:space="preserve">應在12公分以上</t>
  </si>
  <si>
    <t xml:space="preserve">應在10公分以上</t>
  </si>
  <si>
    <t xml:space="preserve">避雷針接地導線施工規定，下列何者不正確？</t>
  </si>
  <si>
    <t xml:space="preserve">導線應儘量避免連接</t>
  </si>
  <si>
    <t xml:space="preserve">導線之連接可以僅以螺絲連接</t>
  </si>
  <si>
    <t xml:space="preserve">導線之連接須以銅焊為之</t>
  </si>
  <si>
    <t xml:space="preserve">導線之連接須以銀焊為之</t>
  </si>
  <si>
    <t xml:space="preserve">避雷針接地導線每隔多少公尺，須用適當之固定器固定於建築物上，下列何者為正確？</t>
  </si>
  <si>
    <r>
      <rPr>
        <sz val="10"/>
        <rFont val="Arial"/>
        <family val="0"/>
        <charset val="1"/>
      </rPr>
      <t xml:space="preserve">3.5</t>
    </r>
    <r>
      <rPr>
        <sz val="10"/>
        <rFont val="Noto Sans CJK SC"/>
        <family val="2"/>
      </rPr>
      <t xml:space="preserve">公尺</t>
    </r>
  </si>
  <si>
    <t xml:space="preserve">美國線規(AWG)其導線號數</t>
  </si>
  <si>
    <t xml:space="preserve">愈小導線愈細</t>
  </si>
  <si>
    <t xml:space="preserve">號數與導線粗細無關</t>
  </si>
  <si>
    <t xml:space="preserve">愈大導線愈粗</t>
  </si>
  <si>
    <t xml:space="preserve">愈大導線愈細</t>
  </si>
  <si>
    <t xml:space="preserve">美國線規(AWG)導線直徑大於0.460英吋者，改以面積表示，面積250MCM的導線相當於公制多少㎟？</t>
  </si>
  <si>
    <r>
      <rPr>
        <sz val="10"/>
        <rFont val="Arial"/>
        <family val="0"/>
        <charset val="1"/>
      </rPr>
      <t xml:space="preserve">125</t>
    </r>
    <r>
      <rPr>
        <sz val="10"/>
        <rFont val="Noto Sans CJK SC"/>
        <family val="2"/>
      </rPr>
      <t xml:space="preserve">㎟</t>
    </r>
  </si>
  <si>
    <r>
      <rPr>
        <sz val="10"/>
        <rFont val="Arial"/>
        <family val="0"/>
        <charset val="1"/>
      </rPr>
      <t xml:space="preserve">250</t>
    </r>
    <r>
      <rPr>
        <sz val="10"/>
        <rFont val="Noto Sans CJK SC"/>
        <family val="2"/>
      </rPr>
      <t xml:space="preserve">㎟</t>
    </r>
  </si>
  <si>
    <r>
      <rPr>
        <sz val="10"/>
        <rFont val="Arial"/>
        <family val="0"/>
        <charset val="1"/>
      </rPr>
      <t xml:space="preserve">100</t>
    </r>
    <r>
      <rPr>
        <sz val="10"/>
        <rFont val="Noto Sans CJK SC"/>
        <family val="2"/>
      </rPr>
      <t xml:space="preserve">㎟</t>
    </r>
  </si>
  <si>
    <r>
      <rPr>
        <sz val="10"/>
        <rFont val="Arial"/>
        <family val="0"/>
        <charset val="1"/>
      </rPr>
      <t xml:space="preserve">200</t>
    </r>
    <r>
      <rPr>
        <sz val="10"/>
        <rFont val="Noto Sans CJK SC"/>
        <family val="2"/>
      </rPr>
      <t xml:space="preserve">㎟</t>
    </r>
  </si>
  <si>
    <t xml:space="preserve">美國線規(AWG)導線直徑大於0.460英吋者，改以面積表示，面積500MCM的導線相當於公制多少㎟？</t>
  </si>
  <si>
    <r>
      <rPr>
        <sz val="10"/>
        <rFont val="Arial"/>
        <family val="0"/>
        <charset val="1"/>
      </rPr>
      <t xml:space="preserve">500</t>
    </r>
    <r>
      <rPr>
        <sz val="10"/>
        <rFont val="Noto Sans CJK SC"/>
        <family val="2"/>
      </rPr>
      <t xml:space="preserve">㎟</t>
    </r>
  </si>
  <si>
    <r>
      <rPr>
        <sz val="10"/>
        <rFont val="Arial"/>
        <family val="0"/>
        <charset val="1"/>
      </rPr>
      <t xml:space="preserve">PVC</t>
    </r>
    <r>
      <rPr>
        <sz val="10"/>
        <rFont val="Noto Sans CJK SC"/>
        <family val="2"/>
      </rPr>
      <t xml:space="preserve">電纜也稱為</t>
    </r>
  </si>
  <si>
    <r>
      <rPr>
        <sz val="10"/>
        <rFont val="Arial"/>
        <family val="0"/>
        <charset val="1"/>
      </rPr>
      <t xml:space="preserve">EV</t>
    </r>
    <r>
      <rPr>
        <sz val="10"/>
        <rFont val="Noto Sans CJK SC"/>
        <family val="2"/>
      </rPr>
      <t xml:space="preserve">電纜</t>
    </r>
  </si>
  <si>
    <r>
      <rPr>
        <sz val="10"/>
        <rFont val="Arial"/>
        <family val="0"/>
        <charset val="1"/>
      </rPr>
      <t xml:space="preserve">IV</t>
    </r>
    <r>
      <rPr>
        <sz val="10"/>
        <rFont val="Noto Sans CJK SC"/>
        <family val="2"/>
      </rPr>
      <t xml:space="preserve">電纜</t>
    </r>
  </si>
  <si>
    <r>
      <rPr>
        <sz val="10"/>
        <rFont val="Arial"/>
        <family val="0"/>
        <charset val="1"/>
      </rPr>
      <t xml:space="preserve">VV</t>
    </r>
    <r>
      <rPr>
        <sz val="10"/>
        <rFont val="Noto Sans CJK SC"/>
        <family val="2"/>
      </rPr>
      <t xml:space="preserve">電纜</t>
    </r>
  </si>
  <si>
    <r>
      <rPr>
        <sz val="10"/>
        <rFont val="Arial"/>
        <family val="0"/>
        <charset val="1"/>
      </rPr>
      <t xml:space="preserve">CV</t>
    </r>
    <r>
      <rPr>
        <sz val="10"/>
        <rFont val="Noto Sans CJK SC"/>
        <family val="2"/>
      </rPr>
      <t xml:space="preserve">電纜</t>
    </r>
  </si>
  <si>
    <r>
      <rPr>
        <sz val="10"/>
        <rFont val="Arial"/>
        <family val="0"/>
        <charset val="1"/>
      </rPr>
      <t xml:space="preserve">PVC</t>
    </r>
    <r>
      <rPr>
        <sz val="10"/>
        <rFont val="Noto Sans CJK SC"/>
        <family val="2"/>
      </rPr>
      <t xml:space="preserve">電纜運轉溫度不得高於</t>
    </r>
  </si>
  <si>
    <t xml:space="preserve">75℃</t>
  </si>
  <si>
    <t xml:space="preserve">85℃</t>
  </si>
  <si>
    <t xml:space="preserve">90℃</t>
  </si>
  <si>
    <t xml:space="preserve">60℃</t>
  </si>
  <si>
    <t xml:space="preserve">下列敘述何者正確？</t>
  </si>
  <si>
    <t xml:space="preserve">鐵管配線比塑膠管配線的電流容量小</t>
  </si>
  <si>
    <t xml:space="preserve">鐵管配線比塑膠管配線的電流容量大</t>
  </si>
  <si>
    <t xml:space="preserve">塑膠管配線比鐵管配線的電流容量大</t>
  </si>
  <si>
    <t xml:space="preserve">鐵管配線與塑膠管配線的電流容量一樣大</t>
  </si>
  <si>
    <t xml:space="preserve">非金屬被覆電纜彎曲時，不得損傷其絕緣，其彎曲處內側半徑應為電纜外徑</t>
  </si>
  <si>
    <r>
      <rPr>
        <sz val="10"/>
        <rFont val="Arial"/>
        <family val="0"/>
        <charset val="1"/>
      </rPr>
      <t xml:space="preserve">3</t>
    </r>
    <r>
      <rPr>
        <sz val="10"/>
        <rFont val="Noto Sans CJK SC"/>
        <family val="2"/>
      </rPr>
      <t xml:space="preserve">倍以上</t>
    </r>
  </si>
  <si>
    <r>
      <rPr>
        <sz val="10"/>
        <rFont val="Arial"/>
        <family val="0"/>
        <charset val="1"/>
      </rPr>
      <t xml:space="preserve">4</t>
    </r>
    <r>
      <rPr>
        <sz val="10"/>
        <rFont val="Noto Sans CJK SC"/>
        <family val="2"/>
      </rPr>
      <t xml:space="preserve">倍以上</t>
    </r>
  </si>
  <si>
    <r>
      <rPr>
        <sz val="10"/>
        <rFont val="Arial"/>
        <family val="0"/>
        <charset val="1"/>
      </rPr>
      <t xml:space="preserve">6</t>
    </r>
    <r>
      <rPr>
        <sz val="10"/>
        <rFont val="Noto Sans CJK SC"/>
        <family val="2"/>
      </rPr>
      <t xml:space="preserve">倍以上</t>
    </r>
  </si>
  <si>
    <r>
      <rPr>
        <sz val="10"/>
        <rFont val="Arial"/>
        <family val="0"/>
        <charset val="1"/>
      </rPr>
      <t xml:space="preserve">5</t>
    </r>
    <r>
      <rPr>
        <sz val="10"/>
        <rFont val="Noto Sans CJK SC"/>
        <family val="2"/>
      </rPr>
      <t xml:space="preserve">倍以上</t>
    </r>
  </si>
  <si>
    <t xml:space="preserve">交流電路之導線布設於鐵磁性金屬封閉箱體或金屬管槽內，應將同一回路之相導線、被接地導線及設備接地導線綑綁成束，以保持</t>
  </si>
  <si>
    <t xml:space="preserve">電阻平衡</t>
  </si>
  <si>
    <t xml:space="preserve">電壓平衡</t>
  </si>
  <si>
    <t xml:space="preserve">電流平衡</t>
  </si>
  <si>
    <t xml:space="preserve">電磁平衡</t>
  </si>
  <si>
    <r>
      <rPr>
        <sz val="10"/>
        <rFont val="Arial"/>
        <family val="0"/>
        <charset val="1"/>
      </rPr>
      <t xml:space="preserve">EMT</t>
    </r>
    <r>
      <rPr>
        <sz val="10"/>
        <rFont val="Noto Sans CJK SC"/>
        <family val="2"/>
      </rPr>
      <t xml:space="preserve">管之稱呼，下列何者為正確？</t>
    </r>
  </si>
  <si>
    <t xml:space="preserve">無螺紋金屬導線管</t>
  </si>
  <si>
    <t xml:space="preserve">有螺紋金屬導線管</t>
  </si>
  <si>
    <t xml:space="preserve">無螺紋塑膠導線管</t>
  </si>
  <si>
    <t xml:space="preserve">有螺紋塑膠導線管</t>
  </si>
  <si>
    <t xml:space="preserve">薄金屬導線管不得裝設於下列何種情形？</t>
  </si>
  <si>
    <r>
      <rPr>
        <sz val="10"/>
        <rFont val="Arial"/>
        <family val="0"/>
        <charset val="1"/>
      </rPr>
      <t xml:space="preserve">110</t>
    </r>
    <r>
      <rPr>
        <sz val="10"/>
        <rFont val="Noto Sans CJK SC"/>
        <family val="2"/>
      </rPr>
      <t xml:space="preserve">伏特之配管工程</t>
    </r>
  </si>
  <si>
    <r>
      <rPr>
        <sz val="10"/>
        <rFont val="Arial"/>
        <family val="0"/>
        <charset val="1"/>
      </rPr>
      <t xml:space="preserve">220</t>
    </r>
    <r>
      <rPr>
        <sz val="10"/>
        <rFont val="Noto Sans CJK SC"/>
        <family val="2"/>
      </rPr>
      <t xml:space="preserve">伏特之配管工程</t>
    </r>
  </si>
  <si>
    <t xml:space="preserve">超過600伏特之高壓配管工程</t>
  </si>
  <si>
    <r>
      <rPr>
        <sz val="10"/>
        <rFont val="Arial"/>
        <family val="0"/>
        <charset val="1"/>
      </rPr>
      <t xml:space="preserve">380</t>
    </r>
    <r>
      <rPr>
        <sz val="10"/>
        <rFont val="Noto Sans CJK SC"/>
        <family val="2"/>
      </rPr>
      <t xml:space="preserve">伏特之配管工程</t>
    </r>
  </si>
  <si>
    <t xml:space="preserve">金屬導線管、金屬可撓導線管、非金屬導線管彎曲處內側半徑不得小於導線管內徑</t>
  </si>
  <si>
    <r>
      <rPr>
        <sz val="10"/>
        <rFont val="Arial"/>
        <family val="0"/>
        <charset val="1"/>
      </rPr>
      <t xml:space="preserve">5</t>
    </r>
    <r>
      <rPr>
        <sz val="10"/>
        <rFont val="Noto Sans CJK SC"/>
        <family val="2"/>
      </rPr>
      <t xml:space="preserve">倍</t>
    </r>
  </si>
  <si>
    <r>
      <rPr>
        <sz val="10"/>
        <rFont val="Arial"/>
        <family val="0"/>
        <charset val="1"/>
      </rPr>
      <t xml:space="preserve">4</t>
    </r>
    <r>
      <rPr>
        <sz val="10"/>
        <rFont val="Noto Sans CJK SC"/>
        <family val="2"/>
      </rPr>
      <t xml:space="preserve">倍</t>
    </r>
  </si>
  <si>
    <r>
      <rPr>
        <sz val="10"/>
        <rFont val="Arial"/>
        <family val="0"/>
        <charset val="1"/>
      </rPr>
      <t xml:space="preserve">6</t>
    </r>
    <r>
      <rPr>
        <sz val="10"/>
        <rFont val="Noto Sans CJK SC"/>
        <family val="2"/>
      </rPr>
      <t xml:space="preserve">倍</t>
    </r>
  </si>
  <si>
    <r>
      <rPr>
        <sz val="10"/>
        <rFont val="Arial"/>
        <family val="0"/>
        <charset val="1"/>
      </rPr>
      <t xml:space="preserve">3</t>
    </r>
    <r>
      <rPr>
        <sz val="10"/>
        <rFont val="Noto Sans CJK SC"/>
        <family val="2"/>
      </rPr>
      <t xml:space="preserve">倍</t>
    </r>
  </si>
  <si>
    <t xml:space="preserve">液密型金屬可撓導線管裝設於暴露場所或可供點檢之隱蔽處所而能將導線管卸下者，其彎曲處內側半徑不得小於導線管內徑</t>
  </si>
  <si>
    <r>
      <rPr>
        <sz val="10"/>
        <rFont val="Arial"/>
        <family val="0"/>
        <charset val="1"/>
      </rPr>
      <t xml:space="preserve">2</t>
    </r>
    <r>
      <rPr>
        <sz val="10"/>
        <rFont val="Noto Sans CJK SC"/>
        <family val="2"/>
      </rPr>
      <t xml:space="preserve">倍</t>
    </r>
  </si>
  <si>
    <t xml:space="preserve">金屬導線管以明管裝設時之固定於每一個線盒、管匣、配電箱或導線管終端</t>
  </si>
  <si>
    <t xml:space="preserve">900</t>
  </si>
  <si>
    <t xml:space="preserve">1,100</t>
  </si>
  <si>
    <r>
      <rPr>
        <sz val="10"/>
        <rFont val="Arial"/>
        <family val="0"/>
        <charset val="1"/>
      </rPr>
      <t xml:space="preserve">1,200</t>
    </r>
    <r>
      <rPr>
        <sz val="10"/>
        <rFont val="Noto Sans CJK SC"/>
        <family val="2"/>
      </rPr>
      <t xml:space="preserve">毫米以內，應以護管鐵、管夾或類似配件加以固定</t>
    </r>
  </si>
  <si>
    <t xml:space="preserve">金屬導線管以明管裝設時之支撐每隔</t>
  </si>
  <si>
    <t xml:space="preserve">2.5</t>
  </si>
  <si>
    <r>
      <rPr>
        <sz val="10"/>
        <rFont val="Arial"/>
        <family val="0"/>
        <charset val="1"/>
      </rPr>
      <t xml:space="preserve">3.5</t>
    </r>
    <r>
      <rPr>
        <sz val="10"/>
        <rFont val="Noto Sans CJK SC"/>
        <family val="2"/>
      </rPr>
      <t xml:space="preserve">米以內，應以護管鐵、管夾或類似配件加以支撐</t>
    </r>
  </si>
  <si>
    <t xml:space="preserve">從工業機器或固定式設備延伸之暴露垂直導線管，若中間為絞牙連接，導線管最頂端及底端有支撐及固定，且無其他有效之中間支撐方法者，得每隔</t>
  </si>
  <si>
    <t xml:space="preserve">8</t>
  </si>
  <si>
    <r>
      <rPr>
        <sz val="10"/>
        <rFont val="Arial"/>
        <family val="0"/>
        <charset val="1"/>
      </rPr>
      <t xml:space="preserve">6.5</t>
    </r>
    <r>
      <rPr>
        <sz val="10"/>
        <rFont val="Noto Sans CJK SC"/>
        <family val="2"/>
      </rPr>
      <t xml:space="preserve">米以內作支撐</t>
    </r>
  </si>
  <si>
    <t xml:space="preserve">金屬可撓導線管以明管裝設時，於每一個線盒、管匣、配電箱或導線管終端</t>
  </si>
  <si>
    <r>
      <rPr>
        <sz val="10"/>
        <rFont val="Arial"/>
        <family val="0"/>
        <charset val="1"/>
      </rPr>
      <t xml:space="preserve">300</t>
    </r>
    <r>
      <rPr>
        <sz val="10"/>
        <rFont val="Noto Sans CJK SC"/>
        <family val="2"/>
      </rPr>
      <t xml:space="preserve">毫米以內，應以護管鐵、管夾或類似配件加以固定</t>
    </r>
  </si>
  <si>
    <t xml:space="preserve">在鋼筋混凝土內配管時，不得減損建築物之強度，集中配置時，不得超過混凝土厚度</t>
  </si>
  <si>
    <t xml:space="preserve">三分之一</t>
  </si>
  <si>
    <t xml:space="preserve">三分之二</t>
  </si>
  <si>
    <t xml:space="preserve">二分之一</t>
  </si>
  <si>
    <t xml:space="preserve">四分之三</t>
  </si>
  <si>
    <r>
      <rPr>
        <sz val="10"/>
        <rFont val="Arial"/>
        <family val="0"/>
        <charset val="1"/>
      </rPr>
      <t xml:space="preserve">PVC</t>
    </r>
    <r>
      <rPr>
        <sz val="10"/>
        <rFont val="Noto Sans CJK SC"/>
        <family val="2"/>
      </rPr>
      <t xml:space="preserve">管以明管裝設時，且距離配管之兩端及管相互間連接處多少間距以內，應裝設護管鐵、管夾或類似配件加以固定</t>
    </r>
  </si>
  <si>
    <r>
      <rPr>
        <sz val="10"/>
        <rFont val="Arial"/>
        <family val="0"/>
        <charset val="1"/>
      </rPr>
      <t xml:space="preserve">350</t>
    </r>
    <r>
      <rPr>
        <sz val="10"/>
        <rFont val="Noto Sans CJK SC"/>
        <family val="2"/>
      </rPr>
      <t xml:space="preserve">毫米</t>
    </r>
  </si>
  <si>
    <r>
      <rPr>
        <sz val="10"/>
        <rFont val="Arial"/>
        <family val="0"/>
        <charset val="1"/>
      </rPr>
      <t xml:space="preserve">PVC</t>
    </r>
    <r>
      <rPr>
        <sz val="10"/>
        <rFont val="Noto Sans CJK SC"/>
        <family val="2"/>
      </rPr>
      <t xml:space="preserve">管互相間，及管與配件相接之長度，應為管徑</t>
    </r>
  </si>
  <si>
    <t xml:space="preserve">0.9</t>
  </si>
  <si>
    <r>
      <rPr>
        <sz val="10"/>
        <rFont val="Arial"/>
        <family val="0"/>
        <charset val="1"/>
      </rPr>
      <t xml:space="preserve">1</t>
    </r>
    <r>
      <rPr>
        <sz val="10"/>
        <rFont val="Noto Sans CJK SC"/>
        <family val="2"/>
      </rPr>
      <t xml:space="preserve">倍以上，且其連接處應裝設牢固</t>
    </r>
  </si>
  <si>
    <r>
      <rPr>
        <sz val="10"/>
        <rFont val="Arial"/>
        <family val="0"/>
        <charset val="1"/>
      </rPr>
      <t xml:space="preserve">PVC</t>
    </r>
    <r>
      <rPr>
        <sz val="10"/>
        <rFont val="Noto Sans CJK SC"/>
        <family val="2"/>
      </rPr>
      <t xml:space="preserve">管互相間，及管與配件相接使用粘劑者，相接長度得降低至管徑</t>
    </r>
  </si>
  <si>
    <t xml:space="preserve">0.5</t>
  </si>
  <si>
    <r>
      <rPr>
        <sz val="10"/>
        <rFont val="Arial"/>
        <family val="0"/>
        <charset val="1"/>
      </rPr>
      <t xml:space="preserve">0.8 </t>
    </r>
    <r>
      <rPr>
        <sz val="10"/>
        <rFont val="Noto Sans CJK SC"/>
        <family val="2"/>
      </rPr>
      <t xml:space="preserve">倍以上，且其連接處應裝設牢固</t>
    </r>
  </si>
  <si>
    <t xml:space="preserve">下列何者不符電纜架之裝設規定？</t>
  </si>
  <si>
    <t xml:space="preserve">電纜架連接導線管時，可於其邊欄開孔</t>
  </si>
  <si>
    <t xml:space="preserve">非金屬電纜架應以耐燃性之材質製成</t>
  </si>
  <si>
    <t xml:space="preserve">不得有尖銳邊緣、鋸齒狀或突出物，以免導線絕緣被覆或外皮損傷</t>
  </si>
  <si>
    <t xml:space="preserve">電纜架內之電纜超過六百伏特者，應有標明高電壓危險之耐久且明顯警告標識，每隔多少米以內應有該警告標識？</t>
  </si>
  <si>
    <r>
      <rPr>
        <sz val="10"/>
        <rFont val="Arial"/>
        <family val="0"/>
        <charset val="1"/>
      </rPr>
      <t xml:space="preserve">3.5</t>
    </r>
    <r>
      <rPr>
        <sz val="10"/>
        <rFont val="Noto Sans CJK SC"/>
        <family val="2"/>
      </rPr>
      <t xml:space="preserve">米</t>
    </r>
  </si>
  <si>
    <r>
      <rPr>
        <sz val="10"/>
        <rFont val="Arial"/>
        <family val="0"/>
        <charset val="1"/>
      </rPr>
      <t xml:space="preserve">3</t>
    </r>
    <r>
      <rPr>
        <sz val="10"/>
        <rFont val="Noto Sans CJK SC"/>
        <family val="2"/>
      </rPr>
      <t xml:space="preserve">米</t>
    </r>
  </si>
  <si>
    <r>
      <rPr>
        <sz val="10"/>
        <rFont val="Arial"/>
        <family val="0"/>
        <charset val="1"/>
      </rPr>
      <t xml:space="preserve">4</t>
    </r>
    <r>
      <rPr>
        <sz val="10"/>
        <rFont val="Noto Sans CJK SC"/>
        <family val="2"/>
      </rPr>
      <t xml:space="preserve">米</t>
    </r>
  </si>
  <si>
    <r>
      <rPr>
        <sz val="10"/>
        <rFont val="Arial"/>
        <family val="0"/>
        <charset val="1"/>
      </rPr>
      <t xml:space="preserve">5</t>
    </r>
    <r>
      <rPr>
        <sz val="10"/>
        <rFont val="Noto Sans CJK SC"/>
        <family val="2"/>
      </rPr>
      <t xml:space="preserve">米</t>
    </r>
  </si>
  <si>
    <t xml:space="preserve">電纜架支撐個別電纜由一電纜架通過另一電纜架，或由電纜架至管槽，或由電纜架至設備者，在電纜架之間，或電纜架與管槽、設備之間，其間隔不得超過幾米？</t>
  </si>
  <si>
    <r>
      <rPr>
        <sz val="10"/>
        <rFont val="Arial"/>
        <family val="0"/>
        <charset val="1"/>
      </rPr>
      <t xml:space="preserve">2.5</t>
    </r>
    <r>
      <rPr>
        <sz val="10"/>
        <rFont val="Noto Sans CJK SC"/>
        <family val="2"/>
      </rPr>
      <t xml:space="preserve">米</t>
    </r>
  </si>
  <si>
    <r>
      <rPr>
        <sz val="10"/>
        <rFont val="Arial"/>
        <family val="0"/>
        <charset val="1"/>
      </rPr>
      <t xml:space="preserve">1.8</t>
    </r>
    <r>
      <rPr>
        <sz val="10"/>
        <rFont val="Noto Sans CJK SC"/>
        <family val="2"/>
      </rPr>
      <t xml:space="preserve">米</t>
    </r>
  </si>
  <si>
    <r>
      <rPr>
        <sz val="10"/>
        <rFont val="Arial"/>
        <family val="0"/>
        <charset val="1"/>
      </rPr>
      <t xml:space="preserve">2</t>
    </r>
    <r>
      <rPr>
        <sz val="10"/>
        <rFont val="Noto Sans CJK SC"/>
        <family val="2"/>
      </rPr>
      <t xml:space="preserve">米</t>
    </r>
  </si>
  <si>
    <t xml:space="preserve">金屬導線槽不得使用於下列場所,下列何者敘述不正確？</t>
  </si>
  <si>
    <t xml:space="preserve">易遭受重機械外力損傷之處</t>
  </si>
  <si>
    <t xml:space="preserve">發散腐蝕性物質場所</t>
  </si>
  <si>
    <t xml:space="preserve">隱蔽處所,且無法供點檢者</t>
  </si>
  <si>
    <t xml:space="preserve">隱蔽處所，但可供點檢者</t>
  </si>
  <si>
    <t xml:space="preserve">裝設於金屬導線槽內之載流導線數不得超過</t>
  </si>
  <si>
    <t xml:space="preserve">24</t>
  </si>
  <si>
    <r>
      <rPr>
        <sz val="10"/>
        <rFont val="Arial"/>
        <family val="0"/>
        <charset val="1"/>
      </rPr>
      <t xml:space="preserve">16</t>
    </r>
    <r>
      <rPr>
        <sz val="10"/>
        <rFont val="Noto Sans CJK SC"/>
        <family val="2"/>
      </rPr>
      <t xml:space="preserve">條</t>
    </r>
  </si>
  <si>
    <t xml:space="preserve">裝設於金屬導線槽內之所有導線外徑截面積之總和不得超過該導線槽內部截面積</t>
  </si>
  <si>
    <t xml:space="preserve">百分之五十</t>
  </si>
  <si>
    <t xml:space="preserve">百分之二十</t>
  </si>
  <si>
    <t xml:space="preserve">百分之四十</t>
  </si>
  <si>
    <t xml:space="preserve">百分之三十</t>
  </si>
  <si>
    <t xml:space="preserve">匯流排槽之固定及支撐，水平裝設每隔幾米以內</t>
  </si>
  <si>
    <r>
      <rPr>
        <sz val="10"/>
        <rFont val="Arial"/>
        <family val="0"/>
        <charset val="1"/>
      </rPr>
      <t xml:space="preserve">1.5</t>
    </r>
    <r>
      <rPr>
        <sz val="10"/>
        <rFont val="Noto Sans CJK SC"/>
        <family val="2"/>
      </rPr>
      <t xml:space="preserve">米</t>
    </r>
  </si>
  <si>
    <r>
      <rPr>
        <sz val="10"/>
        <rFont val="Arial"/>
        <family val="0"/>
        <charset val="1"/>
      </rPr>
      <t xml:space="preserve">3.5</t>
    </r>
    <r>
      <rPr>
        <sz val="10"/>
        <rFont val="Noto Sans CJK SC"/>
        <family val="2"/>
      </rPr>
      <t xml:space="preserve">米應加以固定及支撐</t>
    </r>
  </si>
  <si>
    <t xml:space="preserve">匯流排槽之固定及支撐，垂直裝設於各樓地板處應加以固定及支撐，其最大距離不得超過</t>
  </si>
  <si>
    <r>
      <rPr>
        <sz val="10"/>
        <rFont val="Arial"/>
        <family val="0"/>
        <charset val="1"/>
      </rPr>
      <t xml:space="preserve">8</t>
    </r>
    <r>
      <rPr>
        <sz val="10"/>
        <rFont val="Noto Sans CJK SC"/>
        <family val="2"/>
      </rPr>
      <t xml:space="preserve">米</t>
    </r>
  </si>
  <si>
    <r>
      <rPr>
        <sz val="10"/>
        <rFont val="Arial"/>
        <family val="0"/>
        <charset val="1"/>
      </rPr>
      <t xml:space="preserve">7</t>
    </r>
    <r>
      <rPr>
        <sz val="10"/>
        <rFont val="Noto Sans CJK SC"/>
        <family val="2"/>
      </rPr>
      <t xml:space="preserve">米</t>
    </r>
  </si>
  <si>
    <r>
      <rPr>
        <sz val="10"/>
        <rFont val="Arial"/>
        <family val="0"/>
        <charset val="1"/>
      </rPr>
      <t xml:space="preserve">6</t>
    </r>
    <r>
      <rPr>
        <sz val="10"/>
        <rFont val="Noto Sans CJK SC"/>
        <family val="2"/>
      </rPr>
      <t xml:space="preserve">米</t>
    </r>
  </si>
  <si>
    <t xml:space="preserve">除在工業廠區外，垂直上升匯流排槽貫穿二個以上乾燥樓地板者，在樓地板所有貫穿之開口周圍應裝設高度</t>
  </si>
  <si>
    <r>
      <rPr>
        <sz val="10"/>
        <rFont val="Arial"/>
        <family val="0"/>
        <charset val="1"/>
      </rPr>
      <t xml:space="preserve">100</t>
    </r>
    <r>
      <rPr>
        <sz val="10"/>
        <rFont val="Noto Sans CJK SC"/>
        <family val="2"/>
      </rPr>
      <t xml:space="preserve">毫米</t>
    </r>
  </si>
  <si>
    <r>
      <rPr>
        <sz val="10"/>
        <rFont val="Arial"/>
        <family val="0"/>
        <charset val="1"/>
      </rPr>
      <t xml:space="preserve">95</t>
    </r>
    <r>
      <rPr>
        <sz val="10"/>
        <rFont val="Noto Sans CJK SC"/>
        <family val="2"/>
      </rPr>
      <t xml:space="preserve">毫米</t>
    </r>
  </si>
  <si>
    <r>
      <rPr>
        <sz val="10"/>
        <rFont val="Arial"/>
        <family val="0"/>
        <charset val="1"/>
      </rPr>
      <t xml:space="preserve">90</t>
    </r>
    <r>
      <rPr>
        <sz val="10"/>
        <rFont val="Noto Sans CJK SC"/>
        <family val="2"/>
      </rPr>
      <t xml:space="preserve">毫米</t>
    </r>
  </si>
  <si>
    <r>
      <rPr>
        <sz val="10"/>
        <rFont val="Arial"/>
        <family val="0"/>
        <charset val="1"/>
      </rPr>
      <t xml:space="preserve">80</t>
    </r>
    <r>
      <rPr>
        <sz val="10"/>
        <rFont val="Noto Sans CJK SC"/>
        <family val="2"/>
      </rPr>
      <t xml:space="preserve">毫米以上之止水墩，以免液體流入開口</t>
    </r>
  </si>
  <si>
    <t xml:space="preserve">金屬可撓導線管厚度應在幾毫米以上？</t>
  </si>
  <si>
    <r>
      <rPr>
        <sz val="10"/>
        <rFont val="Arial"/>
        <family val="0"/>
        <charset val="1"/>
      </rPr>
      <t xml:space="preserve">0.7</t>
    </r>
    <r>
      <rPr>
        <sz val="10"/>
        <rFont val="Noto Sans CJK SC"/>
        <family val="2"/>
      </rPr>
      <t xml:space="preserve">毫米</t>
    </r>
  </si>
  <si>
    <r>
      <rPr>
        <sz val="10"/>
        <rFont val="Arial"/>
        <family val="0"/>
        <charset val="1"/>
      </rPr>
      <t xml:space="preserve">0.8</t>
    </r>
    <r>
      <rPr>
        <sz val="10"/>
        <rFont val="Noto Sans CJK SC"/>
        <family val="2"/>
      </rPr>
      <t xml:space="preserve">毫米</t>
    </r>
  </si>
  <si>
    <r>
      <rPr>
        <sz val="10"/>
        <rFont val="Arial"/>
        <family val="0"/>
        <charset val="1"/>
      </rPr>
      <t xml:space="preserve">0.6</t>
    </r>
    <r>
      <rPr>
        <sz val="10"/>
        <rFont val="Noto Sans CJK SC"/>
        <family val="2"/>
      </rPr>
      <t xml:space="preserve">毫米</t>
    </r>
  </si>
  <si>
    <r>
      <rPr>
        <sz val="10"/>
        <rFont val="Arial"/>
        <family val="0"/>
        <charset val="1"/>
      </rPr>
      <t xml:space="preserve">0.5</t>
    </r>
    <r>
      <rPr>
        <sz val="10"/>
        <rFont val="Noto Sans CJK SC"/>
        <family val="2"/>
      </rPr>
      <t xml:space="preserve">毫米</t>
    </r>
  </si>
  <si>
    <t xml:space="preserve">金屬可撓導線管以明管裝設時，於每一個線盒、管匣、配電箱或導線管終端多少毫米以內，應以護管鐵、管夾或類似配件加以固定？</t>
  </si>
  <si>
    <r>
      <rPr>
        <sz val="10"/>
        <rFont val="Arial"/>
        <family val="0"/>
        <charset val="1"/>
      </rPr>
      <t xml:space="preserve">500</t>
    </r>
    <r>
      <rPr>
        <sz val="10"/>
        <rFont val="Noto Sans CJK SC"/>
        <family val="2"/>
      </rPr>
      <t xml:space="preserve">毫米</t>
    </r>
  </si>
  <si>
    <r>
      <rPr>
        <sz val="10"/>
        <rFont val="Arial"/>
        <family val="0"/>
        <charset val="1"/>
      </rPr>
      <t xml:space="preserve">400</t>
    </r>
    <r>
      <rPr>
        <sz val="10"/>
        <rFont val="Noto Sans CJK SC"/>
        <family val="2"/>
      </rPr>
      <t xml:space="preserve">毫米</t>
    </r>
  </si>
  <si>
    <r>
      <rPr>
        <sz val="10"/>
        <rFont val="Arial"/>
        <family val="0"/>
        <charset val="1"/>
      </rPr>
      <t xml:space="preserve">300</t>
    </r>
    <r>
      <rPr>
        <sz val="10"/>
        <rFont val="Noto Sans CJK SC"/>
        <family val="2"/>
      </rPr>
      <t xml:space="preserve">毫米</t>
    </r>
  </si>
  <si>
    <t xml:space="preserve">金屬可撓導線管以明管裝設時，每隔多少米以內，應以護管鐵、管夾或類似配件加以支撐</t>
  </si>
  <si>
    <t xml:space="preserve">高壓配線採用無遮蔽電纜或非金屬被覆電纜時，應採用非金屬導線管或適用於潮濕場所之厚金屬導線管配線，並包覆混凝土厚度</t>
  </si>
  <si>
    <r>
      <rPr>
        <sz val="10"/>
        <rFont val="Arial"/>
        <family val="0"/>
        <charset val="1"/>
      </rPr>
      <t xml:space="preserve">75</t>
    </r>
    <r>
      <rPr>
        <sz val="10"/>
        <rFont val="Noto Sans CJK SC"/>
        <family val="2"/>
      </rPr>
      <t xml:space="preserve">毫米</t>
    </r>
  </si>
  <si>
    <r>
      <rPr>
        <sz val="10"/>
        <rFont val="Arial"/>
        <family val="0"/>
        <charset val="1"/>
      </rPr>
      <t xml:space="preserve">65</t>
    </r>
    <r>
      <rPr>
        <sz val="10"/>
        <rFont val="Noto Sans CJK SC"/>
        <family val="2"/>
      </rPr>
      <t xml:space="preserve">毫米</t>
    </r>
  </si>
  <si>
    <r>
      <rPr>
        <sz val="10"/>
        <rFont val="Arial"/>
        <family val="0"/>
        <charset val="1"/>
      </rPr>
      <t xml:space="preserve">60</t>
    </r>
    <r>
      <rPr>
        <sz val="10"/>
        <rFont val="Noto Sans CJK SC"/>
        <family val="2"/>
      </rPr>
      <t xml:space="preserve">毫米</t>
    </r>
  </si>
  <si>
    <r>
      <rPr>
        <sz val="10"/>
        <rFont val="Arial"/>
        <family val="0"/>
        <charset val="1"/>
      </rPr>
      <t xml:space="preserve">55</t>
    </r>
    <r>
      <rPr>
        <sz val="10"/>
        <rFont val="Noto Sans CJK SC"/>
        <family val="2"/>
      </rPr>
      <t xml:space="preserve">毫米以上</t>
    </r>
  </si>
  <si>
    <t xml:space="preserve">高壓配線採用非金屬導線管配線者，35千伏特以下電纜最小埋設深度應為</t>
  </si>
  <si>
    <r>
      <rPr>
        <sz val="10"/>
        <rFont val="Arial"/>
        <family val="0"/>
        <charset val="1"/>
      </rPr>
      <t xml:space="preserve">600</t>
    </r>
    <r>
      <rPr>
        <sz val="10"/>
        <rFont val="Noto Sans CJK SC"/>
        <family val="2"/>
      </rPr>
      <t xml:space="preserve">毫米</t>
    </r>
  </si>
  <si>
    <r>
      <rPr>
        <sz val="10"/>
        <rFont val="Arial"/>
        <family val="0"/>
        <charset val="1"/>
      </rPr>
      <t xml:space="preserve">550</t>
    </r>
    <r>
      <rPr>
        <sz val="10"/>
        <rFont val="Noto Sans CJK SC"/>
        <family val="2"/>
      </rPr>
      <t xml:space="preserve">毫米</t>
    </r>
  </si>
  <si>
    <r>
      <rPr>
        <sz val="10"/>
        <rFont val="Arial"/>
        <family val="0"/>
        <charset val="1"/>
      </rPr>
      <t xml:space="preserve">400</t>
    </r>
    <r>
      <rPr>
        <sz val="10"/>
        <rFont val="Noto Sans CJK SC"/>
        <family val="2"/>
      </rPr>
      <t xml:space="preserve">毫米以上</t>
    </r>
  </si>
  <si>
    <t xml:space="preserve">高壓配線採用採用厚金屬導線管配線者，最小埋設深度應為</t>
  </si>
  <si>
    <r>
      <rPr>
        <sz val="10"/>
        <rFont val="Arial"/>
        <family val="0"/>
        <charset val="1"/>
      </rPr>
      <t xml:space="preserve">150</t>
    </r>
    <r>
      <rPr>
        <sz val="10"/>
        <rFont val="Noto Sans CJK SC"/>
        <family val="2"/>
      </rPr>
      <t xml:space="preserve">毫米</t>
    </r>
  </si>
  <si>
    <r>
      <rPr>
        <sz val="10"/>
        <rFont val="Arial"/>
        <family val="0"/>
        <charset val="1"/>
      </rPr>
      <t xml:space="preserve">120</t>
    </r>
    <r>
      <rPr>
        <sz val="10"/>
        <rFont val="Noto Sans CJK SC"/>
        <family val="2"/>
      </rPr>
      <t xml:space="preserve">毫米</t>
    </r>
  </si>
  <si>
    <r>
      <rPr>
        <sz val="10"/>
        <rFont val="Arial"/>
        <family val="0"/>
        <charset val="1"/>
      </rPr>
      <t xml:space="preserve">160</t>
    </r>
    <r>
      <rPr>
        <sz val="10"/>
        <rFont val="Noto Sans CJK SC"/>
        <family val="2"/>
      </rPr>
      <t xml:space="preserve">毫米</t>
    </r>
  </si>
  <si>
    <r>
      <rPr>
        <sz val="10"/>
        <rFont val="Arial"/>
        <family val="0"/>
        <charset val="1"/>
      </rPr>
      <t xml:space="preserve">130</t>
    </r>
    <r>
      <rPr>
        <sz val="10"/>
        <rFont val="Noto Sans CJK SC"/>
        <family val="2"/>
      </rPr>
      <t xml:space="preserve">毫米以上</t>
    </r>
  </si>
  <si>
    <t xml:space="preserve">高壓導線由地下引出地面時，應以導線管保護。導線裝設於電桿時，應採用金屬導線管、硬質非金屬導線管或具有同等強度之導線管，且該導線管之高度由地面起算應為</t>
  </si>
  <si>
    <r>
      <rPr>
        <sz val="10"/>
        <rFont val="Arial"/>
        <family val="0"/>
        <charset val="1"/>
      </rPr>
      <t xml:space="preserve">2.0</t>
    </r>
    <r>
      <rPr>
        <sz val="10"/>
        <rFont val="Noto Sans CJK SC"/>
        <family val="2"/>
      </rPr>
      <t xml:space="preserve">米</t>
    </r>
  </si>
  <si>
    <r>
      <rPr>
        <sz val="10"/>
        <rFont val="Arial"/>
        <family val="0"/>
        <charset val="1"/>
      </rPr>
      <t xml:space="preserve">2.2</t>
    </r>
    <r>
      <rPr>
        <sz val="10"/>
        <rFont val="Noto Sans CJK SC"/>
        <family val="2"/>
      </rPr>
      <t xml:space="preserve">米</t>
    </r>
  </si>
  <si>
    <r>
      <rPr>
        <sz val="10"/>
        <rFont val="Arial"/>
        <family val="0"/>
        <charset val="1"/>
      </rPr>
      <t xml:space="preserve">2.5</t>
    </r>
    <r>
      <rPr>
        <sz val="10"/>
        <rFont val="Noto Sans CJK SC"/>
        <family val="2"/>
      </rPr>
      <t xml:space="preserve">米以上</t>
    </r>
  </si>
  <si>
    <t xml:space="preserve">高壓單芯電纜之彎曲內側半徑，無遮蔽層者，應為電纜外徑</t>
  </si>
  <si>
    <r>
      <rPr>
        <sz val="10"/>
        <rFont val="Arial"/>
        <family val="0"/>
        <charset val="1"/>
      </rPr>
      <t xml:space="preserve">8</t>
    </r>
    <r>
      <rPr>
        <sz val="10"/>
        <rFont val="Noto Sans CJK SC"/>
        <family val="2"/>
      </rPr>
      <t xml:space="preserve">倍</t>
    </r>
  </si>
  <si>
    <r>
      <rPr>
        <sz val="10"/>
        <rFont val="Arial"/>
        <family val="0"/>
        <charset val="1"/>
      </rPr>
      <t xml:space="preserve">7</t>
    </r>
    <r>
      <rPr>
        <sz val="10"/>
        <rFont val="Noto Sans CJK SC"/>
        <family val="2"/>
      </rPr>
      <t xml:space="preserve">倍</t>
    </r>
  </si>
  <si>
    <t xml:space="preserve">高壓單芯電纜之彎曲內側半徑，有遮蔽層者，應為電纜外徑</t>
  </si>
  <si>
    <r>
      <rPr>
        <sz val="10"/>
        <rFont val="Arial"/>
        <family val="0"/>
        <charset val="1"/>
      </rPr>
      <t xml:space="preserve">10</t>
    </r>
    <r>
      <rPr>
        <sz val="10"/>
        <rFont val="Noto Sans CJK SC"/>
        <family val="2"/>
      </rPr>
      <t xml:space="preserve">倍</t>
    </r>
  </si>
  <si>
    <r>
      <rPr>
        <sz val="10"/>
        <rFont val="Arial"/>
        <family val="0"/>
        <charset val="1"/>
      </rPr>
      <t xml:space="preserve">12</t>
    </r>
    <r>
      <rPr>
        <sz val="10"/>
        <rFont val="Noto Sans CJK SC"/>
        <family val="2"/>
      </rPr>
      <t xml:space="preserve">倍</t>
    </r>
  </si>
  <si>
    <r>
      <rPr>
        <sz val="10"/>
        <rFont val="Arial"/>
        <family val="0"/>
        <charset val="1"/>
      </rPr>
      <t xml:space="preserve">7</t>
    </r>
    <r>
      <rPr>
        <sz val="10"/>
        <rFont val="Noto Sans CJK SC"/>
        <family val="2"/>
      </rPr>
      <t xml:space="preserve">倍以上</t>
    </r>
  </si>
  <si>
    <t xml:space="preserve">高壓電纜之金屬絕緣遮蔽層材質若為銅帶、銅線、銅編織或三者之組合者，應連接於</t>
  </si>
  <si>
    <t xml:space="preserve">設備接地導線</t>
  </si>
  <si>
    <t xml:space="preserve">接地匯流排</t>
  </si>
  <si>
    <t xml:space="preserve">相導體</t>
  </si>
  <si>
    <t xml:space="preserve">接地電極，上述何者不正確？</t>
  </si>
  <si>
    <t xml:space="preserve">電度表中心點距離地面高度應在</t>
  </si>
  <si>
    <r>
      <rPr>
        <sz val="10"/>
        <rFont val="Arial"/>
        <family val="0"/>
        <charset val="1"/>
      </rPr>
      <t xml:space="preserve">1.5</t>
    </r>
    <r>
      <rPr>
        <sz val="10"/>
        <rFont val="Noto Sans CJK SC"/>
        <family val="2"/>
      </rPr>
      <t xml:space="preserve">米以上，</t>
    </r>
    <r>
      <rPr>
        <sz val="10"/>
        <rFont val="Arial"/>
        <family val="0"/>
        <charset val="1"/>
      </rPr>
      <t xml:space="preserve">2</t>
    </r>
    <r>
      <rPr>
        <sz val="10"/>
        <rFont val="Noto Sans CJK SC"/>
        <family val="2"/>
      </rPr>
      <t xml:space="preserve">米以下</t>
    </r>
  </si>
  <si>
    <r>
      <rPr>
        <sz val="10"/>
        <rFont val="Arial"/>
        <family val="0"/>
        <charset val="1"/>
      </rPr>
      <t xml:space="preserve">1.5</t>
    </r>
    <r>
      <rPr>
        <sz val="10"/>
        <rFont val="Noto Sans CJK SC"/>
        <family val="2"/>
      </rPr>
      <t xml:space="preserve">米以上，</t>
    </r>
    <r>
      <rPr>
        <sz val="10"/>
        <rFont val="Arial"/>
        <family val="0"/>
        <charset val="1"/>
      </rPr>
      <t xml:space="preserve">1.8</t>
    </r>
    <r>
      <rPr>
        <sz val="10"/>
        <rFont val="Noto Sans CJK SC"/>
        <family val="2"/>
      </rPr>
      <t xml:space="preserve">米以下</t>
    </r>
  </si>
  <si>
    <r>
      <rPr>
        <sz val="10"/>
        <rFont val="Arial"/>
        <family val="0"/>
        <charset val="1"/>
      </rPr>
      <t xml:space="preserve">1.2</t>
    </r>
    <r>
      <rPr>
        <sz val="10"/>
        <rFont val="Noto Sans CJK SC"/>
        <family val="2"/>
      </rPr>
      <t xml:space="preserve">米以上，</t>
    </r>
    <r>
      <rPr>
        <sz val="10"/>
        <rFont val="Arial"/>
        <family val="0"/>
        <charset val="1"/>
      </rPr>
      <t xml:space="preserve">1.8</t>
    </r>
    <r>
      <rPr>
        <sz val="10"/>
        <rFont val="Noto Sans CJK SC"/>
        <family val="2"/>
      </rPr>
      <t xml:space="preserve">米以下</t>
    </r>
  </si>
  <si>
    <r>
      <rPr>
        <sz val="10"/>
        <rFont val="Arial"/>
        <family val="0"/>
        <charset val="1"/>
      </rPr>
      <t xml:space="preserve">1.8</t>
    </r>
    <r>
      <rPr>
        <sz val="10"/>
        <rFont val="Noto Sans CJK SC"/>
        <family val="2"/>
      </rPr>
      <t xml:space="preserve">米以上，</t>
    </r>
    <r>
      <rPr>
        <sz val="10"/>
        <rFont val="Arial"/>
        <family val="0"/>
        <charset val="1"/>
      </rPr>
      <t xml:space="preserve">2</t>
    </r>
    <r>
      <rPr>
        <sz val="10"/>
        <rFont val="Noto Sans CJK SC"/>
        <family val="2"/>
      </rPr>
      <t xml:space="preserve">米以下</t>
    </r>
  </si>
  <si>
    <t xml:space="preserve">電度表中心點距離地面高度因現場場地受限制，施工確有困難時，得予增減，除嵌入牆壁內可低至1米外，最高不超過2.5米，最低不低於</t>
  </si>
  <si>
    <r>
      <rPr>
        <sz val="10"/>
        <rFont val="Arial"/>
        <family val="0"/>
        <charset val="1"/>
      </rPr>
      <t xml:space="preserve">1.4</t>
    </r>
    <r>
      <rPr>
        <sz val="10"/>
        <rFont val="Noto Sans CJK SC"/>
        <family val="2"/>
      </rPr>
      <t xml:space="preserve">米</t>
    </r>
  </si>
  <si>
    <r>
      <rPr>
        <sz val="10"/>
        <rFont val="Arial"/>
        <family val="0"/>
        <charset val="1"/>
      </rPr>
      <t xml:space="preserve">1.3</t>
    </r>
    <r>
      <rPr>
        <sz val="10"/>
        <rFont val="Noto Sans CJK SC"/>
        <family val="2"/>
      </rPr>
      <t xml:space="preserve">米</t>
    </r>
  </si>
  <si>
    <r>
      <rPr>
        <sz val="10"/>
        <rFont val="Arial"/>
        <family val="0"/>
        <charset val="1"/>
      </rPr>
      <t xml:space="preserve">1.2</t>
    </r>
    <r>
      <rPr>
        <sz val="10"/>
        <rFont val="Noto Sans CJK SC"/>
        <family val="2"/>
      </rPr>
      <t xml:space="preserve">米</t>
    </r>
  </si>
  <si>
    <t xml:space="preserve">用電設備額定電壓超過600伏特者，下列何項設備不需經由中央主管機關或其認可之檢驗機構或原製造廠家試驗合格，並附有試驗報告者，始得裝用</t>
  </si>
  <si>
    <t xml:space="preserve">避雷器</t>
  </si>
  <si>
    <t xml:space="preserve">低壓配電箱</t>
  </si>
  <si>
    <t xml:space="preserve">斷路器</t>
  </si>
  <si>
    <t xml:space="preserve">高壓配電盤</t>
  </si>
  <si>
    <t xml:space="preserve">三相匯流排相序顏色下列何者為正確？</t>
  </si>
  <si>
    <r>
      <rPr>
        <sz val="10"/>
        <rFont val="Arial"/>
        <family val="0"/>
        <charset val="1"/>
      </rPr>
      <t xml:space="preserve">A(</t>
    </r>
    <r>
      <rPr>
        <sz val="10"/>
        <rFont val="Noto Sans CJK SC"/>
        <family val="2"/>
      </rPr>
      <t xml:space="preserve">紅</t>
    </r>
    <r>
      <rPr>
        <sz val="10"/>
        <rFont val="Arial"/>
        <family val="0"/>
        <charset val="1"/>
      </rPr>
      <t xml:space="preserve">)</t>
    </r>
    <r>
      <rPr>
        <sz val="10"/>
        <rFont val="Noto Sans CJK SC"/>
        <family val="2"/>
      </rPr>
      <t xml:space="preserve">、</t>
    </r>
    <r>
      <rPr>
        <sz val="10"/>
        <rFont val="Arial"/>
        <family val="0"/>
        <charset val="1"/>
      </rPr>
      <t xml:space="preserve">B(</t>
    </r>
    <r>
      <rPr>
        <sz val="10"/>
        <rFont val="Noto Sans CJK SC"/>
        <family val="2"/>
      </rPr>
      <t xml:space="preserve">白</t>
    </r>
    <r>
      <rPr>
        <sz val="10"/>
        <rFont val="Arial"/>
        <family val="0"/>
        <charset val="1"/>
      </rPr>
      <t xml:space="preserve">)</t>
    </r>
    <r>
      <rPr>
        <sz val="10"/>
        <rFont val="Noto Sans CJK SC"/>
        <family val="2"/>
      </rPr>
      <t xml:space="preserve">、</t>
    </r>
    <r>
      <rPr>
        <sz val="10"/>
        <rFont val="Arial"/>
        <family val="0"/>
        <charset val="1"/>
      </rPr>
      <t xml:space="preserve">C(</t>
    </r>
    <r>
      <rPr>
        <sz val="10"/>
        <rFont val="Noto Sans CJK SC"/>
        <family val="2"/>
      </rPr>
      <t xml:space="preserve">藍</t>
    </r>
    <r>
      <rPr>
        <sz val="10"/>
        <rFont val="Arial"/>
        <family val="0"/>
        <charset val="1"/>
      </rPr>
      <t xml:space="preserve">)</t>
    </r>
  </si>
  <si>
    <r>
      <rPr>
        <sz val="10"/>
        <rFont val="Arial"/>
        <family val="0"/>
        <charset val="1"/>
      </rPr>
      <t xml:space="preserve">A(</t>
    </r>
    <r>
      <rPr>
        <sz val="10"/>
        <rFont val="Noto Sans CJK SC"/>
        <family val="2"/>
      </rPr>
      <t xml:space="preserve">紅</t>
    </r>
    <r>
      <rPr>
        <sz val="10"/>
        <rFont val="Arial"/>
        <family val="0"/>
        <charset val="1"/>
      </rPr>
      <t xml:space="preserve">)</t>
    </r>
    <r>
      <rPr>
        <sz val="10"/>
        <rFont val="Noto Sans CJK SC"/>
        <family val="2"/>
      </rPr>
      <t xml:space="preserve">、</t>
    </r>
    <r>
      <rPr>
        <sz val="10"/>
        <rFont val="Arial"/>
        <family val="0"/>
        <charset val="1"/>
      </rPr>
      <t xml:space="preserve">B(</t>
    </r>
    <r>
      <rPr>
        <sz val="10"/>
        <rFont val="Noto Sans CJK SC"/>
        <family val="2"/>
      </rPr>
      <t xml:space="preserve">綠</t>
    </r>
    <r>
      <rPr>
        <sz val="10"/>
        <rFont val="Arial"/>
        <family val="0"/>
        <charset val="1"/>
      </rPr>
      <t xml:space="preserve">)</t>
    </r>
    <r>
      <rPr>
        <sz val="10"/>
        <rFont val="Noto Sans CJK SC"/>
        <family val="2"/>
      </rPr>
      <t xml:space="preserve">、</t>
    </r>
    <r>
      <rPr>
        <sz val="10"/>
        <rFont val="Arial"/>
        <family val="0"/>
        <charset val="1"/>
      </rPr>
      <t xml:space="preserve">C(</t>
    </r>
    <r>
      <rPr>
        <sz val="10"/>
        <rFont val="Noto Sans CJK SC"/>
        <family val="2"/>
      </rPr>
      <t xml:space="preserve">藍</t>
    </r>
    <r>
      <rPr>
        <sz val="10"/>
        <rFont val="Arial"/>
        <family val="0"/>
        <charset val="1"/>
      </rPr>
      <t xml:space="preserve">)</t>
    </r>
  </si>
  <si>
    <r>
      <rPr>
        <sz val="10"/>
        <rFont val="Arial"/>
        <family val="0"/>
        <charset val="1"/>
      </rPr>
      <t xml:space="preserve">A(</t>
    </r>
    <r>
      <rPr>
        <sz val="10"/>
        <rFont val="Noto Sans CJK SC"/>
        <family val="2"/>
      </rPr>
      <t xml:space="preserve">紅</t>
    </r>
    <r>
      <rPr>
        <sz val="10"/>
        <rFont val="Arial"/>
        <family val="0"/>
        <charset val="1"/>
      </rPr>
      <t xml:space="preserve">)</t>
    </r>
    <r>
      <rPr>
        <sz val="10"/>
        <rFont val="Noto Sans CJK SC"/>
        <family val="2"/>
      </rPr>
      <t xml:space="preserve">、</t>
    </r>
    <r>
      <rPr>
        <sz val="10"/>
        <rFont val="Arial"/>
        <family val="0"/>
        <charset val="1"/>
      </rPr>
      <t xml:space="preserve">B(</t>
    </r>
    <r>
      <rPr>
        <sz val="10"/>
        <rFont val="Noto Sans CJK SC"/>
        <family val="2"/>
      </rPr>
      <t xml:space="preserve">黑</t>
    </r>
    <r>
      <rPr>
        <sz val="10"/>
        <rFont val="Arial"/>
        <family val="0"/>
        <charset val="1"/>
      </rPr>
      <t xml:space="preserve">)</t>
    </r>
    <r>
      <rPr>
        <sz val="10"/>
        <rFont val="Noto Sans CJK SC"/>
        <family val="2"/>
      </rPr>
      <t xml:space="preserve">、</t>
    </r>
    <r>
      <rPr>
        <sz val="10"/>
        <rFont val="Arial"/>
        <family val="0"/>
        <charset val="1"/>
      </rPr>
      <t xml:space="preserve">C(</t>
    </r>
    <r>
      <rPr>
        <sz val="10"/>
        <rFont val="Noto Sans CJK SC"/>
        <family val="2"/>
      </rPr>
      <t xml:space="preserve">藍</t>
    </r>
    <r>
      <rPr>
        <sz val="10"/>
        <rFont val="Arial"/>
        <family val="0"/>
        <charset val="1"/>
      </rPr>
      <t xml:space="preserve">)</t>
    </r>
  </si>
  <si>
    <r>
      <rPr>
        <sz val="10"/>
        <rFont val="Arial"/>
        <family val="0"/>
        <charset val="1"/>
      </rPr>
      <t xml:space="preserve">A(</t>
    </r>
    <r>
      <rPr>
        <sz val="10"/>
        <rFont val="Noto Sans CJK SC"/>
        <family val="2"/>
      </rPr>
      <t xml:space="preserve">藍</t>
    </r>
    <r>
      <rPr>
        <sz val="10"/>
        <rFont val="Arial"/>
        <family val="0"/>
        <charset val="1"/>
      </rPr>
      <t xml:space="preserve">)</t>
    </r>
    <r>
      <rPr>
        <sz val="10"/>
        <rFont val="Noto Sans CJK SC"/>
        <family val="2"/>
      </rPr>
      <t xml:space="preserve">、</t>
    </r>
    <r>
      <rPr>
        <sz val="10"/>
        <rFont val="Arial"/>
        <family val="0"/>
        <charset val="1"/>
      </rPr>
      <t xml:space="preserve">B(</t>
    </r>
    <r>
      <rPr>
        <sz val="10"/>
        <rFont val="Noto Sans CJK SC"/>
        <family val="2"/>
      </rPr>
      <t xml:space="preserve">黑</t>
    </r>
    <r>
      <rPr>
        <sz val="10"/>
        <rFont val="Arial"/>
        <family val="0"/>
        <charset val="1"/>
      </rPr>
      <t xml:space="preserve">)</t>
    </r>
    <r>
      <rPr>
        <sz val="10"/>
        <rFont val="Noto Sans CJK SC"/>
        <family val="2"/>
      </rPr>
      <t xml:space="preserve">、</t>
    </r>
    <r>
      <rPr>
        <sz val="10"/>
        <rFont val="Arial"/>
        <family val="0"/>
        <charset val="1"/>
      </rPr>
      <t xml:space="preserve">C(</t>
    </r>
    <r>
      <rPr>
        <sz val="10"/>
        <rFont val="Noto Sans CJK SC"/>
        <family val="2"/>
      </rPr>
      <t xml:space="preserve">紅</t>
    </r>
    <r>
      <rPr>
        <sz val="10"/>
        <rFont val="Arial"/>
        <family val="0"/>
        <charset val="1"/>
      </rPr>
      <t xml:space="preserve">)</t>
    </r>
  </si>
  <si>
    <t xml:space="preserve">三相匯流排ABC相之相序排列，下列何者敘述不正確？面向配電盤或配電箱應由</t>
  </si>
  <si>
    <t xml:space="preserve">前到後</t>
  </si>
  <si>
    <t xml:space="preserve">由頂到底</t>
  </si>
  <si>
    <t xml:space="preserve">由左到右</t>
  </si>
  <si>
    <t xml:space="preserve">由右到左排列</t>
  </si>
  <si>
    <t xml:space="preserve">無熔線斷路器框架容量，係指斷路器框架電流容量之大小，常以何字母代表之？</t>
  </si>
  <si>
    <t xml:space="preserve">AF</t>
  </si>
  <si>
    <t xml:space="preserve">NFB</t>
  </si>
  <si>
    <t xml:space="preserve">AT</t>
  </si>
  <si>
    <t xml:space="preserve">MCCB</t>
  </si>
  <si>
    <t xml:space="preserve">無熔線斷路器額定電流，係指斷路器在其框架容量以內所裝置之跳脫機構的電流額定，通常以那些字母表示之？</t>
  </si>
  <si>
    <t xml:space="preserve">某斷路器標示250AF，150AT時，表示該斷路器實際許可的額定連續電流僅為</t>
  </si>
  <si>
    <t xml:space="preserve">250A</t>
  </si>
  <si>
    <t xml:space="preserve">225A</t>
  </si>
  <si>
    <t xml:space="preserve">150A</t>
  </si>
  <si>
    <t xml:space="preserve">200A</t>
  </si>
  <si>
    <t xml:space="preserve">過電流保護裝置之短路啟斷容量(IC)應能安全啟斷裝置點可能發生之最大短路電流。採用斷路器者，額定極限短路啟斷容量(Icu)</t>
  </si>
  <si>
    <t xml:space="preserve">可以低於</t>
  </si>
  <si>
    <t xml:space="preserve">不可以高於</t>
  </si>
  <si>
    <t xml:space="preserve">高於低於均可</t>
  </si>
  <si>
    <t xml:space="preserve">不得低於裝置點之最大短路電流</t>
  </si>
  <si>
    <t xml:space="preserve">下列敘述何者正確？同一具斷路器的啟斷容量會隨著系統電壓</t>
  </si>
  <si>
    <t xml:space="preserve">減小而變大</t>
  </si>
  <si>
    <t xml:space="preserve">減小而變小</t>
  </si>
  <si>
    <t xml:space="preserve">不會改變</t>
  </si>
  <si>
    <t xml:space="preserve">不穩定</t>
  </si>
  <si>
    <t xml:space="preserve">漏電斷路器動作速度為高速型是使用於防止感電事故為目的，其動作時間是在</t>
  </si>
  <si>
    <r>
      <rPr>
        <sz val="10"/>
        <rFont val="Arial"/>
        <family val="0"/>
        <charset val="1"/>
      </rPr>
      <t xml:space="preserve">0.5</t>
    </r>
    <r>
      <rPr>
        <sz val="10"/>
        <rFont val="Noto Sans CJK SC"/>
        <family val="2"/>
      </rPr>
      <t xml:space="preserve">秒以內</t>
    </r>
  </si>
  <si>
    <r>
      <rPr>
        <sz val="10"/>
        <rFont val="Arial"/>
        <family val="0"/>
        <charset val="1"/>
      </rPr>
      <t xml:space="preserve">0.1</t>
    </r>
    <r>
      <rPr>
        <sz val="10"/>
        <rFont val="Noto Sans CJK SC"/>
        <family val="2"/>
      </rPr>
      <t xml:space="preserve">秒以內</t>
    </r>
  </si>
  <si>
    <r>
      <rPr>
        <sz val="10"/>
        <rFont val="Arial"/>
        <family val="0"/>
        <charset val="1"/>
      </rPr>
      <t xml:space="preserve">1</t>
    </r>
    <r>
      <rPr>
        <sz val="10"/>
        <rFont val="Noto Sans CJK SC"/>
        <family val="2"/>
      </rPr>
      <t xml:space="preserve">秒以內</t>
    </r>
  </si>
  <si>
    <r>
      <rPr>
        <sz val="10"/>
        <rFont val="Arial"/>
        <family val="0"/>
        <charset val="1"/>
      </rPr>
      <t xml:space="preserve">10</t>
    </r>
    <r>
      <rPr>
        <sz val="10"/>
        <rFont val="Noto Sans CJK SC"/>
        <family val="2"/>
      </rPr>
      <t xml:space="preserve">秒以內</t>
    </r>
  </si>
  <si>
    <t xml:space="preserve">漏電斷路器依感度為高感度型是使用於防止感電事故為目的，其動作電流是在</t>
  </si>
  <si>
    <r>
      <rPr>
        <sz val="10"/>
        <rFont val="Arial"/>
        <family val="0"/>
        <charset val="1"/>
      </rPr>
      <t xml:space="preserve">300mA</t>
    </r>
    <r>
      <rPr>
        <sz val="10"/>
        <rFont val="Noto Sans CJK SC"/>
        <family val="2"/>
      </rPr>
      <t xml:space="preserve">以下</t>
    </r>
  </si>
  <si>
    <r>
      <rPr>
        <sz val="10"/>
        <rFont val="Arial"/>
        <family val="0"/>
        <charset val="1"/>
      </rPr>
      <t xml:space="preserve">100mA</t>
    </r>
    <r>
      <rPr>
        <sz val="10"/>
        <rFont val="Noto Sans CJK SC"/>
        <family val="2"/>
      </rPr>
      <t xml:space="preserve">以下</t>
    </r>
  </si>
  <si>
    <r>
      <rPr>
        <sz val="10"/>
        <rFont val="Arial"/>
        <family val="0"/>
        <charset val="1"/>
      </rPr>
      <t xml:space="preserve">30mA</t>
    </r>
    <r>
      <rPr>
        <sz val="10"/>
        <rFont val="Noto Sans CJK SC"/>
        <family val="2"/>
      </rPr>
      <t xml:space="preserve">以下</t>
    </r>
  </si>
  <si>
    <r>
      <rPr>
        <sz val="10"/>
        <rFont val="Arial"/>
        <family val="0"/>
        <charset val="1"/>
      </rPr>
      <t xml:space="preserve">1A</t>
    </r>
    <r>
      <rPr>
        <sz val="10"/>
        <rFont val="Noto Sans CJK SC"/>
        <family val="2"/>
      </rPr>
      <t xml:space="preserve">以下</t>
    </r>
  </si>
  <si>
    <t xml:space="preserve">下列何者用電設備、器具或線路，可以不用裝設漏電斷路器。</t>
  </si>
  <si>
    <t xml:space="preserve">建築或工程興建之臨時用電設備</t>
  </si>
  <si>
    <t xml:space="preserve">浴室插座分路</t>
  </si>
  <si>
    <t xml:space="preserve">非消防用之電動門及電動鐵捲門之分路</t>
  </si>
  <si>
    <t xml:space="preserve">辦公室內之插座分路</t>
  </si>
  <si>
    <r>
      <rPr>
        <sz val="10"/>
        <rFont val="Arial"/>
        <family val="0"/>
        <charset val="1"/>
      </rPr>
      <t xml:space="preserve">CNS 3990</t>
    </r>
    <r>
      <rPr>
        <sz val="10"/>
        <rFont val="Noto Sans CJK SC"/>
        <family val="2"/>
      </rPr>
      <t xml:space="preserve">金屬閉鎖型配電箱，將各構件配置於由接地金屬製隔板所分開之各個隔間內的為下列何種型式？</t>
    </r>
  </si>
  <si>
    <t xml:space="preserve">裝甲型</t>
  </si>
  <si>
    <t xml:space="preserve">隔間型</t>
  </si>
  <si>
    <t xml:space="preserve">箱櫃型</t>
  </si>
  <si>
    <t xml:space="preserve">綜合型</t>
  </si>
  <si>
    <t xml:space="preserve">新版CNS 15156-200配電盤標準，有關運轉連續性喪失LSC(Lossof Service Continuity)分類為LSC 2B其有幾個分隔室？</t>
  </si>
  <si>
    <t xml:space="preserve">一個分隔室</t>
  </si>
  <si>
    <t xml:space="preserve">三個分隔室</t>
  </si>
  <si>
    <t xml:space="preserve">二個分隔室</t>
  </si>
  <si>
    <t xml:space="preserve">四個分隔室</t>
  </si>
  <si>
    <t xml:space="preserve">配電盤的安裝，需依照送審核可的施工圖位置安裝，並檢查配電盤上方不得有</t>
  </si>
  <si>
    <t xml:space="preserve">導線槽</t>
  </si>
  <si>
    <t xml:space="preserve">匯流排以防滴水</t>
  </si>
  <si>
    <t xml:space="preserve">配電盤為防止淹水及確保地板平整度，配電盤基礎之混凝土強度至少應為</t>
  </si>
  <si>
    <r>
      <rPr>
        <sz val="10"/>
        <rFont val="Arial"/>
        <family val="0"/>
        <charset val="1"/>
      </rPr>
      <t xml:space="preserve">150kgf/</t>
    </r>
    <r>
      <rPr>
        <sz val="10"/>
        <rFont val="Noto Sans CJK SC"/>
        <family val="2"/>
      </rPr>
      <t xml:space="preserve">㎝²</t>
    </r>
  </si>
  <si>
    <r>
      <rPr>
        <sz val="10"/>
        <rFont val="Arial"/>
        <family val="0"/>
        <charset val="1"/>
      </rPr>
      <t xml:space="preserve">180kgf/</t>
    </r>
    <r>
      <rPr>
        <sz val="10"/>
        <rFont val="Noto Sans CJK SC"/>
        <family val="2"/>
      </rPr>
      <t xml:space="preserve">㎝²</t>
    </r>
  </si>
  <si>
    <r>
      <rPr>
        <sz val="10"/>
        <rFont val="Arial"/>
        <family val="0"/>
        <charset val="1"/>
      </rPr>
      <t xml:space="preserve">190kgf/</t>
    </r>
    <r>
      <rPr>
        <sz val="10"/>
        <rFont val="Noto Sans CJK SC"/>
        <family val="2"/>
      </rPr>
      <t xml:space="preserve">㎝²</t>
    </r>
  </si>
  <si>
    <r>
      <rPr>
        <sz val="10"/>
        <rFont val="Arial"/>
        <family val="0"/>
        <charset val="1"/>
      </rPr>
      <t xml:space="preserve">210kgf/</t>
    </r>
    <r>
      <rPr>
        <sz val="10"/>
        <rFont val="Noto Sans CJK SC"/>
        <family val="2"/>
      </rPr>
      <t xml:space="preserve">㎝²以上</t>
    </r>
  </si>
  <si>
    <t xml:space="preserve">配電盤內銅排相序應與配電盤線路圖一致，銅排顏色應符合CNS 標準，下列何者為正確？</t>
  </si>
  <si>
    <t xml:space="preserve">「紅(R)、黑(S)、藍(T)、白(N)」</t>
  </si>
  <si>
    <t xml:space="preserve">「紅(R)、白(S)、藍(T)、黑(N)」</t>
  </si>
  <si>
    <t xml:space="preserve">「黑(R)、紅(S)、藍(T)、白(N)」</t>
  </si>
  <si>
    <t xml:space="preserve">「紅(R)、黑(S)、藍(T)、黃(N)」</t>
  </si>
  <si>
    <t xml:space="preserve">配電盤外線需依照單線圖的迴路銜接並預留足夠長度的分路導線，配線顏色依"用户用電設備裝置規則"標準，中性線應為</t>
  </si>
  <si>
    <t xml:space="preserve">黑色</t>
  </si>
  <si>
    <t xml:space="preserve">白色</t>
  </si>
  <si>
    <t xml:space="preserve">紅色</t>
  </si>
  <si>
    <t xml:space="preserve">綠色</t>
  </si>
  <si>
    <t xml:space="preserve">柴油引擎保護系統不包含下列那一項</t>
  </si>
  <si>
    <t xml:space="preserve">發生起動逾次</t>
  </si>
  <si>
    <t xml:space="preserve">低燃油</t>
  </si>
  <si>
    <t xml:space="preserve">低水溫</t>
  </si>
  <si>
    <t xml:space="preserve">低油壓</t>
  </si>
  <si>
    <t xml:space="preserve">依建築物屋內外電信設備設置技術規範，建築物引進光纜超過多少心</t>
  </si>
  <si>
    <r>
      <rPr>
        <sz val="10"/>
        <rFont val="Arial"/>
        <family val="0"/>
        <charset val="1"/>
      </rPr>
      <t xml:space="preserve">12</t>
    </r>
    <r>
      <rPr>
        <sz val="10"/>
        <rFont val="Noto Sans CJK SC"/>
        <family val="2"/>
      </rPr>
      <t xml:space="preserve">心</t>
    </r>
  </si>
  <si>
    <r>
      <rPr>
        <sz val="10"/>
        <rFont val="Arial"/>
        <family val="0"/>
        <charset val="1"/>
      </rPr>
      <t xml:space="preserve">24</t>
    </r>
    <r>
      <rPr>
        <sz val="10"/>
        <rFont val="Noto Sans CJK SC"/>
        <family val="2"/>
      </rPr>
      <t xml:space="preserve">心</t>
    </r>
  </si>
  <si>
    <r>
      <rPr>
        <sz val="10"/>
        <rFont val="Arial"/>
        <family val="0"/>
        <charset val="1"/>
      </rPr>
      <t xml:space="preserve">36</t>
    </r>
    <r>
      <rPr>
        <sz val="10"/>
        <rFont val="Noto Sans CJK SC"/>
        <family val="2"/>
      </rPr>
      <t xml:space="preserve">心</t>
    </r>
  </si>
  <si>
    <r>
      <rPr>
        <sz val="10"/>
        <rFont val="Arial"/>
        <family val="0"/>
        <charset val="1"/>
      </rPr>
      <t xml:space="preserve">48</t>
    </r>
    <r>
      <rPr>
        <sz val="10"/>
        <rFont val="Noto Sans CJK SC"/>
        <family val="2"/>
      </rPr>
      <t xml:space="preserve">心 需設置電信室</t>
    </r>
  </si>
  <si>
    <t xml:space="preserve">依建築物屋內外電信設備設置技術規範，下列何種建築物需設置電信室？</t>
  </si>
  <si>
    <t xml:space="preserve">地上層五樓以上且設有地下室者</t>
  </si>
  <si>
    <t xml:space="preserve">地上層五樓以上</t>
  </si>
  <si>
    <t xml:space="preserve">地上層四樓以上</t>
  </si>
  <si>
    <t xml:space="preserve">地上層三樓以上</t>
  </si>
  <si>
    <t xml:space="preserve">地下室自來水、污排水、消防、泡沫、電氣、電信幹管及冰水管、風管等管路密佈，為考慮洩水坡度，管路高程檢討時下列何種管路應優先考量？</t>
  </si>
  <si>
    <t xml:space="preserve">給水幹管</t>
  </si>
  <si>
    <t xml:space="preserve">排水幹管</t>
  </si>
  <si>
    <t xml:space="preserve">電氣幹管</t>
  </si>
  <si>
    <t xml:space="preserve">電信幹管</t>
  </si>
  <si>
    <t xml:space="preserve">電氣設備、消防、給排水</t>
  </si>
  <si>
    <t xml:space="preserve">在地下室外牆封模與澆築混凝土前，先行預埋</t>
  </si>
  <si>
    <t xml:space="preserve">過版管</t>
  </si>
  <si>
    <t xml:space="preserve">過牆管</t>
  </si>
  <si>
    <t xml:space="preserve">防護管。管圍並加止水環，以防止地下水沿管壁滲流而入</t>
  </si>
  <si>
    <t xml:space="preserve">依台電規劃股正審合格之台電配電室面積確實丈量，面積以淨尺寸為準，最窄處不得小於</t>
  </si>
  <si>
    <r>
      <rPr>
        <sz val="10"/>
        <rFont val="Arial"/>
        <family val="0"/>
        <charset val="1"/>
      </rPr>
      <t xml:space="preserve">3.5</t>
    </r>
    <r>
      <rPr>
        <sz val="10"/>
        <rFont val="Noto Sans CJK SC"/>
        <family val="2"/>
      </rPr>
      <t xml:space="preserve">公尺，並配合埋設接地設施</t>
    </r>
  </si>
  <si>
    <t xml:space="preserve">台電配電室通路應保持</t>
  </si>
  <si>
    <r>
      <rPr>
        <sz val="10"/>
        <rFont val="Arial"/>
        <family val="0"/>
        <charset val="1"/>
      </rPr>
      <t xml:space="preserve">1.1</t>
    </r>
    <r>
      <rPr>
        <sz val="10"/>
        <rFont val="Noto Sans CJK SC"/>
        <family val="2"/>
      </rPr>
      <t xml:space="preserve">公尺</t>
    </r>
  </si>
  <si>
    <r>
      <rPr>
        <sz val="10"/>
        <rFont val="Arial"/>
        <family val="0"/>
        <charset val="1"/>
      </rPr>
      <t xml:space="preserve">1.0</t>
    </r>
    <r>
      <rPr>
        <sz val="10"/>
        <rFont val="Noto Sans CJK SC"/>
        <family val="2"/>
      </rPr>
      <t xml:space="preserve">公尺</t>
    </r>
  </si>
  <si>
    <r>
      <rPr>
        <sz val="10"/>
        <rFont val="Arial"/>
        <family val="0"/>
        <charset val="1"/>
      </rPr>
      <t xml:space="preserve">0.8</t>
    </r>
    <r>
      <rPr>
        <sz val="10"/>
        <rFont val="Noto Sans CJK SC"/>
        <family val="2"/>
      </rPr>
      <t xml:space="preserve">公尺以上淨寬</t>
    </r>
  </si>
  <si>
    <t xml:space="preserve">樓板內配管應施設於下列什麼位置？</t>
  </si>
  <si>
    <t xml:space="preserve">雙層鋼筋上方</t>
  </si>
  <si>
    <t xml:space="preserve">雙層鋼筋中間</t>
  </si>
  <si>
    <t xml:space="preserve">雙層鋼筋下方</t>
  </si>
  <si>
    <t xml:space="preserve">雙層鋼筋外側</t>
  </si>
  <si>
    <t xml:space="preserve">樓板內配管之出線匣，應採用</t>
  </si>
  <si>
    <t xml:space="preserve">低腳型出線匣</t>
  </si>
  <si>
    <t xml:space="preserve">扁腳型出線匣</t>
  </si>
  <si>
    <t xml:space="preserve">高腳型出線匣</t>
  </si>
  <si>
    <t xml:space="preserve">超低腳型出線匣。管路與出線匣接續處接成S型，並應避免貼模板</t>
  </si>
  <si>
    <t xml:space="preserve">配管與出線匣或配電箱接續之管口應施設</t>
  </si>
  <si>
    <t xml:space="preserve">管夾</t>
  </si>
  <si>
    <t xml:space="preserve">凸緣</t>
  </si>
  <si>
    <t xml:space="preserve">管套節</t>
  </si>
  <si>
    <t xml:space="preserve">喇叭口，以維持管口平滑</t>
  </si>
  <si>
    <t xml:space="preserve">樓板出線口至天花板器具間之導線，不得露明，應穿於導線管內防護，可採用下列什麼材質管路</t>
  </si>
  <si>
    <r>
      <rPr>
        <sz val="10"/>
        <rFont val="Arial"/>
        <family val="0"/>
        <charset val="1"/>
      </rPr>
      <t xml:space="preserve">PF</t>
    </r>
    <r>
      <rPr>
        <sz val="10"/>
        <rFont val="Noto Sans CJK SC"/>
        <family val="2"/>
      </rPr>
      <t xml:space="preserve">可撓導線管</t>
    </r>
  </si>
  <si>
    <r>
      <rPr>
        <sz val="10"/>
        <rFont val="Arial"/>
        <family val="0"/>
        <charset val="1"/>
      </rPr>
      <t xml:space="preserve">PVC</t>
    </r>
    <r>
      <rPr>
        <sz val="10"/>
        <rFont val="Noto Sans CJK SC"/>
        <family val="2"/>
      </rPr>
      <t xml:space="preserve">可撓導線管</t>
    </r>
  </si>
  <si>
    <r>
      <rPr>
        <sz val="10"/>
        <rFont val="Arial"/>
        <family val="0"/>
        <charset val="1"/>
      </rPr>
      <t xml:space="preserve">CD</t>
    </r>
    <r>
      <rPr>
        <sz val="10"/>
        <rFont val="Noto Sans CJK SC"/>
        <family val="2"/>
      </rPr>
      <t xml:space="preserve">可撓導線管</t>
    </r>
  </si>
  <si>
    <r>
      <rPr>
        <sz val="10"/>
        <rFont val="Arial"/>
        <family val="0"/>
        <charset val="1"/>
      </rPr>
      <t xml:space="preserve">PE</t>
    </r>
    <r>
      <rPr>
        <sz val="10"/>
        <rFont val="Noto Sans CJK SC"/>
        <family val="2"/>
      </rPr>
      <t xml:space="preserve">可撓導線管</t>
    </r>
  </si>
  <si>
    <t xml:space="preserve">導線應儘量避免連接，不得於何處內連接？</t>
  </si>
  <si>
    <t xml:space="preserve">燈具出線匣</t>
  </si>
  <si>
    <t xml:space="preserve">導線管內</t>
  </si>
  <si>
    <t xml:space="preserve">插座出線匣</t>
  </si>
  <si>
    <t xml:space="preserve">開關出線匣</t>
  </si>
  <si>
    <t xml:space="preserve">電氣導線配設完成後，依規定辦理電路之絕緣電阻測試，新設時絕緣電阻，應在</t>
  </si>
  <si>
    <r>
      <rPr>
        <sz val="10"/>
        <rFont val="Arial"/>
        <family val="0"/>
        <charset val="1"/>
      </rPr>
      <t xml:space="preserve">1MΩ</t>
    </r>
    <r>
      <rPr>
        <sz val="10"/>
        <rFont val="Noto Sans CJK SC"/>
        <family val="2"/>
      </rPr>
      <t xml:space="preserve">以下</t>
    </r>
  </si>
  <si>
    <r>
      <rPr>
        <sz val="10"/>
        <rFont val="Arial"/>
        <family val="0"/>
        <charset val="1"/>
      </rPr>
      <t xml:space="preserve">0.8MΩ</t>
    </r>
    <r>
      <rPr>
        <sz val="10"/>
        <rFont val="Noto Sans CJK SC"/>
        <family val="2"/>
      </rPr>
      <t xml:space="preserve">以下</t>
    </r>
  </si>
  <si>
    <r>
      <rPr>
        <sz val="10"/>
        <rFont val="Arial"/>
        <family val="0"/>
        <charset val="1"/>
      </rPr>
      <t xml:space="preserve">1MΩ</t>
    </r>
    <r>
      <rPr>
        <sz val="10"/>
        <rFont val="Noto Sans CJK SC"/>
        <family val="2"/>
      </rPr>
      <t xml:space="preserve">以上</t>
    </r>
  </si>
  <si>
    <r>
      <rPr>
        <sz val="10"/>
        <rFont val="Arial"/>
        <family val="0"/>
        <charset val="1"/>
      </rPr>
      <t xml:space="preserve">0.8MΩ</t>
    </r>
    <r>
      <rPr>
        <sz val="10"/>
        <rFont val="Noto Sans CJK SC"/>
        <family val="2"/>
      </rPr>
      <t xml:space="preserve">以上</t>
    </r>
  </si>
  <si>
    <t xml:space="preserve">發電機之繞組對地絕緣電阻應在</t>
  </si>
  <si>
    <t xml:space="preserve">電氣設備、電氣安全、發電設備</t>
  </si>
  <si>
    <t xml:space="preserve">發電機之耐壓試驗加電壓於繞組與地間需能耐受時間至少</t>
  </si>
  <si>
    <r>
      <rPr>
        <sz val="10"/>
        <rFont val="Arial"/>
        <family val="0"/>
        <charset val="1"/>
      </rPr>
      <t xml:space="preserve">1</t>
    </r>
    <r>
      <rPr>
        <sz val="10"/>
        <rFont val="Noto Sans CJK SC"/>
        <family val="2"/>
      </rPr>
      <t xml:space="preserve">分鐘</t>
    </r>
  </si>
  <si>
    <r>
      <rPr>
        <sz val="10"/>
        <rFont val="Arial"/>
        <family val="0"/>
        <charset val="1"/>
      </rPr>
      <t xml:space="preserve">0.5</t>
    </r>
    <r>
      <rPr>
        <sz val="10"/>
        <rFont val="Noto Sans CJK SC"/>
        <family val="2"/>
      </rPr>
      <t xml:space="preserve">分鐘</t>
    </r>
  </si>
  <si>
    <r>
      <rPr>
        <sz val="10"/>
        <rFont val="Arial"/>
        <family val="0"/>
        <charset val="1"/>
      </rPr>
      <t xml:space="preserve">50</t>
    </r>
    <r>
      <rPr>
        <sz val="10"/>
        <rFont val="Noto Sans CJK SC"/>
        <family val="2"/>
      </rPr>
      <t xml:space="preserve">秒</t>
    </r>
  </si>
  <si>
    <r>
      <rPr>
        <sz val="10"/>
        <rFont val="Arial"/>
        <family val="0"/>
        <charset val="1"/>
      </rPr>
      <t xml:space="preserve">45</t>
    </r>
    <r>
      <rPr>
        <sz val="10"/>
        <rFont val="Noto Sans CJK SC"/>
        <family val="2"/>
      </rPr>
      <t xml:space="preserve">秒</t>
    </r>
  </si>
  <si>
    <t xml:space="preserve">電氣設備、發電設備</t>
  </si>
  <si>
    <t xml:space="preserve">發電機之耐壓試驗其試驗電壓最低</t>
  </si>
  <si>
    <t xml:space="preserve">800V</t>
  </si>
  <si>
    <t xml:space="preserve">1,500V</t>
  </si>
  <si>
    <t xml:space="preserve">1,000V</t>
  </si>
  <si>
    <t xml:space="preserve">1,200V</t>
  </si>
  <si>
    <t xml:space="preserve">柴油引擎發電機組之起動方式為蓄電池組起動，蓄電池組之容量須能供應起動引擎發電機組連續重複起動幾次以上？</t>
  </si>
  <si>
    <r>
      <rPr>
        <sz val="10"/>
        <rFont val="Arial"/>
        <family val="0"/>
        <charset val="1"/>
      </rPr>
      <t xml:space="preserve">2</t>
    </r>
    <r>
      <rPr>
        <sz val="10"/>
        <rFont val="Noto Sans CJK SC"/>
        <family val="2"/>
      </rPr>
      <t xml:space="preserve">次</t>
    </r>
  </si>
  <si>
    <r>
      <rPr>
        <sz val="10"/>
        <rFont val="Arial"/>
        <family val="0"/>
        <charset val="1"/>
      </rPr>
      <t xml:space="preserve">3</t>
    </r>
    <r>
      <rPr>
        <sz val="10"/>
        <rFont val="Noto Sans CJK SC"/>
        <family val="2"/>
      </rPr>
      <t xml:space="preserve">次</t>
    </r>
  </si>
  <si>
    <r>
      <rPr>
        <sz val="10"/>
        <rFont val="Arial"/>
        <family val="0"/>
        <charset val="1"/>
      </rPr>
      <t xml:space="preserve">6</t>
    </r>
    <r>
      <rPr>
        <sz val="10"/>
        <rFont val="Noto Sans CJK SC"/>
        <family val="2"/>
      </rPr>
      <t xml:space="preserve">次</t>
    </r>
  </si>
  <si>
    <r>
      <rPr>
        <sz val="10"/>
        <rFont val="Arial"/>
        <family val="0"/>
        <charset val="1"/>
      </rPr>
      <t xml:space="preserve">5</t>
    </r>
    <r>
      <rPr>
        <sz val="10"/>
        <rFont val="Noto Sans CJK SC"/>
        <family val="2"/>
      </rPr>
      <t xml:space="preserve">次</t>
    </r>
  </si>
  <si>
    <t xml:space="preserve">柴油引擎發電機起動系統應可自動起動引擎，並在接受起動信號後多久時間以內可承擔負載？</t>
  </si>
  <si>
    <r>
      <rPr>
        <sz val="10"/>
        <rFont val="Arial"/>
        <family val="0"/>
        <charset val="1"/>
      </rPr>
      <t xml:space="preserve">15</t>
    </r>
    <r>
      <rPr>
        <sz val="10"/>
        <rFont val="Noto Sans CJK SC"/>
        <family val="2"/>
      </rPr>
      <t xml:space="preserve">秒</t>
    </r>
  </si>
  <si>
    <r>
      <rPr>
        <sz val="10"/>
        <rFont val="Arial"/>
        <family val="0"/>
        <charset val="1"/>
      </rPr>
      <t xml:space="preserve">20</t>
    </r>
    <r>
      <rPr>
        <sz val="10"/>
        <rFont val="Noto Sans CJK SC"/>
        <family val="2"/>
      </rPr>
      <t xml:space="preserve">秒</t>
    </r>
  </si>
  <si>
    <r>
      <rPr>
        <sz val="10"/>
        <rFont val="Arial"/>
        <family val="0"/>
        <charset val="1"/>
      </rPr>
      <t xml:space="preserve">30</t>
    </r>
    <r>
      <rPr>
        <sz val="10"/>
        <rFont val="Noto Sans CJK SC"/>
        <family val="2"/>
      </rPr>
      <t xml:space="preserve">秒</t>
    </r>
  </si>
  <si>
    <r>
      <rPr>
        <sz val="10"/>
        <rFont val="Arial"/>
        <family val="0"/>
        <charset val="1"/>
      </rPr>
      <t xml:space="preserve">10</t>
    </r>
    <r>
      <rPr>
        <sz val="10"/>
        <rFont val="Noto Sans CJK SC"/>
        <family val="2"/>
      </rPr>
      <t xml:space="preserve">秒</t>
    </r>
  </si>
  <si>
    <t xml:space="preserve">發電機在額定電壓及無負載額定轉速時，距離其本體兩側面及兩軸端各</t>
  </si>
  <si>
    <r>
      <rPr>
        <sz val="10"/>
        <rFont val="Arial"/>
        <family val="0"/>
        <charset val="1"/>
      </rPr>
      <t xml:space="preserve">2</t>
    </r>
    <r>
      <rPr>
        <sz val="10"/>
        <rFont val="Noto Sans CJK SC"/>
        <family val="2"/>
      </rPr>
      <t xml:space="preserve">公尺處與軸中心同樣高度的位置量測各點之噪音</t>
    </r>
  </si>
  <si>
    <t xml:space="preserve">發電機在額定電壓及無負載額定轉速時，依規定位置及高度量測各點之噪音其平均值應在</t>
  </si>
  <si>
    <r>
      <rPr>
        <sz val="10"/>
        <rFont val="Arial"/>
        <family val="0"/>
        <charset val="1"/>
      </rPr>
      <t xml:space="preserve">125dB (A)</t>
    </r>
    <r>
      <rPr>
        <sz val="10"/>
        <rFont val="Noto Sans CJK SC"/>
        <family val="2"/>
      </rPr>
      <t xml:space="preserve">以下</t>
    </r>
  </si>
  <si>
    <r>
      <rPr>
        <sz val="10"/>
        <rFont val="Arial"/>
        <family val="0"/>
        <charset val="1"/>
      </rPr>
      <t xml:space="preserve">100dB (A)</t>
    </r>
    <r>
      <rPr>
        <sz val="10"/>
        <rFont val="Noto Sans CJK SC"/>
        <family val="2"/>
      </rPr>
      <t xml:space="preserve">以下</t>
    </r>
  </si>
  <si>
    <r>
      <rPr>
        <sz val="10"/>
        <rFont val="Arial"/>
        <family val="0"/>
        <charset val="1"/>
      </rPr>
      <t xml:space="preserve">120dB (A)</t>
    </r>
    <r>
      <rPr>
        <sz val="10"/>
        <rFont val="Noto Sans CJK SC"/>
        <family val="2"/>
      </rPr>
      <t xml:space="preserve">以下</t>
    </r>
  </si>
  <si>
    <r>
      <rPr>
        <sz val="10"/>
        <rFont val="Arial"/>
        <family val="0"/>
        <charset val="1"/>
      </rPr>
      <t xml:space="preserve">110dB (A)</t>
    </r>
    <r>
      <rPr>
        <sz val="10"/>
        <rFont val="Noto Sans CJK SC"/>
        <family val="2"/>
      </rPr>
      <t xml:space="preserve">以下</t>
    </r>
  </si>
  <si>
    <t xml:space="preserve">發電機柴油引擎驅動發電機整體加載試驗時，其合成噪音值應在</t>
  </si>
  <si>
    <r>
      <rPr>
        <sz val="10"/>
        <rFont val="Arial"/>
        <family val="0"/>
        <charset val="1"/>
      </rPr>
      <t xml:space="preserve">130dB (A)</t>
    </r>
    <r>
      <rPr>
        <sz val="10"/>
        <rFont val="Noto Sans CJK SC"/>
        <family val="2"/>
      </rPr>
      <t xml:space="preserve">以下</t>
    </r>
  </si>
  <si>
    <r>
      <rPr>
        <sz val="10"/>
        <rFont val="Arial"/>
        <family val="0"/>
        <charset val="1"/>
      </rPr>
      <t xml:space="preserve">140dB (A)</t>
    </r>
    <r>
      <rPr>
        <sz val="10"/>
        <rFont val="Noto Sans CJK SC"/>
        <family val="2"/>
      </rPr>
      <t xml:space="preserve">以下。環保標準另有規定時，則從其規定辦理</t>
    </r>
  </si>
  <si>
    <t xml:space="preserve">台電配電室面積20m²以下，活載重強度應為</t>
  </si>
  <si>
    <t xml:space="preserve">250kg/m²</t>
  </si>
  <si>
    <t xml:space="preserve">300kg/m²</t>
  </si>
  <si>
    <t xml:space="preserve">350kg/m²</t>
  </si>
  <si>
    <t xml:space="preserve">400kg/m²</t>
  </si>
  <si>
    <t xml:space="preserve">台電配電室面積20m²～40m²以下，活載重強度應為</t>
  </si>
  <si>
    <t xml:space="preserve">600kg/m²</t>
  </si>
  <si>
    <t xml:space="preserve">500kg/m²</t>
  </si>
  <si>
    <t xml:space="preserve">台電配電室面積40m²以上，活載重強度應為</t>
  </si>
  <si>
    <t xml:space="preserve">900kg/m²</t>
  </si>
  <si>
    <t xml:space="preserve">台電配電室淨高至少</t>
  </si>
  <si>
    <r>
      <rPr>
        <sz val="10"/>
        <rFont val="Arial"/>
        <family val="0"/>
        <charset val="1"/>
      </rPr>
      <t xml:space="preserve">2.4</t>
    </r>
    <r>
      <rPr>
        <sz val="10"/>
        <rFont val="Noto Sans CJK SC"/>
        <family val="2"/>
      </rPr>
      <t xml:space="preserve">公尺以上</t>
    </r>
  </si>
  <si>
    <r>
      <rPr>
        <sz val="10"/>
        <rFont val="Arial"/>
        <family val="0"/>
        <charset val="1"/>
      </rPr>
      <t xml:space="preserve">2.3</t>
    </r>
    <r>
      <rPr>
        <sz val="10"/>
        <rFont val="Noto Sans CJK SC"/>
        <family val="2"/>
      </rPr>
      <t xml:space="preserve">公尺以上</t>
    </r>
  </si>
  <si>
    <r>
      <rPr>
        <sz val="10"/>
        <rFont val="Arial"/>
        <family val="0"/>
        <charset val="1"/>
      </rPr>
      <t xml:space="preserve">2.5</t>
    </r>
    <r>
      <rPr>
        <sz val="10"/>
        <rFont val="Noto Sans CJK SC"/>
        <family val="2"/>
      </rPr>
      <t xml:space="preserve">公尺以上</t>
    </r>
  </si>
  <si>
    <r>
      <rPr>
        <sz val="10"/>
        <rFont val="Arial"/>
        <family val="0"/>
        <charset val="1"/>
      </rPr>
      <t xml:space="preserve">2.1</t>
    </r>
    <r>
      <rPr>
        <sz val="10"/>
        <rFont val="Noto Sans CJK SC"/>
        <family val="2"/>
      </rPr>
      <t xml:space="preserve">公尺以上</t>
    </r>
  </si>
  <si>
    <t xml:space="preserve">交流電路之導線布設於金屬管槽內應如何配線？</t>
  </si>
  <si>
    <t xml:space="preserve">各導線獨立配管</t>
  </si>
  <si>
    <t xml:space="preserve">不得與接地導線配在同一管內</t>
  </si>
  <si>
    <t xml:space="preserve">不得與被接地導線配在同一管內</t>
  </si>
  <si>
    <t xml:space="preserve">同一回路之全部導線應綑綁成束</t>
  </si>
  <si>
    <t xml:space="preserve">金屬導線槽不得裝於下列場所，下列何者敘述不正確？</t>
  </si>
  <si>
    <t xml:space="preserve">易受重機械外力損傷之處</t>
  </si>
  <si>
    <t xml:space="preserve">散發腐蝕性物質場所</t>
  </si>
  <si>
    <t xml:space="preserve">潮濕場所</t>
  </si>
  <si>
    <t xml:space="preserve">乾燥場所</t>
  </si>
  <si>
    <t xml:space="preserve">依新版CNS 15156-200配電盤標準，如果標示規格為LSC 2B-PM互鎖控制型(機械連鎖)，代表此高壓配電盤為</t>
  </si>
  <si>
    <t xml:space="preserve">貫穿外牆之配管方式應為何？</t>
  </si>
  <si>
    <t xml:space="preserve">預埋套管矽膠填塞</t>
  </si>
  <si>
    <t xml:space="preserve">鑽孔配管矽膠填塞</t>
  </si>
  <si>
    <t xml:space="preserve">預埋過牆管管圍加止水環且室外配管採向下S型</t>
  </si>
  <si>
    <t xml:space="preserve">打鑿配管</t>
  </si>
  <si>
    <t xml:space="preserve">用電設備或器具接地之規定，下列敘述何者不正確？</t>
  </si>
  <si>
    <t xml:space="preserve">妥接於金屬導線管上</t>
  </si>
  <si>
    <t xml:space="preserve">在導線管內或電纜內多置一條地線與電路導線共同配裝，以供接地。該接地導線之絕緣或被覆，應使用綠色或綠色加一條以上黃色條紋</t>
  </si>
  <si>
    <t xml:space="preserve">個別裝設設備接地導線</t>
  </si>
  <si>
    <t xml:space="preserve">牢固裝置於接地之建築物金屬構架上，且金屬構架之接地電阻符合用電規則規定，並且保持良好之接觸者</t>
  </si>
  <si>
    <t xml:space="preserve">有關避雷器(Lightning Arrester)簡稱LA之敘述下列何者不正確？</t>
  </si>
  <si>
    <r>
      <rPr>
        <sz val="10"/>
        <rFont val="Arial"/>
        <family val="0"/>
        <charset val="1"/>
      </rPr>
      <t xml:space="preserve">LA</t>
    </r>
    <r>
      <rPr>
        <sz val="10"/>
        <rFont val="Noto Sans CJK SC"/>
        <family val="2"/>
      </rPr>
      <t xml:space="preserve">是一種過電壓保護設備</t>
    </r>
  </si>
  <si>
    <t xml:space="preserve">避雷器之接地電阻應在10歐姆以上</t>
  </si>
  <si>
    <t xml:space="preserve">避雷器應裝於進屋線隔離開關之電源側或負載側</t>
  </si>
  <si>
    <t xml:space="preserve">避雷器與高壓側導線及避雷器與大地間之接地導線應使用銅線或銅電纜線，應不小於14平方公釐</t>
  </si>
  <si>
    <t xml:space="preserve">避雷針接地之敘述下列何者不正確？</t>
  </si>
  <si>
    <t xml:space="preserve">避雷針之保護範圍，一般建築物之保護角不得超過60度</t>
  </si>
  <si>
    <t xml:space="preserve">高度超過20公尺以上建築物不需裝設避雷針</t>
  </si>
  <si>
    <t xml:space="preserve">危險物品倉庫之保護角不得超過45度</t>
  </si>
  <si>
    <t xml:space="preserve">接地極採用銅板之埋設深度，其頂部與地表面之距離應有1公尺以上</t>
  </si>
  <si>
    <t xml:space="preserve">有關PVC電纜之敘述下列何者為正確？</t>
  </si>
  <si>
    <t xml:space="preserve">也稱為EV電纜</t>
  </si>
  <si>
    <t xml:space="preserve">也稱為CV電纜</t>
  </si>
  <si>
    <t xml:space="preserve">也稱為VV電纜</t>
  </si>
  <si>
    <t xml:space="preserve">也稱為BN電纜</t>
  </si>
  <si>
    <t xml:space="preserve">第二章 弱電(含中央監控)設備工程品質管理實務</t>
  </si>
  <si>
    <t xml:space="preserve">單元二：第二章 弱電(含中央監控)設備工程品質管理實務</t>
  </si>
  <si>
    <t xml:space="preserve">機電設備檢驗與測試，需指定一位專科以上相關科系畢業，並具相關工程經驗</t>
  </si>
  <si>
    <r>
      <rPr>
        <sz val="10"/>
        <rFont val="Arial"/>
        <family val="0"/>
        <charset val="1"/>
      </rPr>
      <t xml:space="preserve">4</t>
    </r>
    <r>
      <rPr>
        <sz val="10"/>
        <rFont val="Noto Sans CJK SC"/>
        <family val="2"/>
      </rPr>
      <t xml:space="preserve">年以上之設備廠商專業工程師負責督導執行</t>
    </r>
  </si>
  <si>
    <t xml:space="preserve">弱電與中央監控</t>
  </si>
  <si>
    <t xml:space="preserve">功能驗証各項檢驗測試均須依規定提送檢驗測試記錄報告經哪一單位核可？</t>
  </si>
  <si>
    <t xml:space="preserve">承包商工地主任</t>
  </si>
  <si>
    <t xml:space="preserve">PCM</t>
  </si>
  <si>
    <t xml:space="preserve">業主單位</t>
  </si>
  <si>
    <t xml:space="preserve">外觀與結構檢驗項目，不包含下列哪項？</t>
  </si>
  <si>
    <t xml:space="preserve">機體外型尺寸</t>
  </si>
  <si>
    <t xml:space="preserve">機殼防護種類等級</t>
  </si>
  <si>
    <t xml:space="preserve">銘牌</t>
  </si>
  <si>
    <t xml:space="preserve">通電測試</t>
  </si>
  <si>
    <t xml:space="preserve">一般工地檢測不包含下列哪項？</t>
  </si>
  <si>
    <t xml:space="preserve">結構檢驗</t>
  </si>
  <si>
    <t xml:space="preserve">數量點檢</t>
  </si>
  <si>
    <t xml:space="preserve">外觀檢查</t>
  </si>
  <si>
    <t xml:space="preserve">功能驗證</t>
  </si>
  <si>
    <t xml:space="preserve">當設備於現場裝置完成，為確認該項設備是否可運作而執行臨時性測試稱為:</t>
  </si>
  <si>
    <t xml:space="preserve">單項設備性能測試</t>
  </si>
  <si>
    <t xml:space="preserve">啟動/性能測試</t>
  </si>
  <si>
    <t xml:space="preserve">試運轉測試</t>
  </si>
  <si>
    <t xml:space="preserve">系統連線測試</t>
  </si>
  <si>
    <t xml:space="preserve">機器設備現場安裝完成，包含管路、電氣、控制等整套之裝配連結完成，執行該套系統運轉狀況之測試為？</t>
  </si>
  <si>
    <t xml:space="preserve">當所有系統設備皆已安裝完成，針對各系統之啟動及運轉狀況而執行性能測試稱為？</t>
  </si>
  <si>
    <t xml:space="preserve">機電系統測試合格後，必須於竣工前配合控制中心連線測試稱為？</t>
  </si>
  <si>
    <t xml:space="preserve">整體控制中心連線測試</t>
  </si>
  <si>
    <t xml:space="preserve">性能測試</t>
  </si>
  <si>
    <t xml:space="preserve">啟動測試</t>
  </si>
  <si>
    <t xml:space="preserve">弱電設備工程實務，主要係提供具</t>
  </si>
  <si>
    <t xml:space="preserve">機電</t>
  </si>
  <si>
    <t xml:space="preserve">建築</t>
  </si>
  <si>
    <t xml:space="preserve">水利，背景之公共工程承攬廠商品管人員或監造單位現場人員從事品質管理實務</t>
  </si>
  <si>
    <t xml:space="preserve">弱電設備工程品質管理實務主要目的，在培訓監造及品管人員執行一般性公共工程下列敘述，何者不宜？</t>
  </si>
  <si>
    <t xml:space="preserve">基本技術</t>
  </si>
  <si>
    <t xml:space="preserve">基本知識</t>
  </si>
  <si>
    <t xml:space="preserve">艱深理論</t>
  </si>
  <si>
    <t xml:space="preserve">弱電與中央監控、監造</t>
  </si>
  <si>
    <t xml:space="preserve">國內目前建築物之電信設備大都依:</t>
  </si>
  <si>
    <t xml:space="preserve">電信法規</t>
  </si>
  <si>
    <t xml:space="preserve">電氣屋內外配裝置規則</t>
  </si>
  <si>
    <t xml:space="preserve">消防法則</t>
  </si>
  <si>
    <t xml:space="preserve">建築法規，之規定設置</t>
  </si>
  <si>
    <t xml:space="preserve">子母鐘設備系統不適宜設立在下列哪類場所？</t>
  </si>
  <si>
    <t xml:space="preserve">醫院</t>
  </si>
  <si>
    <t xml:space="preserve">學校</t>
  </si>
  <si>
    <t xml:space="preserve">防災中心、中央監控</t>
  </si>
  <si>
    <t xml:space="preserve">粉塵多的倉庫</t>
  </si>
  <si>
    <t xml:space="preserve">停車場管理主要設備不包含下列哪項設備</t>
  </si>
  <si>
    <t xml:space="preserve">廠內管制系統</t>
  </si>
  <si>
    <r>
      <rPr>
        <sz val="10"/>
        <rFont val="Arial"/>
        <family val="0"/>
        <charset val="1"/>
      </rPr>
      <t xml:space="preserve">ITV</t>
    </r>
    <r>
      <rPr>
        <sz val="10"/>
        <rFont val="Noto Sans CJK SC"/>
        <family val="2"/>
      </rPr>
      <t xml:space="preserve">監視系統</t>
    </r>
  </si>
  <si>
    <t xml:space="preserve">停車費計算系統</t>
  </si>
  <si>
    <t xml:space="preserve">對講機系統</t>
  </si>
  <si>
    <t xml:space="preserve">以下何項為承攬廠商監督管理作業品質缺失？</t>
  </si>
  <si>
    <t xml:space="preserve">工程標的含運轉類機電設備者，未訂定檢驗程序及標準或無試運轉及測試計畫書</t>
  </si>
  <si>
    <t xml:space="preserve">已訂定矯正及預防措施執行時機或流程</t>
  </si>
  <si>
    <t xml:space="preserve">已訂定各材料、設備檢驗時機</t>
  </si>
  <si>
    <t xml:space="preserve">已訂定內部品質稽核範圍或頻率</t>
  </si>
  <si>
    <t xml:space="preserve">品質標準建置要領，下列敘述何者不宜？</t>
  </si>
  <si>
    <t xml:space="preserve">先確定工程項目</t>
  </si>
  <si>
    <t xml:space="preserve">確定品質管理的項目</t>
  </si>
  <si>
    <t xml:space="preserve">確定檢驗時機</t>
  </si>
  <si>
    <t xml:space="preserve">不合標準值的處理方法不必考慮</t>
  </si>
  <si>
    <t xml:space="preserve">建立機電工程的品管標準，最好是由哪些單位？</t>
  </si>
  <si>
    <t xml:space="preserve">業主及專案管理單位</t>
  </si>
  <si>
    <t xml:space="preserve">設計監造單位</t>
  </si>
  <si>
    <t xml:space="preserve">以上皆是，組成品管委員會。在施工之前確定各項工程的品質標準，作為日後施工之依據</t>
  </si>
  <si>
    <t xml:space="preserve">在工程竣工後，廠商按契約規定提交完整無誤竣工文件次日起規定期限辦理完成之檢驗為</t>
  </si>
  <si>
    <t xml:space="preserve">竣工檢驗</t>
  </si>
  <si>
    <t xml:space="preserve">停留點檢驗</t>
  </si>
  <si>
    <t xml:space="preserve">弱電與中央監控、契約管理</t>
  </si>
  <si>
    <t xml:space="preserve">機電工程完成後，於正式啟用前各系統須做</t>
  </si>
  <si>
    <t xml:space="preserve">調整與平衡</t>
  </si>
  <si>
    <t xml:space="preserve">負載測試</t>
  </si>
  <si>
    <t xml:space="preserve">連動測試，已達設備最佳運轉狀況</t>
  </si>
  <si>
    <t xml:space="preserve">工程在完成各階段測試，驗收前應提顯示安裝之設置手冊應包含，下列哪一項？</t>
  </si>
  <si>
    <t xml:space="preserve">系統安裝技術手冊</t>
  </si>
  <si>
    <t xml:space="preserve">系統操作手冊</t>
  </si>
  <si>
    <t xml:space="preserve">系統維護手冊</t>
  </si>
  <si>
    <t xml:space="preserve">弱電與中央監控、驗收</t>
  </si>
  <si>
    <t xml:space="preserve">功能驗証整合系統測試完成後，所有文件須於___</t>
  </si>
  <si>
    <r>
      <rPr>
        <sz val="10"/>
        <rFont val="Arial"/>
        <family val="0"/>
        <charset val="1"/>
      </rPr>
      <t xml:space="preserve">30</t>
    </r>
    <r>
      <rPr>
        <sz val="10"/>
        <rFont val="Noto Sans CJK SC"/>
        <family val="2"/>
      </rPr>
      <t xml:space="preserve">日內，提送監造單位審核</t>
    </r>
  </si>
  <si>
    <t xml:space="preserve">機電系統之檢驗包含</t>
  </si>
  <si>
    <t xml:space="preserve">製造工廠檢驗</t>
  </si>
  <si>
    <t xml:space="preserve">工地檢驗</t>
  </si>
  <si>
    <t xml:space="preserve">設備功能運轉檢驗程序與標準應包含</t>
  </si>
  <si>
    <t xml:space="preserve">設備架構圖</t>
  </si>
  <si>
    <t xml:space="preserve">系統運轉測試，測試和整體功能試運轉測試等</t>
  </si>
  <si>
    <t xml:space="preserve">功能驗証之檢驗與測試依據，下列何者有誤:</t>
  </si>
  <si>
    <t xml:space="preserve">最近之國家標準</t>
  </si>
  <si>
    <t xml:space="preserve">最新之國家法規</t>
  </si>
  <si>
    <t xml:space="preserve">僅依施工廠商或製造商之標準即可</t>
  </si>
  <si>
    <t xml:space="preserve">設備功能運轉檢測除另有規定外，廠商須於檢驗與測試前</t>
  </si>
  <si>
    <t xml:space="preserve">一個月</t>
  </si>
  <si>
    <t xml:space="preserve">二個月</t>
  </si>
  <si>
    <t xml:space="preserve">三個月</t>
  </si>
  <si>
    <t xml:space="preserve">四個月，前提送詳細的測試計畫手冊，經監造單位核可後方可實施</t>
  </si>
  <si>
    <t xml:space="preserve">設備功能運轉檢測之工地檢測計畫書，廠商須於檢測前</t>
  </si>
  <si>
    <r>
      <rPr>
        <sz val="10"/>
        <rFont val="Arial"/>
        <family val="0"/>
        <charset val="1"/>
      </rPr>
      <t xml:space="preserve">20</t>
    </r>
    <r>
      <rPr>
        <sz val="10"/>
        <rFont val="Noto Sans CJK SC"/>
        <family val="2"/>
      </rPr>
      <t xml:space="preserve">日</t>
    </r>
  </si>
  <si>
    <r>
      <rPr>
        <sz val="10"/>
        <rFont val="Arial"/>
        <family val="0"/>
        <charset val="1"/>
      </rPr>
      <t xml:space="preserve">40</t>
    </r>
    <r>
      <rPr>
        <sz val="10"/>
        <rFont val="Noto Sans CJK SC"/>
        <family val="2"/>
      </rPr>
      <t xml:space="preserve">日前提出</t>
    </r>
  </si>
  <si>
    <t xml:space="preserve">電信接地應包含:</t>
  </si>
  <si>
    <t xml:space="preserve">接地極(棒)含測試</t>
  </si>
  <si>
    <t xml:space="preserve">極接地導線</t>
  </si>
  <si>
    <t xml:space="preserve">接地端子及接地總箱</t>
  </si>
  <si>
    <t xml:space="preserve">弱電與中央監控、電氣安全</t>
  </si>
  <si>
    <t xml:space="preserve">建築物之電話系統係指由市內網路業務經營者之電信引進管進入屋內之</t>
  </si>
  <si>
    <t xml:space="preserve">總配線箱</t>
  </si>
  <si>
    <t xml:space="preserve">宅內配線箱</t>
  </si>
  <si>
    <t xml:space="preserve">支配線箱</t>
  </si>
  <si>
    <t xml:space="preserve">拖線箱，再經由各層之主配線箱至各戶之電話插座</t>
  </si>
  <si>
    <t xml:space="preserve">依據電信管理法第___條</t>
  </si>
  <si>
    <t xml:space="preserve">49</t>
  </si>
  <si>
    <t xml:space="preserve">48</t>
  </si>
  <si>
    <t xml:space="preserve">47</t>
  </si>
  <si>
    <r>
      <rPr>
        <sz val="10"/>
        <rFont val="Arial"/>
        <family val="0"/>
        <charset val="1"/>
      </rPr>
      <t xml:space="preserve">46</t>
    </r>
    <r>
      <rPr>
        <sz val="10"/>
        <rFont val="Noto Sans CJK SC"/>
        <family val="2"/>
      </rPr>
      <t xml:space="preserve">條第七項之技術規範規定，建築物之電話系統係指由市內網路業務經營者之電信引進管進入屋內總配線箱，再由總配線箱經由各層之主配線箱至各戶之電話插座</t>
    </r>
  </si>
  <si>
    <t xml:space="preserve">銜接總配線箱(或電信室)及各樓層主配線箱(室)、支配線箱或宅內配線箱之垂直或水平電信管道，供主幹配線佈線使用之管線稱為:</t>
  </si>
  <si>
    <t xml:space="preserve">水平配管</t>
  </si>
  <si>
    <t xml:space="preserve">分戶配管</t>
  </si>
  <si>
    <t xml:space="preserve">主幹配管</t>
  </si>
  <si>
    <t xml:space="preserve">垂直配管</t>
  </si>
  <si>
    <t xml:space="preserve">總配線箱(或電信室)或主配線箱(室)沿樓板水平裝設至支配線箱、出線匣之電信管道之配管稱為:</t>
  </si>
  <si>
    <t xml:space="preserve">垂直取管</t>
  </si>
  <si>
    <t xml:space="preserve">電信引進管架空時應設置幾管？</t>
  </si>
  <si>
    <t xml:space="preserve">電信引進管以地下引進管，設計引進電話、光纜及同軸電纜所需引進管數。有設置電信室時，應另行增設幾管</t>
  </si>
  <si>
    <r>
      <rPr>
        <sz val="10"/>
        <rFont val="Arial"/>
        <family val="0"/>
        <charset val="1"/>
      </rPr>
      <t xml:space="preserve">4</t>
    </r>
    <r>
      <rPr>
        <sz val="10"/>
        <rFont val="Noto Sans CJK SC"/>
        <family val="2"/>
      </rPr>
      <t xml:space="preserve">管，管徑均需相同</t>
    </r>
  </si>
  <si>
    <t xml:space="preserve">電信之主幹配管，主要銜接下列哪項不包含？</t>
  </si>
  <si>
    <t xml:space="preserve">電信室</t>
  </si>
  <si>
    <t xml:space="preserve">水平電信管道</t>
  </si>
  <si>
    <t xml:space="preserve">出線匣，供主幹配線佈線使用</t>
  </si>
  <si>
    <t xml:space="preserve">設置於電信室內收容之電信設備，不包含下列哪項設備？</t>
  </si>
  <si>
    <t xml:space="preserve">電信支配線箱</t>
  </si>
  <si>
    <t xml:space="preserve">總配線架</t>
  </si>
  <si>
    <t xml:space="preserve">用戶側端子板</t>
  </si>
  <si>
    <t xml:space="preserve">光終端配線架</t>
  </si>
  <si>
    <t xml:space="preserve">電信地下引進管至建築物間，如有足夠之空間，得設置</t>
  </si>
  <si>
    <t xml:space="preserve">電信</t>
  </si>
  <si>
    <t xml:space="preserve">電力</t>
  </si>
  <si>
    <t xml:space="preserve">電視</t>
  </si>
  <si>
    <t xml:space="preserve">以上皆非，手孔供將來引進管不足時供不同經營業者引進用，以減少將來增設引進管穿越外牆所造成影響</t>
  </si>
  <si>
    <t xml:space="preserve">依據電信管理法第___條第七項規定</t>
  </si>
  <si>
    <t xml:space="preserve">46</t>
  </si>
  <si>
    <r>
      <rPr>
        <sz val="10"/>
        <rFont val="Arial"/>
        <family val="0"/>
        <charset val="1"/>
      </rPr>
      <t xml:space="preserve">49</t>
    </r>
    <r>
      <rPr>
        <sz val="10"/>
        <rFont val="Noto Sans CJK SC"/>
        <family val="2"/>
      </rPr>
      <t xml:space="preserve">訂定之電信及有線廣播電視電箱及線纜設備</t>
    </r>
  </si>
  <si>
    <t xml:space="preserve">依建築物電信設備及空間設置使用管理規則第___條</t>
  </si>
  <si>
    <t xml:space="preserve">九</t>
  </si>
  <si>
    <t xml:space="preserve">八</t>
  </si>
  <si>
    <t xml:space="preserve">七</t>
  </si>
  <si>
    <t xml:space="preserve">六條規定不需設置光纜，仍需設置光纜引進管</t>
  </si>
  <si>
    <t xml:space="preserve">依建築物電信設備及空間設置使用管理規則第九條規定，未設置電信式之透天式獨戶建築物引進管至少</t>
  </si>
  <si>
    <r>
      <rPr>
        <sz val="10"/>
        <rFont val="Arial"/>
        <family val="0"/>
        <charset val="1"/>
      </rPr>
      <t xml:space="preserve">3</t>
    </r>
    <r>
      <rPr>
        <sz val="10"/>
        <rFont val="Noto Sans CJK SC"/>
        <family val="2"/>
      </rPr>
      <t xml:space="preserve">管</t>
    </r>
  </si>
  <si>
    <r>
      <rPr>
        <sz val="10"/>
        <rFont val="Arial"/>
        <family val="0"/>
        <charset val="1"/>
      </rPr>
      <t xml:space="preserve">4</t>
    </r>
    <r>
      <rPr>
        <sz val="10"/>
        <rFont val="Noto Sans CJK SC"/>
        <family val="2"/>
      </rPr>
      <t xml:space="preserve">管</t>
    </r>
  </si>
  <si>
    <r>
      <rPr>
        <sz val="10"/>
        <rFont val="Arial"/>
        <family val="0"/>
        <charset val="1"/>
      </rPr>
      <t xml:space="preserve">5</t>
    </r>
    <r>
      <rPr>
        <sz val="10"/>
        <rFont val="Noto Sans CJK SC"/>
        <family val="2"/>
      </rPr>
      <t xml:space="preserve">管</t>
    </r>
  </si>
  <si>
    <r>
      <rPr>
        <sz val="10"/>
        <rFont val="Arial"/>
        <family val="0"/>
        <charset val="1"/>
      </rPr>
      <t xml:space="preserve">6</t>
    </r>
    <r>
      <rPr>
        <sz val="10"/>
        <rFont val="Noto Sans CJK SC"/>
        <family val="2"/>
      </rPr>
      <t xml:space="preserve">管</t>
    </r>
  </si>
  <si>
    <t xml:space="preserve">設置於建築物電信室內之金屬組合架，作為引進管線及主幹管線間之介面，用於裝設引接電纜、端子板和配線電纜稱為:</t>
  </si>
  <si>
    <t xml:space="preserve">樓層配線架</t>
  </si>
  <si>
    <t xml:space="preserve">設置於建築物電信室內之金屬機櫃，作為裝設引進光纜、光終端箱(盒)、光分歧器及光終端設備之用稱為:</t>
  </si>
  <si>
    <t xml:space="preserve">設置於建築物內作為電信引進管線、垂直管線及水平管線間介面之配線箱稱為:</t>
  </si>
  <si>
    <t xml:space="preserve">主配線箱</t>
  </si>
  <si>
    <t xml:space="preserve">設置於建築物各用戶宅內，作為水平管線及宅內管線間介面之配線箱為:</t>
  </si>
  <si>
    <t xml:space="preserve">設置於建築物內各樓層，作為垂直管線及水平管線間介面之配線箱稱為:</t>
  </si>
  <si>
    <t xml:space="preserve">設置於建築物內適當處所，作為總(主)配線箱或電信室分支之配線箱稱為:</t>
  </si>
  <si>
    <t xml:space="preserve">設置於建築物內之長距離或彎曲管道間，供線纜佈放或接續之箱體稱為:</t>
  </si>
  <si>
    <t xml:space="preserve">拖線箱</t>
  </si>
  <si>
    <t xml:space="preserve">建築物內裝設電信設備之出線孔，可供裝電信插座之匣型裝置稱為:</t>
  </si>
  <si>
    <t xml:space="preserve">出線匣</t>
  </si>
  <si>
    <t xml:space="preserve">接線匣</t>
  </si>
  <si>
    <t xml:space="preserve">設置於建築物內地板上供佈線之配管，含連接盒、出線盒及管槽稱為:</t>
  </si>
  <si>
    <t xml:space="preserve">地板管槽</t>
  </si>
  <si>
    <t xml:space="preserve">地板線槽</t>
  </si>
  <si>
    <t xml:space="preserve">高架地板</t>
  </si>
  <si>
    <t xml:space="preserve">電信線架</t>
  </si>
  <si>
    <t xml:space="preserve">設置於建築物內地板供佈線之溝槽稱為:</t>
  </si>
  <si>
    <t xml:space="preserve">宅內配線箱設置於建築物各用戶宅內，下列何項敘述不正確？</t>
  </si>
  <si>
    <t xml:space="preserve">作為水平管線及宅內管線間介面之配線箱</t>
  </si>
  <si>
    <t xml:space="preserve">可用以收容電信線纜、跳接線</t>
  </si>
  <si>
    <t xml:space="preserve">可用以收容電信終端設備</t>
  </si>
  <si>
    <t xml:space="preserve">可用以收容主配線箱</t>
  </si>
  <si>
    <t xml:space="preserve">設置建築物配線室內之金屬組合架，輔助電信室之總配線架。作為樓層配線間之介面，並可與其他樓層配線架相互連接者為</t>
  </si>
  <si>
    <t xml:space="preserve">舖設於建築物地板上，其空間作為收容水平配線之地板稱為:</t>
  </si>
  <si>
    <t xml:space="preserve">設置於建築物內側或外側做為彙集數戶透天式獨戶建築之電信引進管線、垂直管線及接地設備之總配線箱稱為:</t>
  </si>
  <si>
    <t xml:space="preserve">集中總箱</t>
  </si>
  <si>
    <t xml:space="preserve">室內配線箱</t>
  </si>
  <si>
    <t xml:space="preserve">建築物內供佈設各種管線之專用空間稱為:</t>
  </si>
  <si>
    <t xml:space="preserve">管道間</t>
  </si>
  <si>
    <t xml:space="preserve">電氣室</t>
  </si>
  <si>
    <t xml:space="preserve">支配線室</t>
  </si>
  <si>
    <t xml:space="preserve">為一列(組)或多列(組)端子所組成的接續裝置，一端用以進行電信電纜終端，另一端供電信線纜心線之連續者為</t>
  </si>
  <si>
    <t xml:space="preserve">成端</t>
  </si>
  <si>
    <t xml:space="preserve">插座</t>
  </si>
  <si>
    <t xml:space="preserve">端子板</t>
  </si>
  <si>
    <t xml:space="preserve">接線箱</t>
  </si>
  <si>
    <t xml:space="preserve">線纜裝設於箱、架、板、匣、盒中，將線路固定並連接至端子或插座等裝置，以供電信接續支用者為</t>
  </si>
  <si>
    <t xml:space="preserve">連接板</t>
  </si>
  <si>
    <t xml:space="preserve">轉接器</t>
  </si>
  <si>
    <t xml:space="preserve">電信設備接地之總彙接箱，稱為</t>
  </si>
  <si>
    <t xml:space="preserve">總接地箱</t>
  </si>
  <si>
    <t xml:space="preserve">分岐接地箱</t>
  </si>
  <si>
    <t xml:space="preserve">樓層接地箱</t>
  </si>
  <si>
    <t xml:space="preserve">測試箱</t>
  </si>
  <si>
    <t xml:space="preserve">用於保護電信機線設備之接地裝置及各種安全設施者稱為:</t>
  </si>
  <si>
    <t xml:space="preserve">電力系統接地</t>
  </si>
  <si>
    <t xml:space="preserve">避雷針接地</t>
  </si>
  <si>
    <t xml:space="preserve">電信保安接地</t>
  </si>
  <si>
    <t xml:space="preserve">設備外殼接地</t>
  </si>
  <si>
    <t xml:space="preserve">電信業務經營者使用於建築物內之電信交換設備，電信傳輸設備、電信終端介面設備及其相關附設之總稱為:</t>
  </si>
  <si>
    <t xml:space="preserve">電信機械設備</t>
  </si>
  <si>
    <t xml:space="preserve">電信配線設備</t>
  </si>
  <si>
    <t xml:space="preserve">電信管箱設備</t>
  </si>
  <si>
    <t xml:space="preserve">建築物內除既有電信室外，專供市內網路業者經營者引接線纜及設置集線電信設備之專用空間稱為</t>
  </si>
  <si>
    <t xml:space="preserve">集線室</t>
  </si>
  <si>
    <t xml:space="preserve">電信機械室</t>
  </si>
  <si>
    <t xml:space="preserve">收容建物電信線纜之設備包含電信引進管、主幹配管、管道間、線架等稱為:</t>
  </si>
  <si>
    <t xml:space="preserve">電信室設備</t>
  </si>
  <si>
    <t xml:space="preserve">用於建築物之電信線纜及固接附屬設備，包含引進纜線、配線線纜、成端、端子板等稱為:</t>
  </si>
  <si>
    <t xml:space="preserve">同一宗建築基地內之建築物，或為統一管理而設同一管理委員會之建築物稱為:</t>
  </si>
  <si>
    <t xml:space="preserve">社區型建築物</t>
  </si>
  <si>
    <t xml:space="preserve">透天型獨戶建築</t>
  </si>
  <si>
    <t xml:space="preserve">連棟式透天建築物</t>
  </si>
  <si>
    <t xml:space="preserve">合院式建築</t>
  </si>
  <si>
    <t xml:space="preserve">電信接地總接地箱與總配線箱或總配線架之導線採</t>
  </si>
  <si>
    <r>
      <rPr>
        <sz val="10"/>
        <rFont val="Arial"/>
        <family val="0"/>
        <charset val="1"/>
      </rPr>
      <t xml:space="preserve">8</t>
    </r>
    <r>
      <rPr>
        <sz val="10"/>
        <rFont val="Noto Sans CJK SC"/>
        <family val="2"/>
      </rPr>
      <t xml:space="preserve">㎟</t>
    </r>
  </si>
  <si>
    <r>
      <rPr>
        <sz val="10"/>
        <rFont val="Arial"/>
        <family val="0"/>
        <charset val="1"/>
      </rPr>
      <t xml:space="preserve">14</t>
    </r>
    <r>
      <rPr>
        <sz val="10"/>
        <rFont val="Noto Sans CJK SC"/>
        <family val="2"/>
      </rPr>
      <t xml:space="preserve">㎟</t>
    </r>
  </si>
  <si>
    <r>
      <rPr>
        <sz val="10"/>
        <rFont val="Arial"/>
        <family val="0"/>
        <charset val="1"/>
      </rPr>
      <t xml:space="preserve">38</t>
    </r>
    <r>
      <rPr>
        <sz val="10"/>
        <rFont val="Noto Sans CJK SC"/>
        <family val="2"/>
      </rPr>
      <t xml:space="preserve">㎟</t>
    </r>
  </si>
  <si>
    <r>
      <rPr>
        <sz val="10"/>
        <rFont val="Arial"/>
        <family val="0"/>
        <charset val="1"/>
      </rPr>
      <t xml:space="preserve">60</t>
    </r>
    <r>
      <rPr>
        <sz val="10"/>
        <rFont val="Noto Sans CJK SC"/>
        <family val="2"/>
      </rPr>
      <t xml:space="preserve">㎟，綠色</t>
    </r>
    <r>
      <rPr>
        <sz val="10"/>
        <rFont val="Arial"/>
        <family val="0"/>
        <charset val="1"/>
      </rPr>
      <t xml:space="preserve">PVC</t>
    </r>
    <r>
      <rPr>
        <sz val="10"/>
        <rFont val="Noto Sans CJK SC"/>
        <family val="2"/>
      </rPr>
      <t xml:space="preserve">導線</t>
    </r>
  </si>
  <si>
    <t xml:space="preserve">依據審查圖引進管管徑、數量、位置埋設。引進管內須穿</t>
  </si>
  <si>
    <r>
      <rPr>
        <sz val="10"/>
        <rFont val="Arial"/>
        <family val="0"/>
        <charset val="1"/>
      </rPr>
      <t xml:space="preserve">5</t>
    </r>
    <r>
      <rPr>
        <sz val="10"/>
        <rFont val="Noto Sans CJK SC"/>
        <family val="2"/>
      </rPr>
      <t xml:space="preserve">毫米尼龍引導線，並於出口適當處標示其通達之位置</t>
    </r>
  </si>
  <si>
    <t xml:space="preserve">電信室面積須依照引進電纜總對數或通信容量決定面積，室內淨高至少</t>
  </si>
  <si>
    <t xml:space="preserve">1.8</t>
  </si>
  <si>
    <t xml:space="preserve">2.1</t>
  </si>
  <si>
    <t xml:space="preserve">2.0</t>
  </si>
  <si>
    <r>
      <rPr>
        <sz val="10"/>
        <rFont val="Arial"/>
        <family val="0"/>
        <charset val="1"/>
      </rPr>
      <t xml:space="preserve">1.9</t>
    </r>
    <r>
      <rPr>
        <sz val="10"/>
        <rFont val="Noto Sans CJK SC"/>
        <family val="2"/>
      </rPr>
      <t xml:space="preserve">公尺</t>
    </r>
  </si>
  <si>
    <t xml:space="preserve">建築物用戶側光纜總心數超過多少心者應設置電信室？</t>
  </si>
  <si>
    <r>
      <rPr>
        <sz val="10"/>
        <rFont val="Arial"/>
        <family val="0"/>
        <charset val="1"/>
      </rPr>
      <t xml:space="preserve">20</t>
    </r>
    <r>
      <rPr>
        <sz val="10"/>
        <rFont val="Noto Sans CJK SC"/>
        <family val="2"/>
      </rPr>
      <t xml:space="preserve">心</t>
    </r>
  </si>
  <si>
    <r>
      <rPr>
        <sz val="10"/>
        <rFont val="Arial"/>
        <family val="0"/>
        <charset val="1"/>
      </rPr>
      <t xml:space="preserve">32</t>
    </r>
    <r>
      <rPr>
        <sz val="10"/>
        <rFont val="Noto Sans CJK SC"/>
        <family val="2"/>
      </rPr>
      <t xml:space="preserve">心</t>
    </r>
  </si>
  <si>
    <r>
      <rPr>
        <sz val="10"/>
        <rFont val="Arial"/>
        <family val="0"/>
        <charset val="1"/>
      </rPr>
      <t xml:space="preserve">48</t>
    </r>
    <r>
      <rPr>
        <sz val="10"/>
        <rFont val="Noto Sans CJK SC"/>
        <family val="2"/>
      </rPr>
      <t xml:space="preserve">心</t>
    </r>
  </si>
  <si>
    <t xml:space="preserve">電信室之設置，下列何項敘述不正確？</t>
  </si>
  <si>
    <t xml:space="preserve">不得設於衛浴室之下方或與污水槽等共用一道牆</t>
  </si>
  <si>
    <t xml:space="preserve">高壓電力、水管不得穿越電信室</t>
  </si>
  <si>
    <t xml:space="preserve">污水管得穿越</t>
  </si>
  <si>
    <t xml:space="preserve">瓦斯管及排煙管不得穿越</t>
  </si>
  <si>
    <t xml:space="preserve">下列那種管線可以穿越電信室？</t>
  </si>
  <si>
    <t xml:space="preserve">瓦斯管</t>
  </si>
  <si>
    <t xml:space="preserve">低壓電力管</t>
  </si>
  <si>
    <t xml:space="preserve">排煙管</t>
  </si>
  <si>
    <t xml:space="preserve">電信室設置條件，下列何者不正確？</t>
  </si>
  <si>
    <t xml:space="preserve">維修人員進出方便</t>
  </si>
  <si>
    <t xml:space="preserve">不淹水</t>
  </si>
  <si>
    <t xml:space="preserve">排水良好</t>
  </si>
  <si>
    <t xml:space="preserve">可以不考慮通風問題</t>
  </si>
  <si>
    <t xml:space="preserve">電信室應密閉，下列何者不正確？</t>
  </si>
  <si>
    <t xml:space="preserve">應具防火</t>
  </si>
  <si>
    <t xml:space="preserve">應具防水</t>
  </si>
  <si>
    <t xml:space="preserve">排水功能佳</t>
  </si>
  <si>
    <t xml:space="preserve">須使用灑水器做為消防用途</t>
  </si>
  <si>
    <t xml:space="preserve">電信室應隔間並具可加門鎖之出入，面積在多少平方公尺以上？</t>
  </si>
  <si>
    <t xml:space="preserve">14</t>
  </si>
  <si>
    <t xml:space="preserve">28</t>
  </si>
  <si>
    <r>
      <rPr>
        <sz val="10"/>
        <rFont val="Arial"/>
        <family val="0"/>
        <charset val="1"/>
      </rPr>
      <t xml:space="preserve">100</t>
    </r>
    <r>
      <rPr>
        <sz val="10"/>
        <rFont val="Noto Sans CJK SC"/>
        <family val="2"/>
      </rPr>
      <t xml:space="preserve">，隔間將砌磚牆，並預留人員進出門</t>
    </r>
  </si>
  <si>
    <t xml:space="preserve">架空引進管之設置應由引進物一、二樓間之樓板延伸至建築物外</t>
  </si>
  <si>
    <r>
      <rPr>
        <sz val="10"/>
        <rFont val="Arial"/>
        <family val="0"/>
        <charset val="1"/>
      </rPr>
      <t xml:space="preserve">10</t>
    </r>
    <r>
      <rPr>
        <sz val="10"/>
        <rFont val="Noto Sans CJK SC"/>
        <family val="2"/>
      </rPr>
      <t xml:space="preserve">公分</t>
    </r>
  </si>
  <si>
    <r>
      <rPr>
        <sz val="10"/>
        <rFont val="Arial"/>
        <family val="0"/>
        <charset val="1"/>
      </rPr>
      <t xml:space="preserve">20</t>
    </r>
    <r>
      <rPr>
        <sz val="10"/>
        <rFont val="Noto Sans CJK SC"/>
        <family val="2"/>
      </rPr>
      <t xml:space="preserve">公分</t>
    </r>
  </si>
  <si>
    <r>
      <rPr>
        <sz val="10"/>
        <rFont val="Arial"/>
        <family val="0"/>
        <charset val="1"/>
      </rPr>
      <t xml:space="preserve">30</t>
    </r>
    <r>
      <rPr>
        <sz val="10"/>
        <rFont val="Noto Sans CJK SC"/>
        <family val="2"/>
      </rPr>
      <t xml:space="preserve">公分</t>
    </r>
  </si>
  <si>
    <r>
      <rPr>
        <sz val="10"/>
        <rFont val="Arial"/>
        <family val="0"/>
        <charset val="1"/>
      </rPr>
      <t xml:space="preserve">40</t>
    </r>
    <r>
      <rPr>
        <sz val="10"/>
        <rFont val="Noto Sans CJK SC"/>
        <family val="2"/>
      </rPr>
      <t xml:space="preserve">公分</t>
    </r>
  </si>
  <si>
    <t xml:space="preserve">架空引進管之設置應由引進物一、二樓間之樓板延伸至建築物外10公分。其管口應微朝下，管口上方距地面</t>
  </si>
  <si>
    <r>
      <rPr>
        <sz val="10"/>
        <rFont val="Arial"/>
        <family val="0"/>
        <charset val="1"/>
      </rPr>
      <t xml:space="preserve">4.5</t>
    </r>
    <r>
      <rPr>
        <sz val="10"/>
        <rFont val="Noto Sans CJK SC"/>
        <family val="2"/>
      </rPr>
      <t xml:space="preserve">公尺</t>
    </r>
  </si>
  <si>
    <r>
      <rPr>
        <sz val="10"/>
        <rFont val="Arial"/>
        <family val="0"/>
        <charset val="1"/>
      </rPr>
      <t xml:space="preserve">5.5</t>
    </r>
    <r>
      <rPr>
        <sz val="10"/>
        <rFont val="Noto Sans CJK SC"/>
        <family val="2"/>
      </rPr>
      <t xml:space="preserve">公尺</t>
    </r>
  </si>
  <si>
    <r>
      <rPr>
        <sz val="10"/>
        <rFont val="Arial"/>
        <family val="0"/>
        <charset val="1"/>
      </rPr>
      <t xml:space="preserve">6.5</t>
    </r>
    <r>
      <rPr>
        <sz val="10"/>
        <rFont val="Noto Sans CJK SC"/>
        <family val="2"/>
      </rPr>
      <t xml:space="preserve">公尺</t>
    </r>
  </si>
  <si>
    <t xml:space="preserve">架空引進管之設置，應預埋直徑</t>
  </si>
  <si>
    <t xml:space="preserve">1/4</t>
  </si>
  <si>
    <t xml:space="preserve">1/3</t>
  </si>
  <si>
    <t xml:space="preserve">1/2</t>
  </si>
  <si>
    <r>
      <rPr>
        <sz val="10"/>
        <rFont val="Arial"/>
        <family val="0"/>
        <charset val="1"/>
      </rPr>
      <t xml:space="preserve">5/8</t>
    </r>
    <r>
      <rPr>
        <sz val="10"/>
        <rFont val="Noto Sans CJK SC"/>
        <family val="2"/>
      </rPr>
      <t xml:space="preserve">，吋以上</t>
    </r>
    <r>
      <rPr>
        <sz val="10"/>
        <rFont val="Arial"/>
        <family val="0"/>
        <charset val="1"/>
      </rPr>
      <t xml:space="preserve">L</t>
    </r>
    <r>
      <rPr>
        <sz val="10"/>
        <rFont val="Noto Sans CJK SC"/>
        <family val="2"/>
      </rPr>
      <t xml:space="preserve">型鍍鋅螺絲一支</t>
    </r>
  </si>
  <si>
    <t xml:space="preserve">架空引進管預埋直徑5/8吋以上L型鍍鋅螺絲一支，螺牙需突出牆面</t>
  </si>
  <si>
    <r>
      <rPr>
        <sz val="10"/>
        <rFont val="Arial"/>
        <family val="0"/>
        <charset val="1"/>
      </rPr>
      <t xml:space="preserve">8</t>
    </r>
    <r>
      <rPr>
        <sz val="10"/>
        <rFont val="Noto Sans CJK SC"/>
        <family val="2"/>
      </rPr>
      <t xml:space="preserve">公分，以固定引進電纜用</t>
    </r>
  </si>
  <si>
    <t xml:space="preserve">下列哪一條件免設電信室</t>
  </si>
  <si>
    <t xml:space="preserve">引進電纜總對數在20對以下</t>
  </si>
  <si>
    <t xml:space="preserve">引進電纜總對數為20對以上</t>
  </si>
  <si>
    <t xml:space="preserve">用戶側光纜總心數超過48心</t>
  </si>
  <si>
    <t xml:space="preserve">地上層五樓以上且有設地下室</t>
  </si>
  <si>
    <t xml:space="preserve">電信室面積未滿___㎡者</t>
  </si>
  <si>
    <t xml:space="preserve">18</t>
  </si>
  <si>
    <r>
      <rPr>
        <sz val="10"/>
        <rFont val="Arial"/>
        <family val="0"/>
        <charset val="1"/>
      </rPr>
      <t xml:space="preserve">14</t>
    </r>
    <r>
      <rPr>
        <sz val="10"/>
        <rFont val="Noto Sans CJK SC"/>
        <family val="2"/>
      </rPr>
      <t xml:space="preserve">，應預留人員出入口，隔間及出入門採防火之材質</t>
    </r>
  </si>
  <si>
    <t xml:space="preserve">電信接地銅極間之導線，下列敘述何者正確？</t>
  </si>
  <si>
    <r>
      <rPr>
        <sz val="10"/>
        <rFont val="Arial"/>
        <family val="0"/>
        <charset val="1"/>
      </rPr>
      <t xml:space="preserve">60</t>
    </r>
    <r>
      <rPr>
        <sz val="10"/>
        <rFont val="Noto Sans CJK SC"/>
        <family val="2"/>
      </rPr>
      <t xml:space="preserve">㎟裸銅絞線或</t>
    </r>
    <r>
      <rPr>
        <sz val="10"/>
        <rFont val="Arial"/>
        <family val="0"/>
        <charset val="1"/>
      </rPr>
      <t xml:space="preserve">60</t>
    </r>
    <r>
      <rPr>
        <sz val="10"/>
        <rFont val="Noto Sans CJK SC"/>
        <family val="2"/>
      </rPr>
      <t xml:space="preserve">㎟</t>
    </r>
    <r>
      <rPr>
        <sz val="10"/>
        <rFont val="Arial"/>
        <family val="0"/>
        <charset val="1"/>
      </rPr>
      <t xml:space="preserve">600V-PVC</t>
    </r>
    <r>
      <rPr>
        <sz val="10"/>
        <rFont val="Noto Sans CJK SC"/>
        <family val="2"/>
      </rPr>
      <t xml:space="preserve">綠色電線</t>
    </r>
  </si>
  <si>
    <r>
      <rPr>
        <sz val="10"/>
        <rFont val="Arial"/>
        <family val="0"/>
        <charset val="1"/>
      </rPr>
      <t xml:space="preserve">50</t>
    </r>
    <r>
      <rPr>
        <sz val="10"/>
        <rFont val="Noto Sans CJK SC"/>
        <family val="2"/>
      </rPr>
      <t xml:space="preserve">㎟裸銅絞線</t>
    </r>
  </si>
  <si>
    <r>
      <rPr>
        <sz val="10"/>
        <rFont val="Arial"/>
        <family val="0"/>
        <charset val="1"/>
      </rPr>
      <t xml:space="preserve">60</t>
    </r>
    <r>
      <rPr>
        <sz val="10"/>
        <rFont val="Noto Sans CJK SC"/>
        <family val="2"/>
      </rPr>
      <t xml:space="preserve">㎟</t>
    </r>
    <r>
      <rPr>
        <sz val="10"/>
        <rFont val="Arial"/>
        <family val="0"/>
        <charset val="1"/>
      </rPr>
      <t xml:space="preserve">600V-PVC</t>
    </r>
    <r>
      <rPr>
        <sz val="10"/>
        <rFont val="Noto Sans CJK SC"/>
        <family val="2"/>
      </rPr>
      <t xml:space="preserve">黑色電線</t>
    </r>
  </si>
  <si>
    <r>
      <rPr>
        <sz val="10"/>
        <rFont val="Arial"/>
        <family val="0"/>
        <charset val="1"/>
      </rPr>
      <t xml:space="preserve">60</t>
    </r>
    <r>
      <rPr>
        <sz val="10"/>
        <rFont val="Noto Sans CJK SC"/>
        <family val="2"/>
      </rPr>
      <t xml:space="preserve">㎟</t>
    </r>
    <r>
      <rPr>
        <sz val="10"/>
        <rFont val="Arial"/>
        <family val="0"/>
        <charset val="1"/>
      </rPr>
      <t xml:space="preserve">600V-PVC</t>
    </r>
    <r>
      <rPr>
        <sz val="10"/>
        <rFont val="Noto Sans CJK SC"/>
        <family val="2"/>
      </rPr>
      <t xml:space="preserve">白色電線</t>
    </r>
  </si>
  <si>
    <t xml:space="preserve">電信室外應有</t>
  </si>
  <si>
    <t xml:space="preserve">1.6</t>
  </si>
  <si>
    <r>
      <rPr>
        <sz val="10"/>
        <rFont val="Arial"/>
        <family val="0"/>
        <charset val="1"/>
      </rPr>
      <t xml:space="preserve">2</t>
    </r>
    <r>
      <rPr>
        <sz val="10"/>
        <rFont val="Noto Sans CJK SC"/>
        <family val="2"/>
      </rPr>
      <t xml:space="preserve">，公尺以上寬度之通道，可自由進出通往樓梯或其他通道</t>
    </r>
  </si>
  <si>
    <t xml:space="preserve">電信室應設之機電設施，下列何者不正確？</t>
  </si>
  <si>
    <t xml:space="preserve">設置一般電力</t>
  </si>
  <si>
    <t xml:space="preserve">設置緊急電力</t>
  </si>
  <si>
    <t xml:space="preserve">設置適當之照明</t>
  </si>
  <si>
    <t xml:space="preserve">不另設置空調設備空間</t>
  </si>
  <si>
    <t xml:space="preserve">設置電信室之建築物電信保安接地設備之接地電阻值應為</t>
  </si>
  <si>
    <r>
      <rPr>
        <sz val="10"/>
        <rFont val="Arial"/>
        <family val="0"/>
        <charset val="1"/>
      </rPr>
      <t xml:space="preserve">20Ω</t>
    </r>
    <r>
      <rPr>
        <sz val="10"/>
        <rFont val="Noto Sans CJK SC"/>
        <family val="2"/>
      </rPr>
      <t xml:space="preserve">以下</t>
    </r>
  </si>
  <si>
    <t xml:space="preserve">電信保安接地設備之接地電阻，一般建築物為:</t>
  </si>
  <si>
    <t xml:space="preserve">10Ω</t>
  </si>
  <si>
    <t xml:space="preserve">25Ω</t>
  </si>
  <si>
    <t xml:space="preserve">50Ω</t>
  </si>
  <si>
    <t xml:space="preserve">電信保安接地設備指用於保護電信機線設備之接地裝置及各種安全設施，下列何項敘述不正確？</t>
  </si>
  <si>
    <t xml:space="preserve">含接地棒</t>
  </si>
  <si>
    <t xml:space="preserve">含接地導線</t>
  </si>
  <si>
    <t xml:space="preserve">含樓層配線架</t>
  </si>
  <si>
    <t xml:space="preserve">含接地端子板</t>
  </si>
  <si>
    <t xml:space="preserve">電信系統之總配線箱與各主配線箱間接地線一律使用多少以上之導線，並穿入20毫米(3/4")以上硬質PVC導線管內？</t>
  </si>
  <si>
    <r>
      <rPr>
        <sz val="10"/>
        <rFont val="Arial"/>
        <family val="0"/>
        <charset val="1"/>
      </rPr>
      <t xml:space="preserve">10</t>
    </r>
    <r>
      <rPr>
        <sz val="10"/>
        <rFont val="Noto Sans CJK SC"/>
        <family val="2"/>
      </rPr>
      <t xml:space="preserve">㎟</t>
    </r>
  </si>
  <si>
    <r>
      <rPr>
        <sz val="10"/>
        <rFont val="Arial"/>
        <family val="0"/>
        <charset val="1"/>
      </rPr>
      <t xml:space="preserve">22</t>
    </r>
    <r>
      <rPr>
        <sz val="10"/>
        <rFont val="Noto Sans CJK SC"/>
        <family val="2"/>
      </rPr>
      <t xml:space="preserve">㎟</t>
    </r>
  </si>
  <si>
    <t xml:space="preserve">電信保安接地設備</t>
  </si>
  <si>
    <t xml:space="preserve">應單獨設置</t>
  </si>
  <si>
    <t xml:space="preserve">可以與電力系統交接共用</t>
  </si>
  <si>
    <t xml:space="preserve">可以與避雷針系統共用</t>
  </si>
  <si>
    <t xml:space="preserve">可以與設備接地系統共用</t>
  </si>
  <si>
    <t xml:space="preserve">接地系統設備應包含</t>
  </si>
  <si>
    <t xml:space="preserve">接地棒、管、板</t>
  </si>
  <si>
    <t xml:space="preserve">接地導線</t>
  </si>
  <si>
    <t xml:space="preserve">接地端子板及總接地箱</t>
  </si>
  <si>
    <t xml:space="preserve">總配線箱(架)或集中總箱與各垂直系統主配線箱(架)、支配線箱(架)間，一般建築物導線種類為</t>
  </si>
  <si>
    <r>
      <rPr>
        <sz val="10"/>
        <rFont val="Arial"/>
        <family val="0"/>
        <charset val="1"/>
      </rPr>
      <t xml:space="preserve">16</t>
    </r>
    <r>
      <rPr>
        <sz val="10"/>
        <rFont val="Noto Sans CJK SC"/>
        <family val="2"/>
      </rPr>
      <t xml:space="preserve">㎟</t>
    </r>
  </si>
  <si>
    <r>
      <rPr>
        <sz val="10"/>
        <rFont val="Arial"/>
        <family val="0"/>
        <charset val="1"/>
      </rPr>
      <t xml:space="preserve">18</t>
    </r>
    <r>
      <rPr>
        <sz val="10"/>
        <rFont val="Noto Sans CJK SC"/>
        <family val="2"/>
      </rPr>
      <t xml:space="preserve">㎟</t>
    </r>
  </si>
  <si>
    <r>
      <rPr>
        <sz val="10"/>
        <rFont val="Arial"/>
        <family val="0"/>
        <charset val="1"/>
      </rPr>
      <t xml:space="preserve">20</t>
    </r>
    <r>
      <rPr>
        <sz val="10"/>
        <rFont val="Noto Sans CJK SC"/>
        <family val="2"/>
      </rPr>
      <t xml:space="preserve">㎟，</t>
    </r>
    <r>
      <rPr>
        <sz val="10"/>
        <rFont val="Arial"/>
        <family val="0"/>
        <charset val="1"/>
      </rPr>
      <t xml:space="preserve">600V-PVC</t>
    </r>
    <r>
      <rPr>
        <sz val="10"/>
        <rFont val="Noto Sans CJK SC"/>
        <family val="2"/>
      </rPr>
      <t xml:space="preserve">綠色電線</t>
    </r>
  </si>
  <si>
    <t xml:space="preserve">裝設總接地箱時，箱體下緣距離樓板地面不得小於</t>
  </si>
  <si>
    <t xml:space="preserve">總接地箱裝置處所寬x高應至少有幾公分？</t>
  </si>
  <si>
    <t xml:space="preserve">30x150</t>
  </si>
  <si>
    <t xml:space="preserve">40x160</t>
  </si>
  <si>
    <t xml:space="preserve">50x180</t>
  </si>
  <si>
    <r>
      <rPr>
        <sz val="10"/>
        <rFont val="Arial"/>
        <family val="0"/>
        <charset val="1"/>
      </rPr>
      <t xml:space="preserve">60x200</t>
    </r>
    <r>
      <rPr>
        <sz val="10"/>
        <rFont val="Noto Sans CJK SC"/>
        <family val="2"/>
      </rPr>
      <t xml:space="preserve">，深</t>
    </r>
    <r>
      <rPr>
        <sz val="10"/>
        <rFont val="Arial"/>
        <family val="0"/>
        <charset val="1"/>
      </rPr>
      <t xml:space="preserve">90</t>
    </r>
    <r>
      <rPr>
        <sz val="10"/>
        <rFont val="Noto Sans CJK SC"/>
        <family val="2"/>
      </rPr>
      <t xml:space="preserve">公分之工作空間</t>
    </r>
  </si>
  <si>
    <t xml:space="preserve">電信系統等電位共同接地系統之接地端子板得直接接至箱體，但接地端子板設有電木支座者，須至少以</t>
  </si>
  <si>
    <t xml:space="preserve">1.0mm</t>
  </si>
  <si>
    <t xml:space="preserve">1.2mm</t>
  </si>
  <si>
    <t xml:space="preserve">1.6mm</t>
  </si>
  <si>
    <r>
      <rPr>
        <sz val="10"/>
        <rFont val="Arial"/>
        <family val="0"/>
        <charset val="1"/>
      </rPr>
      <t xml:space="preserve">2.0mm∮(</t>
    </r>
    <r>
      <rPr>
        <sz val="10"/>
        <rFont val="Noto Sans CJK SC"/>
        <family val="2"/>
      </rPr>
      <t xml:space="preserve">直徑</t>
    </r>
    <r>
      <rPr>
        <sz val="10"/>
        <rFont val="Arial"/>
        <family val="0"/>
        <charset val="1"/>
      </rPr>
      <t xml:space="preserve">)</t>
    </r>
    <r>
      <rPr>
        <sz val="10"/>
        <rFont val="Noto Sans CJK SC"/>
        <family val="2"/>
      </rPr>
      <t xml:space="preserve">鋼製導線接至箱體</t>
    </r>
  </si>
  <si>
    <t xml:space="preserve">總接地箱名牌為以白色壓克力底刻</t>
  </si>
  <si>
    <t xml:space="preserve">藍色</t>
  </si>
  <si>
    <t xml:space="preserve">綠色字樣裝於蓋面內側</t>
  </si>
  <si>
    <t xml:space="preserve">電信明線式插座裝設高度應離地面</t>
  </si>
  <si>
    <r>
      <rPr>
        <sz val="10"/>
        <rFont val="Arial"/>
        <family val="0"/>
        <charset val="1"/>
      </rPr>
      <t xml:space="preserve">30</t>
    </r>
    <r>
      <rPr>
        <sz val="10"/>
        <rFont val="Noto Sans CJK SC"/>
        <family val="2"/>
      </rPr>
      <t xml:space="preserve">公分以上</t>
    </r>
  </si>
  <si>
    <t xml:space="preserve">電信系統之總配線箱至少應採用___毫米(mm)以上厚度經防銹面漆處理之鐵板或不銹鋼板製造</t>
  </si>
  <si>
    <t xml:space="preserve">總配線箱不得設置於陽台、浴廁、廚房、庫房及地下___層以下之樓層？</t>
  </si>
  <si>
    <t xml:space="preserve">地下一層</t>
  </si>
  <si>
    <t xml:space="preserve">地下二層</t>
  </si>
  <si>
    <t xml:space="preserve">地下三層</t>
  </si>
  <si>
    <t xml:space="preserve">地下四層等，以避免淋水、潮濕、高溫及受其它堆積物品之影響</t>
  </si>
  <si>
    <r>
      <rPr>
        <sz val="10"/>
        <rFont val="Arial"/>
        <family val="0"/>
        <charset val="1"/>
      </rPr>
      <t xml:space="preserve">A-06</t>
    </r>
    <r>
      <rPr>
        <sz val="10"/>
        <rFont val="Noto Sans CJK SC"/>
        <family val="2"/>
      </rPr>
      <t xml:space="preserve">尺寸以上之總配線箱應採用</t>
    </r>
  </si>
  <si>
    <t xml:space="preserve">2.0mm</t>
  </si>
  <si>
    <t xml:space="preserve">電信系統之總配線箱裝設於室內其箱體頂端不得高於地面應低於180cm，下緣不得低於多少公分？</t>
  </si>
  <si>
    <t xml:space="preserve">電信線路應予其他管線保持安全距離：低電壓應大於</t>
  </si>
  <si>
    <t xml:space="preserve">宅內配線箱，其裝置高度下緣應離地面不得小於</t>
  </si>
  <si>
    <t xml:space="preserve">建築物電信配管，其材質可採用</t>
  </si>
  <si>
    <t xml:space="preserve">導電線用PVC管</t>
  </si>
  <si>
    <t xml:space="preserve">電線用鋼管EMT</t>
  </si>
  <si>
    <t xml:space="preserve">合成樹脂可撓電線導管CD管</t>
  </si>
  <si>
    <t xml:space="preserve">三層以上之透天式獨戶建築，應於___樓以上增設一只主配線箱？</t>
  </si>
  <si>
    <t xml:space="preserve">二樓</t>
  </si>
  <si>
    <t xml:space="preserve">三樓</t>
  </si>
  <si>
    <t xml:space="preserve">四樓</t>
  </si>
  <si>
    <t xml:space="preserve">屋頂層</t>
  </si>
  <si>
    <t xml:space="preserve">三層以上之透天式獨戶建築，應於三樓以上增設___只主配線箱？</t>
  </si>
  <si>
    <r>
      <rPr>
        <sz val="10"/>
        <rFont val="Arial"/>
        <family val="0"/>
        <charset val="1"/>
      </rPr>
      <t xml:space="preserve">1</t>
    </r>
    <r>
      <rPr>
        <sz val="10"/>
        <rFont val="Noto Sans CJK SC"/>
        <family val="2"/>
      </rPr>
      <t xml:space="preserve">只</t>
    </r>
  </si>
  <si>
    <r>
      <rPr>
        <sz val="10"/>
        <rFont val="Arial"/>
        <family val="0"/>
        <charset val="1"/>
      </rPr>
      <t xml:space="preserve">2</t>
    </r>
    <r>
      <rPr>
        <sz val="10"/>
        <rFont val="Noto Sans CJK SC"/>
        <family val="2"/>
      </rPr>
      <t xml:space="preserve">只</t>
    </r>
  </si>
  <si>
    <r>
      <rPr>
        <sz val="10"/>
        <rFont val="Arial"/>
        <family val="0"/>
        <charset val="1"/>
      </rPr>
      <t xml:space="preserve">3</t>
    </r>
    <r>
      <rPr>
        <sz val="10"/>
        <rFont val="Noto Sans CJK SC"/>
        <family val="2"/>
      </rPr>
      <t xml:space="preserve">只</t>
    </r>
  </si>
  <si>
    <r>
      <rPr>
        <sz val="10"/>
        <rFont val="Arial"/>
        <family val="0"/>
        <charset val="1"/>
      </rPr>
      <t xml:space="preserve">4</t>
    </r>
    <r>
      <rPr>
        <sz val="10"/>
        <rFont val="Noto Sans CJK SC"/>
        <family val="2"/>
      </rPr>
      <t xml:space="preserve">只</t>
    </r>
  </si>
  <si>
    <t xml:space="preserve">宅內配線箱之材質、構造，應參照</t>
  </si>
  <si>
    <t xml:space="preserve">拖線箱之設計</t>
  </si>
  <si>
    <t xml:space="preserve">建築物為配合寬頻建設及整合網路需求，得設置</t>
  </si>
  <si>
    <t xml:space="preserve">拖線箱，作為每戶之主要轉接介面，且可以做多元化之應用</t>
  </si>
  <si>
    <t xml:space="preserve">電信系統之主配線箱，裝置於室外應有防水處理設備，箱體下緣應高於地面</t>
  </si>
  <si>
    <t xml:space="preserve">80</t>
  </si>
  <si>
    <t xml:space="preserve">120</t>
  </si>
  <si>
    <r>
      <rPr>
        <sz val="10"/>
        <rFont val="Arial"/>
        <family val="0"/>
        <charset val="1"/>
      </rPr>
      <t xml:space="preserve">150</t>
    </r>
    <r>
      <rPr>
        <sz val="10"/>
        <rFont val="Noto Sans CJK SC"/>
        <family val="2"/>
      </rPr>
      <t xml:space="preserve">公分</t>
    </r>
  </si>
  <si>
    <t xml:space="preserve">電信系統之主配線箱，箱體下緣不得低於距地面</t>
  </si>
  <si>
    <t xml:space="preserve">電信配管宅內配管，下列哪一種管路較不適合配設明管？</t>
  </si>
  <si>
    <r>
      <rPr>
        <sz val="10"/>
        <rFont val="Arial"/>
        <family val="0"/>
        <charset val="1"/>
      </rPr>
      <t xml:space="preserve">EMT(</t>
    </r>
    <r>
      <rPr>
        <sz val="10"/>
        <rFont val="Noto Sans CJK SC"/>
        <family val="2"/>
      </rPr>
      <t xml:space="preserve">金屬薄管</t>
    </r>
    <r>
      <rPr>
        <sz val="10"/>
        <rFont val="Arial"/>
        <family val="0"/>
        <charset val="1"/>
      </rPr>
      <t xml:space="preserve">)</t>
    </r>
  </si>
  <si>
    <t xml:space="preserve">CD(combined duct)</t>
  </si>
  <si>
    <t xml:space="preserve">PF(Plastic flexible)</t>
  </si>
  <si>
    <t xml:space="preserve">光纜配線施作注意事項，下列何項敘述不正確？</t>
  </si>
  <si>
    <t xml:space="preserve">屋內光纜的彎曲半徑須遵守製造商之規定，無建議值時，則佈放施作時不可小於光纜外徑的十五倍</t>
  </si>
  <si>
    <t xml:space="preserve">使用時或在無拉力狀態時，則需保持在光纜外徑的十倍</t>
  </si>
  <si>
    <t xml:space="preserve">佈放光纜應預留兩端餘長約0.8公尺作為未來接續使用</t>
  </si>
  <si>
    <t xml:space="preserve">應於兩端加裝編號標誌，以利日後施作及維護辨識</t>
  </si>
  <si>
    <t xml:space="preserve">屋內光纜的彎曲半徑須遵守製造商之規定，無建議值時，則佈放施作時不可小於光纜外徑的幾倍？</t>
  </si>
  <si>
    <r>
      <rPr>
        <sz val="10"/>
        <rFont val="Arial"/>
        <family val="0"/>
        <charset val="1"/>
      </rPr>
      <t xml:space="preserve">15</t>
    </r>
    <r>
      <rPr>
        <sz val="10"/>
        <rFont val="Noto Sans CJK SC"/>
        <family val="2"/>
      </rPr>
      <t xml:space="preserve">倍</t>
    </r>
  </si>
  <si>
    <r>
      <rPr>
        <sz val="10"/>
        <rFont val="Arial"/>
        <family val="0"/>
        <charset val="1"/>
      </rPr>
      <t xml:space="preserve">20</t>
    </r>
    <r>
      <rPr>
        <sz val="10"/>
        <rFont val="Noto Sans CJK SC"/>
        <family val="2"/>
      </rPr>
      <t xml:space="preserve">倍</t>
    </r>
  </si>
  <si>
    <t xml:space="preserve">室內水平電信配管應採用標準管徑</t>
  </si>
  <si>
    <t xml:space="preserve">13</t>
  </si>
  <si>
    <t xml:space="preserve">16</t>
  </si>
  <si>
    <r>
      <rPr>
        <sz val="10"/>
        <rFont val="Arial"/>
        <family val="0"/>
        <charset val="1"/>
      </rPr>
      <t xml:space="preserve">24 </t>
    </r>
    <r>
      <rPr>
        <sz val="10"/>
        <rFont val="Noto Sans CJK SC"/>
        <family val="2"/>
      </rPr>
      <t xml:space="preserve">毫米</t>
    </r>
    <r>
      <rPr>
        <sz val="10"/>
        <rFont val="Arial"/>
        <family val="0"/>
        <charset val="1"/>
      </rPr>
      <t xml:space="preserve">(mm)</t>
    </r>
    <r>
      <rPr>
        <sz val="10"/>
        <rFont val="Noto Sans CJK SC"/>
        <family val="2"/>
      </rPr>
      <t xml:space="preserve">以上之配管</t>
    </r>
  </si>
  <si>
    <t xml:space="preserve">屋內光纜佈纜在無拉力狀態時，則需保持在光纜外徑的</t>
  </si>
  <si>
    <t xml:space="preserve">佈放光纜應預留兩端餘長約</t>
  </si>
  <si>
    <r>
      <rPr>
        <sz val="10"/>
        <rFont val="Arial"/>
        <family val="0"/>
        <charset val="1"/>
      </rPr>
      <t xml:space="preserve">2~3</t>
    </r>
    <r>
      <rPr>
        <sz val="10"/>
        <rFont val="Noto Sans CJK SC"/>
        <family val="2"/>
      </rPr>
      <t xml:space="preserve">公尺</t>
    </r>
  </si>
  <si>
    <r>
      <rPr>
        <sz val="10"/>
        <rFont val="Arial"/>
        <family val="0"/>
        <charset val="1"/>
      </rPr>
      <t xml:space="preserve">3~4</t>
    </r>
    <r>
      <rPr>
        <sz val="10"/>
        <rFont val="Noto Sans CJK SC"/>
        <family val="2"/>
      </rPr>
      <t xml:space="preserve">公尺</t>
    </r>
  </si>
  <si>
    <r>
      <rPr>
        <sz val="10"/>
        <rFont val="Arial"/>
        <family val="0"/>
        <charset val="1"/>
      </rPr>
      <t xml:space="preserve">4~5</t>
    </r>
    <r>
      <rPr>
        <sz val="10"/>
        <rFont val="Noto Sans CJK SC"/>
        <family val="2"/>
      </rPr>
      <t xml:space="preserve">公尺，作為未來接續使用</t>
    </r>
  </si>
  <si>
    <t xml:space="preserve">電信系統屋內複合型端子板，電話插座組、資訊插座組、光纜配線箱等，其規格應符合</t>
  </si>
  <si>
    <t xml:space="preserve">台灣電力公司</t>
  </si>
  <si>
    <t xml:space="preserve">中華電信公司</t>
  </si>
  <si>
    <t xml:space="preserve">國家通訊傳播委員會</t>
  </si>
  <si>
    <t xml:space="preserve">國土署，所訂相關技術規範</t>
  </si>
  <si>
    <t xml:space="preserve">建築物電信設備設置完成後，其承攬人應依建築物</t>
  </si>
  <si>
    <t xml:space="preserve">屋內外電信設置技術規則</t>
  </si>
  <si>
    <t xml:space="preserve">屋內外電氣裝置規範</t>
  </si>
  <si>
    <t xml:space="preserve">消防法規</t>
  </si>
  <si>
    <t xml:space="preserve">建築法規，所載事項自行檢查及測試</t>
  </si>
  <si>
    <t xml:space="preserve">新建築物為收容室內網路業務經營者之電信設備供該建物用戶通信服務之需要，地上層___樓以上</t>
  </si>
  <si>
    <r>
      <rPr>
        <sz val="10"/>
        <rFont val="Arial"/>
        <family val="0"/>
        <charset val="1"/>
      </rPr>
      <t xml:space="preserve">5</t>
    </r>
    <r>
      <rPr>
        <sz val="10"/>
        <rFont val="Noto Sans CJK SC"/>
        <family val="2"/>
      </rPr>
      <t xml:space="preserve">，且設有地下室之建築物，須設置電信室</t>
    </r>
  </si>
  <si>
    <t xml:space="preserve">電信主配線箱箱體裝設於室內頂端不得高於地面</t>
  </si>
  <si>
    <t xml:space="preserve">150</t>
  </si>
  <si>
    <t xml:space="preserve">180</t>
  </si>
  <si>
    <t xml:space="preserve">210</t>
  </si>
  <si>
    <r>
      <rPr>
        <sz val="10"/>
        <rFont val="Arial"/>
        <family val="0"/>
        <charset val="1"/>
      </rPr>
      <t xml:space="preserve">250</t>
    </r>
    <r>
      <rPr>
        <sz val="10"/>
        <rFont val="Noto Sans CJK SC"/>
        <family val="2"/>
      </rPr>
      <t xml:space="preserve">公分以上</t>
    </r>
  </si>
  <si>
    <t xml:space="preserve">電信保安接地設備不得與避雷針、電力系統、接地設備共用，其與避雷針接地系統應距離___</t>
  </si>
  <si>
    <r>
      <rPr>
        <sz val="10"/>
        <rFont val="Arial"/>
        <family val="0"/>
        <charset val="1"/>
      </rPr>
      <t xml:space="preserve">2</t>
    </r>
    <r>
      <rPr>
        <sz val="10"/>
        <rFont val="Noto Sans CJK SC"/>
        <family val="2"/>
      </rPr>
      <t xml:space="preserve">公尺以上</t>
    </r>
  </si>
  <si>
    <t xml:space="preserve">電信保安接地設備不得與避雷針、電力系統、接地設備共用，其與電力系統之接地應距離___</t>
  </si>
  <si>
    <r>
      <rPr>
        <sz val="10"/>
        <rFont val="Arial"/>
        <family val="0"/>
        <charset val="1"/>
      </rPr>
      <t xml:space="preserve">5</t>
    </r>
    <r>
      <rPr>
        <sz val="10"/>
        <rFont val="Noto Sans CJK SC"/>
        <family val="2"/>
      </rPr>
      <t xml:space="preserve">公尺以上</t>
    </r>
  </si>
  <si>
    <t xml:space="preserve">電信管路配設於樓板內，管路如有交叉裝配時應不得超過___管，以避免樓板保護層不足</t>
  </si>
  <si>
    <t xml:space="preserve">電信線路應與其他管線保持安全距離，與高壓電應大於</t>
  </si>
  <si>
    <r>
      <rPr>
        <sz val="10"/>
        <rFont val="Arial"/>
        <family val="0"/>
        <charset val="1"/>
      </rPr>
      <t xml:space="preserve">50</t>
    </r>
    <r>
      <rPr>
        <sz val="10"/>
        <rFont val="Noto Sans CJK SC"/>
        <family val="2"/>
      </rPr>
      <t xml:space="preserve">公分</t>
    </r>
  </si>
  <si>
    <t xml:space="preserve">電信線路應與其他管線保持安全距離，與瓦斯管應大於</t>
  </si>
  <si>
    <r>
      <rPr>
        <sz val="10"/>
        <rFont val="Arial"/>
        <family val="0"/>
        <charset val="1"/>
      </rPr>
      <t xml:space="preserve">10  </t>
    </r>
    <r>
      <rPr>
        <sz val="10"/>
        <rFont val="Noto Sans CJK SC"/>
        <family val="2"/>
      </rPr>
      <t xml:space="preserve">公分</t>
    </r>
  </si>
  <si>
    <t xml:space="preserve">電信室面積14㎡以上，其最窄平面長度不得小於</t>
  </si>
  <si>
    <t xml:space="preserve">1.5</t>
  </si>
  <si>
    <t xml:space="preserve">建築物電信室之室內照明要求為:</t>
  </si>
  <si>
    <t xml:space="preserve">300 Lux</t>
  </si>
  <si>
    <t xml:space="preserve">250 Lux</t>
  </si>
  <si>
    <t xml:space="preserve">200 Lux</t>
  </si>
  <si>
    <t xml:space="preserve">150 Lux</t>
  </si>
  <si>
    <t xml:space="preserve">透天式獨戶建築，接地端子板E.P.C三極及其接地設備，得裝設於</t>
  </si>
  <si>
    <t xml:space="preserve">宅內配線箱，內之下緣部份</t>
  </si>
  <si>
    <t xml:space="preserve">提供用戶有線廣播電視同軸電纜使用時，同軸電纜終端應採用</t>
  </si>
  <si>
    <t xml:space="preserve">2C</t>
  </si>
  <si>
    <t xml:space="preserve">3C</t>
  </si>
  <si>
    <t xml:space="preserve">4C</t>
  </si>
  <si>
    <r>
      <rPr>
        <sz val="10"/>
        <rFont val="Arial"/>
        <family val="0"/>
        <charset val="1"/>
      </rPr>
      <t xml:space="preserve">5C</t>
    </r>
    <r>
      <rPr>
        <sz val="10"/>
        <rFont val="Noto Sans CJK SC"/>
        <family val="2"/>
      </rPr>
      <t xml:space="preserve">接頭</t>
    </r>
  </si>
  <si>
    <t xml:space="preserve">電信系統引進電纜總對數6001以上者，其電信室面積為</t>
  </si>
  <si>
    <r>
      <rPr>
        <sz val="10"/>
        <rFont val="Arial"/>
        <family val="0"/>
        <charset val="1"/>
      </rPr>
      <t xml:space="preserve">20</t>
    </r>
    <r>
      <rPr>
        <sz val="10"/>
        <rFont val="Noto Sans CJK SC"/>
        <family val="2"/>
      </rPr>
      <t xml:space="preserve">㎡以上</t>
    </r>
  </si>
  <si>
    <r>
      <rPr>
        <sz val="10"/>
        <rFont val="Arial"/>
        <family val="0"/>
        <charset val="1"/>
      </rPr>
      <t xml:space="preserve">30</t>
    </r>
    <r>
      <rPr>
        <sz val="10"/>
        <rFont val="Noto Sans CJK SC"/>
        <family val="2"/>
      </rPr>
      <t xml:space="preserve">㎡以上</t>
    </r>
  </si>
  <si>
    <r>
      <rPr>
        <sz val="10"/>
        <rFont val="Arial"/>
        <family val="0"/>
        <charset val="1"/>
      </rPr>
      <t xml:space="preserve">43</t>
    </r>
    <r>
      <rPr>
        <sz val="10"/>
        <rFont val="Noto Sans CJK SC"/>
        <family val="2"/>
      </rPr>
      <t xml:space="preserve">㎡以上</t>
    </r>
  </si>
  <si>
    <t xml:space="preserve">由室內網路業務經營者與建物起造人共同協商決定</t>
  </si>
  <si>
    <r>
      <rPr>
        <sz val="10"/>
        <rFont val="Arial"/>
        <family val="0"/>
        <charset val="1"/>
      </rPr>
      <t xml:space="preserve">5C2V</t>
    </r>
    <r>
      <rPr>
        <sz val="10"/>
        <rFont val="Noto Sans CJK SC"/>
        <family val="2"/>
      </rPr>
      <t xml:space="preserve">同軸電纜</t>
    </r>
    <r>
      <rPr>
        <sz val="10"/>
        <rFont val="Arial"/>
        <family val="0"/>
        <charset val="1"/>
      </rPr>
      <t xml:space="preserve">C</t>
    </r>
    <r>
      <rPr>
        <sz val="10"/>
        <rFont val="Noto Sans CJK SC"/>
        <family val="2"/>
      </rPr>
      <t xml:space="preserve">代表特性阻抗為幾</t>
    </r>
    <r>
      <rPr>
        <sz val="10"/>
        <rFont val="Arial"/>
        <family val="0"/>
        <charset val="1"/>
      </rPr>
      <t xml:space="preserve">Ω</t>
    </r>
    <r>
      <rPr>
        <sz val="10"/>
        <rFont val="Noto Sans CJK SC"/>
        <family val="2"/>
      </rPr>
      <t xml:space="preserve">？</t>
    </r>
  </si>
  <si>
    <t xml:space="preserve">55Ω</t>
  </si>
  <si>
    <t xml:space="preserve">65Ω</t>
  </si>
  <si>
    <t xml:space="preserve">70Ω</t>
  </si>
  <si>
    <t xml:space="preserve">75Ω</t>
  </si>
  <si>
    <t xml:space="preserve">同軸電纜5C2V，下列何項敘述不正確？</t>
  </si>
  <si>
    <r>
      <rPr>
        <sz val="10"/>
        <rFont val="Arial"/>
        <family val="0"/>
        <charset val="1"/>
      </rPr>
      <t xml:space="preserve">5</t>
    </r>
    <r>
      <rPr>
        <sz val="10"/>
        <rFont val="Noto Sans CJK SC"/>
        <family val="2"/>
      </rPr>
      <t xml:space="preserve">指</t>
    </r>
    <r>
      <rPr>
        <sz val="10"/>
        <rFont val="Arial"/>
        <family val="0"/>
        <charset val="1"/>
      </rPr>
      <t xml:space="preserve">PE</t>
    </r>
    <r>
      <rPr>
        <sz val="10"/>
        <rFont val="Noto Sans CJK SC"/>
        <family val="2"/>
      </rPr>
      <t xml:space="preserve">絕緣體標準外徑</t>
    </r>
    <r>
      <rPr>
        <sz val="10"/>
        <rFont val="Arial"/>
        <family val="0"/>
        <charset val="1"/>
      </rPr>
      <t xml:space="preserve">5</t>
    </r>
    <r>
      <rPr>
        <sz val="10"/>
        <rFont val="Noto Sans CJK SC"/>
        <family val="2"/>
      </rPr>
      <t xml:space="preserve">毫米</t>
    </r>
  </si>
  <si>
    <r>
      <rPr>
        <sz val="10"/>
        <rFont val="Arial"/>
        <family val="0"/>
        <charset val="1"/>
      </rPr>
      <t xml:space="preserve">C</t>
    </r>
    <r>
      <rPr>
        <sz val="10"/>
        <rFont val="Noto Sans CJK SC"/>
        <family val="2"/>
      </rPr>
      <t xml:space="preserve">代表特性阻抗為</t>
    </r>
    <r>
      <rPr>
        <sz val="10"/>
        <rFont val="Arial"/>
        <family val="0"/>
        <charset val="1"/>
      </rPr>
      <t xml:space="preserve">75Ω</t>
    </r>
  </si>
  <si>
    <r>
      <rPr>
        <sz val="10"/>
        <rFont val="Arial"/>
        <family val="0"/>
        <charset val="1"/>
      </rPr>
      <t xml:space="preserve">2</t>
    </r>
    <r>
      <rPr>
        <sz val="10"/>
        <rFont val="Noto Sans CJK SC"/>
        <family val="2"/>
      </rPr>
      <t xml:space="preserve">指</t>
    </r>
    <r>
      <rPr>
        <sz val="10"/>
        <rFont val="Arial"/>
        <family val="0"/>
        <charset val="1"/>
      </rPr>
      <t xml:space="preserve">PE</t>
    </r>
    <r>
      <rPr>
        <sz val="10"/>
        <rFont val="Noto Sans CJK SC"/>
        <family val="2"/>
      </rPr>
      <t xml:space="preserve">絕緣體</t>
    </r>
  </si>
  <si>
    <r>
      <rPr>
        <sz val="10"/>
        <rFont val="Arial"/>
        <family val="0"/>
        <charset val="1"/>
      </rPr>
      <t xml:space="preserve">C</t>
    </r>
    <r>
      <rPr>
        <sz val="10"/>
        <rFont val="Noto Sans CJK SC"/>
        <family val="2"/>
      </rPr>
      <t xml:space="preserve">代表特性阻抗為</t>
    </r>
    <r>
      <rPr>
        <sz val="10"/>
        <rFont val="Arial"/>
        <family val="0"/>
        <charset val="1"/>
      </rPr>
      <t xml:space="preserve">100Ω</t>
    </r>
  </si>
  <si>
    <t xml:space="preserve">共同天線系統內為配合需要而區分系統，將天線訊號平等的送出為何元件？</t>
  </si>
  <si>
    <t xml:space="preserve">分歧器</t>
  </si>
  <si>
    <t xml:space="preserve">分配器</t>
  </si>
  <si>
    <t xml:space="preserve">混合器</t>
  </si>
  <si>
    <t xml:space="preserve">放大器</t>
  </si>
  <si>
    <t xml:space="preserve">共同天線系統，每一種應受信的電波或電波到來的各個方向，均應設置</t>
  </si>
  <si>
    <t xml:space="preserve">天線</t>
  </si>
  <si>
    <t xml:space="preserve">放大器，來接收訊號</t>
  </si>
  <si>
    <t xml:space="preserve">共同天線系統因電波的種類不同，為簡化系統及傳送更容易，需收集複數種電波的設備稱為:</t>
  </si>
  <si>
    <t xml:space="preserve">混合波</t>
  </si>
  <si>
    <t xml:space="preserve">共同天線系統依強度計算，當末端室內端子所需的強度不足時，必須在適當且具效果的部份之設備稱為:</t>
  </si>
  <si>
    <t xml:space="preserve">電視天線之同軸電纜使用頻率依不同規格，最高可達</t>
  </si>
  <si>
    <t xml:space="preserve">4GHz</t>
  </si>
  <si>
    <t xml:space="preserve">電視天線之同軸電纜溫度等級為</t>
  </si>
  <si>
    <t xml:space="preserve">70℃</t>
  </si>
  <si>
    <t xml:space="preserve">80℃</t>
  </si>
  <si>
    <r>
      <rPr>
        <sz val="10"/>
        <rFont val="Arial"/>
        <family val="0"/>
        <charset val="1"/>
      </rPr>
      <t xml:space="preserve">90℃</t>
    </r>
    <r>
      <rPr>
        <sz val="10"/>
        <rFont val="Noto Sans CJK SC"/>
        <family val="2"/>
      </rPr>
      <t xml:space="preserve">以上</t>
    </r>
  </si>
  <si>
    <t xml:space="preserve">電視天線之同軸電纜，其標準阻抗，下列何者不正確？</t>
  </si>
  <si>
    <t xml:space="preserve">93Ω</t>
  </si>
  <si>
    <t xml:space="preserve">105Ω</t>
  </si>
  <si>
    <t xml:space="preserve">電視配管，管徑應為同軸電纜斷面積之</t>
  </si>
  <si>
    <t xml:space="preserve">同軸電纜之5C2V其5指同軸電纜PE絕緣體標準外徑多少毫米？</t>
  </si>
  <si>
    <r>
      <rPr>
        <sz val="10"/>
        <rFont val="Arial"/>
        <family val="0"/>
        <charset val="1"/>
      </rPr>
      <t xml:space="preserve">5</t>
    </r>
    <r>
      <rPr>
        <sz val="10"/>
        <rFont val="Noto Sans CJK SC"/>
        <family val="2"/>
      </rPr>
      <t xml:space="preserve">毫米</t>
    </r>
  </si>
  <si>
    <r>
      <rPr>
        <sz val="10"/>
        <rFont val="Arial"/>
        <family val="0"/>
        <charset val="1"/>
      </rPr>
      <t xml:space="preserve">6</t>
    </r>
    <r>
      <rPr>
        <sz val="10"/>
        <rFont val="Noto Sans CJK SC"/>
        <family val="2"/>
      </rPr>
      <t xml:space="preserve">毫米</t>
    </r>
  </si>
  <si>
    <r>
      <rPr>
        <sz val="10"/>
        <rFont val="Arial"/>
        <family val="0"/>
        <charset val="1"/>
      </rPr>
      <t xml:space="preserve">7</t>
    </r>
    <r>
      <rPr>
        <sz val="10"/>
        <rFont val="Noto Sans CJK SC"/>
        <family val="2"/>
      </rPr>
      <t xml:space="preserve">毫米</t>
    </r>
  </si>
  <si>
    <r>
      <rPr>
        <sz val="10"/>
        <rFont val="Arial"/>
        <family val="0"/>
        <charset val="1"/>
      </rPr>
      <t xml:space="preserve">8</t>
    </r>
    <r>
      <rPr>
        <sz val="10"/>
        <rFont val="Noto Sans CJK SC"/>
        <family val="2"/>
      </rPr>
      <t xml:space="preserve">毫米</t>
    </r>
  </si>
  <si>
    <t xml:space="preserve">電視天線電纜配線下列敘述何者不正確？</t>
  </si>
  <si>
    <t xml:space="preserve">專用管路儘量不和其他用途線路共用</t>
  </si>
  <si>
    <t xml:space="preserve">電纜長度不足時可以直接接續</t>
  </si>
  <si>
    <t xml:space="preserve">為防止阻擾匹配變化，勿曲角打捲</t>
  </si>
  <si>
    <t xml:space="preserve">管內有數條電纜時，應做記號以備查線</t>
  </si>
  <si>
    <t xml:space="preserve">電視系統配管下列敘述何者不正確？</t>
  </si>
  <si>
    <t xml:space="preserve">屋頂、屋外引進配管應施作防雨灣</t>
  </si>
  <si>
    <t xml:space="preserve">管徑應為同軸電纜斷面積2倍以上</t>
  </si>
  <si>
    <t xml:space="preserve">避免過度曲度，R為管徑6倍</t>
  </si>
  <si>
    <t xml:space="preserve">配管距離超過25公尺應設中繼箱</t>
  </si>
  <si>
    <t xml:space="preserve">電視天線配管應避免過度彎曲，一般R(曲度)為管徑之</t>
  </si>
  <si>
    <t xml:space="preserve">一般電線管路及電視天線配管距離超過</t>
  </si>
  <si>
    <r>
      <rPr>
        <sz val="10"/>
        <rFont val="Arial"/>
        <family val="0"/>
        <charset val="1"/>
      </rPr>
      <t xml:space="preserve">30</t>
    </r>
    <r>
      <rPr>
        <sz val="10"/>
        <rFont val="Noto Sans CJK SC"/>
        <family val="2"/>
      </rPr>
      <t xml:space="preserve">公尺時應設中繼拉線箱</t>
    </r>
  </si>
  <si>
    <t xml:space="preserve">弱電配電箱內需有</t>
  </si>
  <si>
    <r>
      <rPr>
        <sz val="10"/>
        <rFont val="Arial"/>
        <family val="0"/>
        <charset val="1"/>
      </rPr>
      <t xml:space="preserve">20</t>
    </r>
    <r>
      <rPr>
        <sz val="10"/>
        <rFont val="Noto Sans CJK SC"/>
        <family val="2"/>
      </rPr>
      <t xml:space="preserve">毫米原木板，以便將器材安裝</t>
    </r>
  </si>
  <si>
    <t xml:space="preserve">一般住宅用電視配管，水平配管採</t>
  </si>
  <si>
    <r>
      <rPr>
        <sz val="10"/>
        <rFont val="Arial"/>
        <family val="0"/>
        <charset val="1"/>
      </rPr>
      <t xml:space="preserve">40</t>
    </r>
    <r>
      <rPr>
        <sz val="10"/>
        <rFont val="Noto Sans CJK SC"/>
        <family val="2"/>
      </rPr>
      <t xml:space="preserve">釐米</t>
    </r>
    <r>
      <rPr>
        <sz val="10"/>
        <rFont val="Arial"/>
        <family val="0"/>
        <charset val="1"/>
      </rPr>
      <t xml:space="preserve">(mm)PVC</t>
    </r>
    <r>
      <rPr>
        <sz val="10"/>
        <rFont val="Noto Sans CJK SC"/>
        <family val="2"/>
      </rPr>
      <t xml:space="preserve">管</t>
    </r>
  </si>
  <si>
    <t xml:space="preserve">電視天線系統放大器功能之選用，於出線口之末端應達</t>
  </si>
  <si>
    <t xml:space="preserve">40~55</t>
  </si>
  <si>
    <t xml:space="preserve">55~65</t>
  </si>
  <si>
    <t xml:space="preserve">65~75</t>
  </si>
  <si>
    <r>
      <rPr>
        <sz val="10"/>
        <rFont val="Arial"/>
        <family val="0"/>
        <charset val="1"/>
      </rPr>
      <t xml:space="preserve">75~80dB</t>
    </r>
    <r>
      <rPr>
        <sz val="10"/>
        <rFont val="Noto Sans CJK SC"/>
        <family val="2"/>
      </rPr>
      <t xml:space="preserve">以上</t>
    </r>
  </si>
  <si>
    <t xml:space="preserve">電視天線必須在避雷針設施保護範圍內，且天線與避雷針應距離</t>
  </si>
  <si>
    <t xml:space="preserve">電視天線安裝需考量鄰近建築物之影響，並於施作完成後現場調整測試，信號未達要求時必要時增設</t>
  </si>
  <si>
    <t xml:space="preserve">放大器(或增幅器)</t>
  </si>
  <si>
    <t xml:space="preserve">天線，以達收視效果</t>
  </si>
  <si>
    <t xml:space="preserve">電視天線系統配線需考量導線長度及衰減量，分支數等決定是否需增設幹線迴路或增設哪一設備？</t>
  </si>
  <si>
    <t xml:space="preserve">放大器或增幅器</t>
  </si>
  <si>
    <t xml:space="preserve">不同收訊頻率之電視天線安裝位置，必須保持</t>
  </si>
  <si>
    <r>
      <rPr>
        <sz val="10"/>
        <rFont val="Arial"/>
        <family val="0"/>
        <charset val="1"/>
      </rPr>
      <t xml:space="preserve">2</t>
    </r>
    <r>
      <rPr>
        <sz val="10"/>
        <rFont val="Noto Sans CJK SC"/>
        <family val="2"/>
      </rPr>
      <t xml:space="preserve">公尺以上之間距</t>
    </r>
  </si>
  <si>
    <t xml:space="preserve">電視對講機若為高層建築物，則每</t>
  </si>
  <si>
    <t xml:space="preserve">2~3</t>
  </si>
  <si>
    <t xml:space="preserve">3~4</t>
  </si>
  <si>
    <t xml:space="preserve">4~5</t>
  </si>
  <si>
    <r>
      <rPr>
        <sz val="10"/>
        <rFont val="Arial"/>
        <family val="0"/>
        <charset val="1"/>
      </rPr>
      <t xml:space="preserve">5~6</t>
    </r>
    <r>
      <rPr>
        <sz val="10"/>
        <rFont val="Noto Sans CJK SC"/>
        <family val="2"/>
      </rPr>
      <t xml:space="preserve">，層須裝設影像放大分配器，避免線路過長影響訪客影像清晰度</t>
    </r>
  </si>
  <si>
    <t xml:space="preserve">電視對講機室內安裝高度以</t>
  </si>
  <si>
    <r>
      <rPr>
        <sz val="10"/>
        <rFont val="Arial"/>
        <family val="0"/>
        <charset val="1"/>
      </rPr>
      <t xml:space="preserve">130</t>
    </r>
    <r>
      <rPr>
        <sz val="10"/>
        <rFont val="Noto Sans CJK SC"/>
        <family val="2"/>
      </rPr>
      <t xml:space="preserve">公分為宜</t>
    </r>
  </si>
  <si>
    <t xml:space="preserve">電視對講機系統為公寓大廈辨識訪客身分所設立之保安系統，其主要設備不包含下列哪項設備</t>
  </si>
  <si>
    <t xml:space="preserve">室外機</t>
  </si>
  <si>
    <t xml:space="preserve">室內機</t>
  </si>
  <si>
    <t xml:space="preserve">電鎖</t>
  </si>
  <si>
    <t xml:space="preserve">無論任何條件皆不需要影像放大器</t>
  </si>
  <si>
    <t xml:space="preserve">電視對講機系統若為高層建築物則每4-5層約20戶須裝設影像</t>
  </si>
  <si>
    <t xml:space="preserve">放大分配器</t>
  </si>
  <si>
    <t xml:space="preserve">放大分歧器</t>
  </si>
  <si>
    <t xml:space="preserve">分歧器，避免線路過長</t>
  </si>
  <si>
    <t xml:space="preserve">電視對講機門口機高度以</t>
  </si>
  <si>
    <t xml:space="preserve">125</t>
  </si>
  <si>
    <t xml:space="preserve">135</t>
  </si>
  <si>
    <t xml:space="preserve">145</t>
  </si>
  <si>
    <r>
      <rPr>
        <sz val="10"/>
        <rFont val="Arial"/>
        <family val="0"/>
        <charset val="1"/>
      </rPr>
      <t xml:space="preserve">155</t>
    </r>
    <r>
      <rPr>
        <sz val="10"/>
        <rFont val="Noto Sans CJK SC"/>
        <family val="2"/>
      </rPr>
      <t xml:space="preserve">公分為宜</t>
    </r>
  </si>
  <si>
    <t xml:space="preserve">一般電視對講機室外機之攝影機，其內電子零件耐溫約</t>
  </si>
  <si>
    <r>
      <rPr>
        <sz val="10"/>
        <rFont val="Arial"/>
        <family val="0"/>
        <charset val="1"/>
      </rPr>
      <t xml:space="preserve">45℃</t>
    </r>
    <r>
      <rPr>
        <sz val="10"/>
        <rFont val="Noto Sans CJK SC"/>
        <family val="2"/>
      </rPr>
      <t xml:space="preserve">，故室外機安裝時須注意避免太陽直曬</t>
    </r>
  </si>
  <si>
    <t xml:space="preserve">一般電視對講機室外機之攝影機，其內電子零件耐溫約40℃，故室外機安裝時須注意避免下列何者？</t>
  </si>
  <si>
    <t xml:space="preserve">太陽光直曬</t>
  </si>
  <si>
    <t xml:space="preserve">風吹</t>
  </si>
  <si>
    <t xml:space="preserve">撞擊</t>
  </si>
  <si>
    <t xml:space="preserve">雨淋，以減少使用之故障</t>
  </si>
  <si>
    <t xml:space="preserve">防火、防盜、對講機、警衛室總機系統連結不良，下列敘述何者錯誤？</t>
  </si>
  <si>
    <t xml:space="preserve">線路太短時可在管路連接</t>
  </si>
  <si>
    <t xml:space="preserve">應慎選主機</t>
  </si>
  <si>
    <t xml:space="preserve">不可與大電力線共管或同一配線槽</t>
  </si>
  <si>
    <t xml:space="preserve">預埋之管路內徑要符合規定</t>
  </si>
  <si>
    <t xml:space="preserve">電視對講機造成系統不良最主要原因為:</t>
  </si>
  <si>
    <t xml:space="preserve">與大電力線在同一配線</t>
  </si>
  <si>
    <t xml:space="preserve">門口機裝置高度高於145公分</t>
  </si>
  <si>
    <t xml:space="preserve">室內機安裝高度低於130公分</t>
  </si>
  <si>
    <t xml:space="preserve">在4-5層20戶內線路不長，未加裝影像放大器</t>
  </si>
  <si>
    <t xml:space="preserve">閉路監視系統訊號傳輸系統採</t>
  </si>
  <si>
    <r>
      <rPr>
        <sz val="10"/>
        <rFont val="Arial"/>
        <family val="0"/>
        <charset val="1"/>
      </rPr>
      <t xml:space="preserve">PVC</t>
    </r>
    <r>
      <rPr>
        <sz val="10"/>
        <rFont val="Noto Sans CJK SC"/>
        <family val="2"/>
      </rPr>
      <t xml:space="preserve">電力電纜</t>
    </r>
  </si>
  <si>
    <t xml:space="preserve">通信電纜</t>
  </si>
  <si>
    <t xml:space="preserve">控制電纜</t>
  </si>
  <si>
    <t xml:space="preserve">同軸電纜</t>
  </si>
  <si>
    <t xml:space="preserve">閉路監視系統，下列哪項不是其主要的功能？</t>
  </si>
  <si>
    <t xml:space="preserve">可清楚瞭解放置地點之人員</t>
  </si>
  <si>
    <t xml:space="preserve">可清楚瞭解車潮動態的即時狀況</t>
  </si>
  <si>
    <t xml:space="preserve">影響畫面之儲存提供必要之用</t>
  </si>
  <si>
    <t xml:space="preserve">管制人員進出之功能</t>
  </si>
  <si>
    <t xml:space="preserve">網路系統連接兩邊系統用戶的固定連接式的電話線路，提供專屬用戶可以全天候24小時不間斷地連接的方式稱為下列何者？</t>
  </si>
  <si>
    <t xml:space="preserve">數據專線</t>
  </si>
  <si>
    <t xml:space="preserve">行動數據</t>
  </si>
  <si>
    <t xml:space="preserve">行動專線</t>
  </si>
  <si>
    <t xml:space="preserve">專線網路</t>
  </si>
  <si>
    <t xml:space="preserve">光纖是有線傳輸方式中的一種傳輸介質，下列敘述哪項不是其特點？</t>
  </si>
  <si>
    <t xml:space="preserve">具有體積小</t>
  </si>
  <si>
    <t xml:space="preserve">重量輕</t>
  </si>
  <si>
    <t xml:space="preserve">速度快</t>
  </si>
  <si>
    <t xml:space="preserve">有雜訊及失真大</t>
  </si>
  <si>
    <t xml:space="preserve">中央監視傳輸系統採數據專線，下列敘述哪項不是其特點？</t>
  </si>
  <si>
    <t xml:space="preserve">可以全天供24小時不間斷地連接</t>
  </si>
  <si>
    <t xml:space="preserve">可採直接連線可隨時直接傳輸資料</t>
  </si>
  <si>
    <t xml:space="preserve">屬固定連接，不具交換功能</t>
  </si>
  <si>
    <t xml:space="preserve">不限系統兩端傳輸資料</t>
  </si>
  <si>
    <t xml:space="preserve">採有線電視訊號模式傳輸，單條線可控制信號雙向溝通及傳輸RF訊號，資料傳輸速率中等，適用於短距離，通訊時間短的系統為</t>
  </si>
  <si>
    <t xml:space="preserve">數位混頻率</t>
  </si>
  <si>
    <t xml:space="preserve">網路</t>
  </si>
  <si>
    <t xml:space="preserve">中央監視採無線傳輸，下列敘述哪項不是其特點？</t>
  </si>
  <si>
    <t xml:space="preserve">無線電波傳送距離遠</t>
  </si>
  <si>
    <t xml:space="preserve">可輕易穿越建築物</t>
  </si>
  <si>
    <t xml:space="preserve">設有方向性</t>
  </si>
  <si>
    <t xml:space="preserve">不受地形地物影響</t>
  </si>
  <si>
    <t xml:space="preserve">行動數據系統乃藉由無線電傳送即時雙向數據資料，下列敘述哪項不是其特點？</t>
  </si>
  <si>
    <t xml:space="preserve">移動狀態下，終端設備亦可隨時達到通信功能</t>
  </si>
  <si>
    <t xml:space="preserve">通信使用封包傳遞資料</t>
  </si>
  <si>
    <t xml:space="preserve">傳輸速度快</t>
  </si>
  <si>
    <t xml:space="preserve">系統容量與反應時間細胞式網差</t>
  </si>
  <si>
    <t xml:space="preserve">中央監視系統網路傳輸與行動數據比較，下列哪一項不是其優點？</t>
  </si>
  <si>
    <t xml:space="preserve">相容性</t>
  </si>
  <si>
    <t xml:space="preserve">傳輸資料量限制</t>
  </si>
  <si>
    <t xml:space="preserve">無通信費用</t>
  </si>
  <si>
    <t xml:space="preserve">保密性</t>
  </si>
  <si>
    <t xml:space="preserve">中央監視系統行動數據與網路傳輸比較，下列哪一項不是其優點</t>
  </si>
  <si>
    <t xml:space="preserve">抗干擾性</t>
  </si>
  <si>
    <t xml:space="preserve">故障率</t>
  </si>
  <si>
    <t xml:space="preserve">中央監視系統攝影機組裝設於各適當監視點上，用以監看定點四週的動態狀況；同一區域之攝影機組監看角度應如何配置以利事故發生時現場狀況的掌控？</t>
  </si>
  <si>
    <t xml:space="preserve">分散</t>
  </si>
  <si>
    <t xml:space="preserve">拉大</t>
  </si>
  <si>
    <t xml:space="preserve">中央監視系統每具攝影機需確認監視之___及範圍？</t>
  </si>
  <si>
    <t xml:space="preserve">角度</t>
  </si>
  <si>
    <t xml:space="preserve">光線</t>
  </si>
  <si>
    <t xml:space="preserve">氣候</t>
  </si>
  <si>
    <t xml:space="preserve">溫度</t>
  </si>
  <si>
    <t xml:space="preserve">中央監視系統同一區域內之攝影機組監看角度儘量</t>
  </si>
  <si>
    <t xml:space="preserve">分開</t>
  </si>
  <si>
    <t xml:space="preserve">錯開</t>
  </si>
  <si>
    <t xml:space="preserve">間隔，以利事故發生時，現場狀況之掌控</t>
  </si>
  <si>
    <t xml:space="preserve">閉路監視系統下列哪些不正確？</t>
  </si>
  <si>
    <t xml:space="preserve">攝影機須裝設於各適當監視點上</t>
  </si>
  <si>
    <t xml:space="preserve">須依實際安裝定點之環境，規劃適當之組合</t>
  </si>
  <si>
    <t xml:space="preserve">室外攝影機必須為防水效果良好之機型</t>
  </si>
  <si>
    <t xml:space="preserve">傳號傳輸採傳統通信線即可</t>
  </si>
  <si>
    <t xml:space="preserve">中央監視系統影像及控制訊號線路不宜</t>
  </si>
  <si>
    <t xml:space="preserve">接續</t>
  </si>
  <si>
    <t xml:space="preserve">混合</t>
  </si>
  <si>
    <t xml:space="preserve">共管，最好從頭至尾均無接續，以避免雜訊干擾</t>
  </si>
  <si>
    <t xml:space="preserve">中央監視系統線路之選用，於影像及控制訊號傳輸之線路，應採用具有下列何者銅網之線材為佳？</t>
  </si>
  <si>
    <t xml:space="preserve">隔離</t>
  </si>
  <si>
    <t xml:space="preserve">複合</t>
  </si>
  <si>
    <t xml:space="preserve">膠和</t>
  </si>
  <si>
    <t xml:space="preserve">連結</t>
  </si>
  <si>
    <t xml:space="preserve">施工圖繪製所有規格尺寸、度量衡應使用</t>
  </si>
  <si>
    <t xml:space="preserve">公制</t>
  </si>
  <si>
    <t xml:space="preserve">英制</t>
  </si>
  <si>
    <t xml:space="preserve">台制</t>
  </si>
  <si>
    <t xml:space="preserve">美制</t>
  </si>
  <si>
    <t xml:space="preserve">下列何者不為監視系統控制訊號不穩定之處理動作？</t>
  </si>
  <si>
    <t xml:space="preserve">加裝控制訊號放大器</t>
  </si>
  <si>
    <t xml:space="preserve">於控制訊號最末端加裝末端阻抗</t>
  </si>
  <si>
    <t xml:space="preserve">檢查線路是否靠近電力線，並調整之</t>
  </si>
  <si>
    <t xml:space="preserve">調整鏡頭光圈</t>
  </si>
  <si>
    <t xml:space="preserve">中央監視安裝完成後，產生無影像下列最主要原因為:</t>
  </si>
  <si>
    <t xml:space="preserve">線路斷線</t>
  </si>
  <si>
    <t xml:space="preserve">鏡頭焦距未調整</t>
  </si>
  <si>
    <t xml:space="preserve">鏡頭鏡面不潔</t>
  </si>
  <si>
    <t xml:space="preserve">訊號較微弱</t>
  </si>
  <si>
    <t xml:space="preserve">閉路監視系統之鏡頭焦距未調整到最佳時會產生</t>
  </si>
  <si>
    <t xml:space="preserve">無影像</t>
  </si>
  <si>
    <t xml:space="preserve">影像不清楚</t>
  </si>
  <si>
    <t xml:space="preserve">控制訊號不穩</t>
  </si>
  <si>
    <t xml:space="preserve">影響時有時無</t>
  </si>
  <si>
    <t xml:space="preserve">中央監控系統不包含下列哪一項設備？</t>
  </si>
  <si>
    <t xml:space="preserve">主電腦</t>
  </si>
  <si>
    <t xml:space="preserve">傳輸系統</t>
  </si>
  <si>
    <t xml:space="preserve">遠端控制器</t>
  </si>
  <si>
    <t xml:space="preserve">強波器</t>
  </si>
  <si>
    <t xml:space="preserve">電力系統監控主要目的不包含下列哪一項？</t>
  </si>
  <si>
    <t xml:space="preserve">負載管埋</t>
  </si>
  <si>
    <t xml:space="preserve">統計分析公共用電及異常狀況</t>
  </si>
  <si>
    <t xml:space="preserve">維護保護與自動計費之需求</t>
  </si>
  <si>
    <t xml:space="preserve">系統故障之自動負歸</t>
  </si>
  <si>
    <t xml:space="preserve">空調系統監控主要目的不包含下列哪一項？</t>
  </si>
  <si>
    <t xml:space="preserve">對空調系統做合理的規劃</t>
  </si>
  <si>
    <t xml:space="preserve">使用時段的多樣化</t>
  </si>
  <si>
    <t xml:space="preserve">省能源化的效果</t>
  </si>
  <si>
    <t xml:space="preserve">系統故障之排除</t>
  </si>
  <si>
    <t xml:space="preserve">弱電與中央監控、空調</t>
  </si>
  <si>
    <t xml:space="preserve">功率因數會影響電價，當功率因數低於多少%</t>
  </si>
  <si>
    <r>
      <rPr>
        <sz val="10"/>
        <rFont val="Arial"/>
        <family val="0"/>
        <charset val="1"/>
      </rPr>
      <t xml:space="preserve">80 </t>
    </r>
    <r>
      <rPr>
        <sz val="10"/>
        <rFont val="Noto Sans CJK SC"/>
        <family val="2"/>
      </rPr>
      <t xml:space="preserve">以下時，每低於</t>
    </r>
    <r>
      <rPr>
        <sz val="10"/>
        <rFont val="Arial"/>
        <family val="0"/>
        <charset val="1"/>
      </rPr>
      <t xml:space="preserve">1%</t>
    </r>
    <r>
      <rPr>
        <sz val="10"/>
        <rFont val="Noto Sans CJK SC"/>
        <family val="2"/>
      </rPr>
      <t xml:space="preserve">則加收電費總額</t>
    </r>
    <r>
      <rPr>
        <sz val="10"/>
        <rFont val="Arial"/>
        <family val="0"/>
        <charset val="1"/>
      </rPr>
      <t xml:space="preserve">0.1%</t>
    </r>
    <r>
      <rPr>
        <sz val="10"/>
        <rFont val="Noto Sans CJK SC"/>
        <family val="2"/>
      </rPr>
      <t xml:space="preserve">，故投入</t>
    </r>
    <r>
      <rPr>
        <sz val="10"/>
        <rFont val="Arial"/>
        <family val="0"/>
        <charset val="1"/>
      </rPr>
      <t xml:space="preserve">APFR(</t>
    </r>
    <r>
      <rPr>
        <sz val="10"/>
        <rFont val="Noto Sans CJK SC"/>
        <family val="2"/>
      </rPr>
      <t xml:space="preserve">自動供因調整器</t>
    </r>
    <r>
      <rPr>
        <sz val="10"/>
        <rFont val="Arial"/>
        <family val="0"/>
        <charset val="1"/>
      </rPr>
      <t xml:space="preserve">)</t>
    </r>
    <r>
      <rPr>
        <sz val="10"/>
        <rFont val="Noto Sans CJK SC"/>
        <family val="2"/>
      </rPr>
      <t xml:space="preserve">，以提高功率因素</t>
    </r>
  </si>
  <si>
    <t xml:space="preserve">功率因數會影響電價，供率因素高80%時，每超過1%就會減少電費總額的0.1%，但優惠上限為功率因素</t>
  </si>
  <si>
    <t xml:space="preserve">92%</t>
  </si>
  <si>
    <t xml:space="preserve">89%</t>
  </si>
  <si>
    <r>
      <rPr>
        <sz val="10"/>
        <rFont val="Arial"/>
        <family val="0"/>
        <charset val="1"/>
      </rPr>
      <t xml:space="preserve">85%</t>
    </r>
    <r>
      <rPr>
        <sz val="10"/>
        <rFont val="Noto Sans CJK SC"/>
        <family val="2"/>
      </rPr>
      <t xml:space="preserve">，超過時將卸除</t>
    </r>
    <r>
      <rPr>
        <sz val="10"/>
        <rFont val="Arial"/>
        <family val="0"/>
        <charset val="1"/>
      </rPr>
      <t xml:space="preserve">APFR(</t>
    </r>
    <r>
      <rPr>
        <sz val="10"/>
        <rFont val="Noto Sans CJK SC"/>
        <family val="2"/>
      </rPr>
      <t xml:space="preserve">自動供因調整器</t>
    </r>
    <r>
      <rPr>
        <sz val="10"/>
        <rFont val="Arial"/>
        <family val="0"/>
        <charset val="1"/>
      </rPr>
      <t xml:space="preserve">)</t>
    </r>
  </si>
  <si>
    <t xml:space="preserve">當契約容量預測超出時，最主要措施為:</t>
  </si>
  <si>
    <t xml:space="preserve">自動投入APFR自動調整器</t>
  </si>
  <si>
    <t xml:space="preserve">自動依序卸載非重要設備，正常時自動恢復</t>
  </si>
  <si>
    <t xml:space="preserve">啟動發電機補足超額容量</t>
  </si>
  <si>
    <t xml:space="preserve">由監控電腦透過螢幕指示管理人員採取適當措施</t>
  </si>
  <si>
    <t xml:space="preserve">消防系統監控之管埋方式，下列哪項不包含？</t>
  </si>
  <si>
    <t xml:space="preserve">全天候監視消防設備，異常時發出警報</t>
  </si>
  <si>
    <t xml:space="preserve">自動接收信號，採取連鎖應變措施</t>
  </si>
  <si>
    <t xml:space="preserve">啟動各項設備運轉時數，產生定期保養清單</t>
  </si>
  <si>
    <t xml:space="preserve">自動連線通報管理人員</t>
  </si>
  <si>
    <t xml:space="preserve">弱電與中央監控、消防</t>
  </si>
  <si>
    <t xml:space="preserve">消防火警監控系統功能主要不包含下列哪項？</t>
  </si>
  <si>
    <t xml:space="preserve">螢幕顯示消防系統動態圖形</t>
  </si>
  <si>
    <t xml:space="preserve">螢幕顯示及連鎖管制消防系統</t>
  </si>
  <si>
    <t xml:space="preserve">火警時螢幕自動閃爍顯示火警平面圖</t>
  </si>
  <si>
    <t xml:space="preserve">啟動緊急發電機系統自動切換電源主燈</t>
  </si>
  <si>
    <t xml:space="preserve">照明設備監控系統功能不包含:</t>
  </si>
  <si>
    <t xml:space="preserve">彈性規劃照明時程</t>
  </si>
  <si>
    <t xml:space="preserve">火警發生時自動連鎖啟動照明系統</t>
  </si>
  <si>
    <t xml:space="preserve">顯示照明系統動態圖形</t>
  </si>
  <si>
    <t xml:space="preserve">自動追蹤入侵人員動態</t>
  </si>
  <si>
    <t xml:space="preserve">公共照明為易產生能源浪費且不易，為了配合安全系統連動，下列哪一項範圍不宜列入管理範圍</t>
  </si>
  <si>
    <t xml:space="preserve">公共走道</t>
  </si>
  <si>
    <t xml:space="preserve">景觀燈</t>
  </si>
  <si>
    <t xml:space="preserve">停車場</t>
  </si>
  <si>
    <t xml:space="preserve">火警用途之緊急照明及避難方向指示燈</t>
  </si>
  <si>
    <t xml:space="preserve">給排水系統監控管理方式主要功能不包含下列:</t>
  </si>
  <si>
    <t xml:space="preserve">各泵浦運轉狀態，異常警報及自動定時控制</t>
  </si>
  <si>
    <t xml:space="preserve">蓄水池和水塔高/低水位警報</t>
  </si>
  <si>
    <t xml:space="preserve">污水池高水位警報並自動控制污水泵排水</t>
  </si>
  <si>
    <t xml:space="preserve">停水時通知用戶儲水</t>
  </si>
  <si>
    <t xml:space="preserve">弱電與中央監控、給排水</t>
  </si>
  <si>
    <t xml:space="preserve">送排風機系統監控主要功能，不包含下列哪項功能？</t>
  </si>
  <si>
    <t xml:space="preserve">監視各送、排風機之運轉狀態</t>
  </si>
  <si>
    <t xml:space="preserve">依時間程序設定自動啟動相關送、排風機</t>
  </si>
  <si>
    <t xml:space="preserve">偵測停車場CO值濃度並自動啟動送、排風機</t>
  </si>
  <si>
    <t xml:space="preserve">監測送、排風機之風量</t>
  </si>
  <si>
    <t xml:space="preserve">停車場監控主要功能不包含下列哪項？</t>
  </si>
  <si>
    <t xml:space="preserve">可加速車量流動</t>
  </si>
  <si>
    <t xml:space="preserve">充分利用停車空間</t>
  </si>
  <si>
    <t xml:space="preserve">大幅降低人工成本，更加提高經濟效益</t>
  </si>
  <si>
    <t xml:space="preserve">防止車輛失竊</t>
  </si>
  <si>
    <t xml:space="preserve">中央監控系統工程與相關廠商之施工介面應妥為規劃，一般以被監控之設備盤盤內之何處為界？</t>
  </si>
  <si>
    <t xml:space="preserve">端子座</t>
  </si>
  <si>
    <t xml:space="preserve">手動按鈕</t>
  </si>
  <si>
    <t xml:space="preserve">電驛</t>
  </si>
  <si>
    <t xml:space="preserve">比流器</t>
  </si>
  <si>
    <t xml:space="preserve">中央監控系統之各種設備材料固定必須紮實，接續不得有鬆脫，且其傳輸線之屏蔽線應確實於盤體內？</t>
  </si>
  <si>
    <t xml:space="preserve">整理</t>
  </si>
  <si>
    <t xml:space="preserve">移除</t>
  </si>
  <si>
    <t xml:space="preserve">接地</t>
  </si>
  <si>
    <t xml:space="preserve">中央監控系統工程與相關廠商之施工</t>
  </si>
  <si>
    <t xml:space="preserve">介面</t>
  </si>
  <si>
    <t xml:space="preserve">工序</t>
  </si>
  <si>
    <t xml:space="preserve">範圍</t>
  </si>
  <si>
    <t xml:space="preserve">空間，應妥為規劃，一般以被監控之電力或動力盤盤內之端子座為界</t>
  </si>
  <si>
    <t xml:space="preserve">中央監控系統各種設備材料固定必須紮實，接續不得有鬆脫，且其傳輸線之屏蔽線應確實於盤體內？</t>
  </si>
  <si>
    <t xml:space="preserve">單點接地</t>
  </si>
  <si>
    <r>
      <rPr>
        <sz val="10"/>
        <rFont val="Arial"/>
        <family val="0"/>
        <charset val="1"/>
      </rPr>
      <t xml:space="preserve">2</t>
    </r>
    <r>
      <rPr>
        <sz val="10"/>
        <rFont val="Noto Sans CJK SC"/>
        <family val="2"/>
      </rPr>
      <t xml:space="preserve">點接地</t>
    </r>
  </si>
  <si>
    <r>
      <rPr>
        <sz val="10"/>
        <rFont val="Arial"/>
        <family val="0"/>
        <charset val="1"/>
      </rPr>
      <t xml:space="preserve">3</t>
    </r>
    <r>
      <rPr>
        <sz val="10"/>
        <rFont val="Noto Sans CJK SC"/>
        <family val="2"/>
      </rPr>
      <t xml:space="preserve">點接地</t>
    </r>
  </si>
  <si>
    <r>
      <rPr>
        <sz val="10"/>
        <rFont val="Arial"/>
        <family val="0"/>
        <charset val="1"/>
      </rPr>
      <t xml:space="preserve">4</t>
    </r>
    <r>
      <rPr>
        <sz val="10"/>
        <rFont val="Noto Sans CJK SC"/>
        <family val="2"/>
      </rPr>
      <t xml:space="preserve">點接地</t>
    </r>
  </si>
  <si>
    <t xml:space="preserve">傳輸線為避免受雜訊干擾，影響通訊品質，在配線時應與電源線距離幾㎝以上</t>
  </si>
  <si>
    <r>
      <rPr>
        <sz val="10"/>
        <rFont val="Arial"/>
        <family val="0"/>
        <charset val="1"/>
      </rPr>
      <t xml:space="preserve">80</t>
    </r>
    <r>
      <rPr>
        <sz val="10"/>
        <rFont val="Noto Sans CJK SC"/>
        <family val="2"/>
      </rPr>
      <t xml:space="preserve">，如配線距離有困難，配線應採用屏蔽型電纜或配管採用金屬管</t>
    </r>
  </si>
  <si>
    <t xml:space="preserve">為使中央監控系統訊號穩定傳送，下列何者為正確</t>
  </si>
  <si>
    <t xml:space="preserve">設備材料固定必須紮實</t>
  </si>
  <si>
    <t xml:space="preserve">連續不得鬆脫</t>
  </si>
  <si>
    <t xml:space="preserve">傳輸線須屏蔽線</t>
  </si>
  <si>
    <t xml:space="preserve">中央監控系統之傳輸為避免受雜訊干擾，影響通訊品質，可採下列何種措施？</t>
  </si>
  <si>
    <t xml:space="preserve">配線時應與電源線距離60公分以上</t>
  </si>
  <si>
    <t xml:space="preserve">採用屏蔽型電纜</t>
  </si>
  <si>
    <t xml:space="preserve">配管採用金屬管</t>
  </si>
  <si>
    <t xml:space="preserve">中央監控系統設備進場及安裝，下列哪項敘述錯誤？</t>
  </si>
  <si>
    <t xml:space="preserve">確認設備型號符合現場使用</t>
  </si>
  <si>
    <t xml:space="preserve">控制器之接地可就近接入電力系統接地系統即可</t>
  </si>
  <si>
    <t xml:space="preserve">依據製造廠商之方式固定設備</t>
  </si>
  <si>
    <t xml:space="preserve">依製造廠商圖面資料方式結線</t>
  </si>
  <si>
    <t xml:space="preserve">中央監控系統送電測試前最優先要</t>
  </si>
  <si>
    <t xml:space="preserve">確認供電方式、電壓及設備接地無誤</t>
  </si>
  <si>
    <t xml:space="preserve">檢查設備型號是否正確</t>
  </si>
  <si>
    <t xml:space="preserve">檢查設備軟體是否正確</t>
  </si>
  <si>
    <t xml:space="preserve">檢查設備安裝高度是否破壞景觀</t>
  </si>
  <si>
    <t xml:space="preserve">下列何者不為中央監控系統之模組無法與中控室連線的改進對策？</t>
  </si>
  <si>
    <t xml:space="preserve">模組重新開機</t>
  </si>
  <si>
    <t xml:space="preserve">檢查軟體中設定之參數是否正確</t>
  </si>
  <si>
    <t xml:space="preserve">檢查所有控制器之(address)是否有重複</t>
  </si>
  <si>
    <t xml:space="preserve">中央監控系統傳訊器數值與現場不一致，下列敘述何者錯誤？</t>
  </si>
  <si>
    <t xml:space="preserve">線路過長訊號失真嚴重</t>
  </si>
  <si>
    <t xml:space="preserve">線路靠近電力線產生干擾</t>
  </si>
  <si>
    <t xml:space="preserve">使用一般通信線速度過慢</t>
  </si>
  <si>
    <t xml:space="preserve">最主要為控制器之位址(address)有重複</t>
  </si>
  <si>
    <t xml:space="preserve">網路種類包括:</t>
  </si>
  <si>
    <t xml:space="preserve">區域網路</t>
  </si>
  <si>
    <t xml:space="preserve">都會網路</t>
  </si>
  <si>
    <t xml:space="preserve">廣域網路</t>
  </si>
  <si>
    <t xml:space="preserve">將幾個區域網加以連接而成的是</t>
  </si>
  <si>
    <t xml:space="preserve">對等網路</t>
  </si>
  <si>
    <t xml:space="preserve">伺服型網路</t>
  </si>
  <si>
    <t xml:space="preserve">將一群電腦，透過幾個媒介進行連線的是</t>
  </si>
  <si>
    <t xml:space="preserve">連接無數區域網路與都會網路是</t>
  </si>
  <si>
    <t xml:space="preserve">網路之通信線路不宜採下列</t>
  </si>
  <si>
    <t xml:space="preserve">雙絞線(Twisted pair)</t>
  </si>
  <si>
    <t xml:space="preserve">光纖</t>
  </si>
  <si>
    <t xml:space="preserve">一般通信線</t>
  </si>
  <si>
    <t xml:space="preserve">將資料訊號再生的續接裝置稱為</t>
  </si>
  <si>
    <t xml:space="preserve">中繼器</t>
  </si>
  <si>
    <t xml:space="preserve">集線器</t>
  </si>
  <si>
    <t xml:space="preserve">橋接器</t>
  </si>
  <si>
    <t xml:space="preserve">路由器</t>
  </si>
  <si>
    <t xml:space="preserve">將兩條導線相互絞在一起而形成的網路連線媒體的線稱為</t>
  </si>
  <si>
    <t xml:space="preserve">雙絞線</t>
  </si>
  <si>
    <t xml:space="preserve">控制電纜，目的是為了防止雜訊干擾與中空</t>
  </si>
  <si>
    <t xml:space="preserve">中央為銅導線，外面圍繞著一層絕緣體，然後再圍上一層網狀編織的導體的電纜稱為:</t>
  </si>
  <si>
    <t xml:space="preserve">區域網路連接採細同軸電纜最大長度是</t>
  </si>
  <si>
    <r>
      <rPr>
        <sz val="10"/>
        <rFont val="Arial"/>
        <family val="0"/>
        <charset val="1"/>
      </rPr>
      <t xml:space="preserve">185</t>
    </r>
    <r>
      <rPr>
        <sz val="10"/>
        <rFont val="Noto Sans CJK SC"/>
        <family val="2"/>
      </rPr>
      <t xml:space="preserve">公尺</t>
    </r>
  </si>
  <si>
    <r>
      <rPr>
        <sz val="10"/>
        <rFont val="Arial"/>
        <family val="0"/>
        <charset val="1"/>
      </rPr>
      <t xml:space="preserve">285</t>
    </r>
    <r>
      <rPr>
        <sz val="10"/>
        <rFont val="Noto Sans CJK SC"/>
        <family val="2"/>
      </rPr>
      <t xml:space="preserve">公尺</t>
    </r>
  </si>
  <si>
    <r>
      <rPr>
        <sz val="10"/>
        <rFont val="Arial"/>
        <family val="0"/>
        <charset val="1"/>
      </rPr>
      <t xml:space="preserve">385</t>
    </r>
    <r>
      <rPr>
        <sz val="10"/>
        <rFont val="Noto Sans CJK SC"/>
        <family val="2"/>
      </rPr>
      <t xml:space="preserve">公尺</t>
    </r>
  </si>
  <si>
    <r>
      <rPr>
        <sz val="10"/>
        <rFont val="Arial"/>
        <family val="0"/>
        <charset val="1"/>
      </rPr>
      <t xml:space="preserve">485</t>
    </r>
    <r>
      <rPr>
        <sz val="10"/>
        <rFont val="Noto Sans CJK SC"/>
        <family val="2"/>
      </rPr>
      <t xml:space="preserve">公尺，訊號傳遞如果超過這個長度，會由於訊號衰退而變得無法辨識</t>
    </r>
  </si>
  <si>
    <t xml:space="preserve">根據路由表決定適當的傳遞路徑，以將封包傳送至其他的網路中的設備為</t>
  </si>
  <si>
    <t xml:space="preserve">橋接器(Bridge)</t>
  </si>
  <si>
    <t xml:space="preserve">集線器(Hub或Concentrator)</t>
  </si>
  <si>
    <t xml:space="preserve">路由器(Router)</t>
  </si>
  <si>
    <t xml:space="preserve">閘道器(Gateway)</t>
  </si>
  <si>
    <t xml:space="preserve">通常使用於星狀網路，用來將網路上的裝置加以連接的設備為:</t>
  </si>
  <si>
    <t xml:space="preserve">在OSI模型的實體與資料匣連結運作，還具有訊框trame過濾功能的是</t>
  </si>
  <si>
    <t xml:space="preserve">屬OSI模型網路層中運作裝置，可以過濾網路上的資料封包的是</t>
  </si>
  <si>
    <t xml:space="preserve">運作於OSI模型的七個階層，可以處理不同格式的資料封包，並進行通訊協定動作的是</t>
  </si>
  <si>
    <t xml:space="preserve">訊框傳送交換器</t>
  </si>
  <si>
    <t xml:space="preserve">閘道路</t>
  </si>
  <si>
    <t xml:space="preserve">主要在建立所謂的專線連結，在兩個區域網路的路由器上，每隔固定時間進行大量資料傳送資料的設備為</t>
  </si>
  <si>
    <r>
      <rPr>
        <sz val="10"/>
        <rFont val="Arial"/>
        <family val="0"/>
        <charset val="1"/>
      </rPr>
      <t xml:space="preserve">ISDN</t>
    </r>
    <r>
      <rPr>
        <sz val="10"/>
        <rFont val="Noto Sans CJK SC"/>
        <family val="2"/>
      </rPr>
      <t xml:space="preserve">終端轉接器</t>
    </r>
  </si>
  <si>
    <t xml:space="preserve">閘道器</t>
  </si>
  <si>
    <t xml:space="preserve">使用光纖直接連接，使用固定長度的資料細胞進行資料傳送資料傳輸量可達1Gbps的系統為</t>
  </si>
  <si>
    <r>
      <rPr>
        <sz val="10"/>
        <rFont val="Arial"/>
        <family val="0"/>
        <charset val="1"/>
      </rPr>
      <t xml:space="preserve">ATM</t>
    </r>
    <r>
      <rPr>
        <sz val="10"/>
        <rFont val="Noto Sans CJK SC"/>
        <family val="2"/>
      </rPr>
      <t xml:space="preserve">交換器</t>
    </r>
  </si>
  <si>
    <t xml:space="preserve">下列那一樣不適用於非對稱式數位用戶專線ADSL</t>
  </si>
  <si>
    <r>
      <rPr>
        <sz val="10"/>
        <rFont val="Arial"/>
        <family val="0"/>
        <charset val="1"/>
      </rPr>
      <t xml:space="preserve">ADSL</t>
    </r>
    <r>
      <rPr>
        <sz val="10"/>
        <rFont val="Noto Sans CJK SC"/>
        <family val="2"/>
      </rPr>
      <t xml:space="preserve">數據機</t>
    </r>
  </si>
  <si>
    <t xml:space="preserve">網路卡</t>
  </si>
  <si>
    <t xml:space="preserve">電話線路</t>
  </si>
  <si>
    <t xml:space="preserve">利用現有電話線路，在撥接至伺服器之後就可以與網路連線之設備為</t>
  </si>
  <si>
    <t xml:space="preserve">數據機</t>
  </si>
  <si>
    <t xml:space="preserve">利用現有的有線電視網路，沒有使用到的頻道來進行資料傳送，在理論上可達到每秒30MB的傳輸速率的連接裝置稱為:</t>
  </si>
  <si>
    <t xml:space="preserve">纜線數據機</t>
  </si>
  <si>
    <t xml:space="preserve">ADSL</t>
  </si>
  <si>
    <t xml:space="preserve">利用電話線路沒有使用到的頻率區域傳送資料，仍可以正常地傳送語言資料。可以同時上網與撥打電話的連接裝置稱為:</t>
  </si>
  <si>
    <t xml:space="preserve">使用ADSL服務主機與提供服務的伺服器間的線路長度(不是提地理上的距離)，不得超過</t>
  </si>
  <si>
    <r>
      <rPr>
        <sz val="10"/>
        <rFont val="Arial"/>
        <family val="0"/>
        <charset val="1"/>
      </rPr>
      <t xml:space="preserve">3</t>
    </r>
    <r>
      <rPr>
        <sz val="10"/>
        <rFont val="Noto Sans CJK SC"/>
        <family val="2"/>
      </rPr>
      <t xml:space="preserve">公里</t>
    </r>
  </si>
  <si>
    <r>
      <rPr>
        <sz val="10"/>
        <rFont val="Arial"/>
        <family val="0"/>
        <charset val="1"/>
      </rPr>
      <t xml:space="preserve">2</t>
    </r>
    <r>
      <rPr>
        <sz val="10"/>
        <rFont val="Noto Sans CJK SC"/>
        <family val="2"/>
      </rPr>
      <t xml:space="preserve">公里</t>
    </r>
  </si>
  <si>
    <r>
      <rPr>
        <sz val="10"/>
        <rFont val="Arial"/>
        <family val="0"/>
        <charset val="1"/>
      </rPr>
      <t xml:space="preserve">1</t>
    </r>
    <r>
      <rPr>
        <sz val="10"/>
        <rFont val="Noto Sans CJK SC"/>
        <family val="2"/>
      </rPr>
      <t xml:space="preserve">公里</t>
    </r>
  </si>
  <si>
    <r>
      <rPr>
        <sz val="10"/>
        <rFont val="Arial"/>
        <family val="0"/>
        <charset val="1"/>
      </rPr>
      <t xml:space="preserve">0.5</t>
    </r>
    <r>
      <rPr>
        <sz val="10"/>
        <rFont val="Noto Sans CJK SC"/>
        <family val="2"/>
      </rPr>
      <t xml:space="preserve">公里</t>
    </r>
  </si>
  <si>
    <t xml:space="preserve">纜線數據機在理論上可達到每秒鐘</t>
  </si>
  <si>
    <t xml:space="preserve">10MB</t>
  </si>
  <si>
    <t xml:space="preserve">20MB</t>
  </si>
  <si>
    <t xml:space="preserve">30MB</t>
  </si>
  <si>
    <r>
      <rPr>
        <sz val="10"/>
        <rFont val="Arial"/>
        <family val="0"/>
        <charset val="1"/>
      </rPr>
      <t xml:space="preserve">40MB</t>
    </r>
    <r>
      <rPr>
        <sz val="10"/>
        <rFont val="Noto Sans CJK SC"/>
        <family val="2"/>
      </rPr>
      <t xml:space="preserve">的傳輸速率</t>
    </r>
  </si>
  <si>
    <t xml:space="preserve">播音系統在目前辦公室及商場等可供播音與緊急避難誘導的擴播或播放輕音樂，其小型喇叭配置的密度，辦公大樓約___平方公尺設置一個？</t>
  </si>
  <si>
    <t xml:space="preserve">6~14</t>
  </si>
  <si>
    <t xml:space="preserve">15~24</t>
  </si>
  <si>
    <t xml:space="preserve">20~30</t>
  </si>
  <si>
    <t xml:space="preserve">25~36</t>
  </si>
  <si>
    <t xml:space="preserve">在辦公室、工廠、商辦、醫院等場所，作為聯絡、通知或撥放音樂使用之設備為:</t>
  </si>
  <si>
    <t xml:space="preserve">視訊會議設備</t>
  </si>
  <si>
    <t xml:space="preserve">信號設備</t>
  </si>
  <si>
    <t xml:space="preserve">對講機設備</t>
  </si>
  <si>
    <t xml:space="preserve">播音設備</t>
  </si>
  <si>
    <t xml:space="preserve">播音設備不包含下列哪項設備？</t>
  </si>
  <si>
    <t xml:space="preserve">音源設備</t>
  </si>
  <si>
    <t xml:space="preserve">擴大設備</t>
  </si>
  <si>
    <t xml:space="preserve">擴音喇叭</t>
  </si>
  <si>
    <t xml:space="preserve">電視螢幕</t>
  </si>
  <si>
    <t xml:space="preserve">透過通訊網路，將遠隔兩地的聲音及影響資訊作互動式的傳送系統為:</t>
  </si>
  <si>
    <t xml:space="preserve">視訊會議設備不包含下列哪項設備？</t>
  </si>
  <si>
    <t xml:space="preserve">攝影機</t>
  </si>
  <si>
    <t xml:space="preserve">麥克風</t>
  </si>
  <si>
    <t xml:space="preserve">利用燈號點滅或數字等特定訊號的顯示設備有哪些</t>
  </si>
  <si>
    <t xml:space="preserve">電鈴</t>
  </si>
  <si>
    <t xml:space="preserve">顯示燈</t>
  </si>
  <si>
    <t xml:space="preserve">顯示幕</t>
  </si>
  <si>
    <t xml:space="preserve">一般建物入口，可連絡到管理室和各使用單位，作為訪客或人員通報之用的為</t>
  </si>
  <si>
    <t xml:space="preserve">個人呼叫設備</t>
  </si>
  <si>
    <t xml:space="preserve">對講機無線式與有線式比較，下列哪項不是其優點？</t>
  </si>
  <si>
    <t xml:space="preserve">無須配線</t>
  </si>
  <si>
    <t xml:space="preserve">設備較為簡單</t>
  </si>
  <si>
    <t xml:space="preserve">建置時間短、費用低</t>
  </si>
  <si>
    <t xml:space="preserve">適用於大型建築物或醫院、實驗室有精密儀器場所</t>
  </si>
  <si>
    <t xml:space="preserve">應用在醫院、車站、工廠、百貨公司等大型建物，由發訊主機、網路及口袋型的授信主機所組成的設備為:</t>
  </si>
  <si>
    <t xml:space="preserve">子母鐘設備主要為顯示時間和建築物內各空間設置電器時鐘設備為</t>
  </si>
  <si>
    <t xml:space="preserve">子母鐘</t>
  </si>
  <si>
    <t xml:space="preserve">打卡鐘</t>
  </si>
  <si>
    <t xml:space="preserve">時間顯示器</t>
  </si>
  <si>
    <t xml:space="preserve">第三章 給排水衛生設備工程品質管理實務</t>
  </si>
  <si>
    <t xml:space="preserve">單元二：第三章 給排水衛生設備工程品質管理實務</t>
  </si>
  <si>
    <t xml:space="preserve">自來水用戶用水設備標準之規定何者為正確？</t>
  </si>
  <si>
    <t xml:space="preserve">用戶裝設之抽水機，不得由受水管直接抽水</t>
  </si>
  <si>
    <t xml:space="preserve">自來水與非自來水系統應完全分開</t>
  </si>
  <si>
    <t xml:space="preserve">曾用於非自來水之舊管，不得使用為自來水管</t>
  </si>
  <si>
    <t xml:space="preserve">給排水衛生</t>
  </si>
  <si>
    <t xml:space="preserve">蓄水池、消防蓄水池或游泳池等之供水，應採跌水式；其進水管之出口，應高出溢水面一管徑以上，且不得小於</t>
  </si>
  <si>
    <r>
      <rPr>
        <sz val="10"/>
        <rFont val="Arial"/>
        <family val="0"/>
        <charset val="1"/>
      </rPr>
      <t xml:space="preserve">50</t>
    </r>
    <r>
      <rPr>
        <sz val="10"/>
        <rFont val="Noto Sans CJK SC"/>
        <family val="2"/>
      </rPr>
      <t xml:space="preserve">公釐</t>
    </r>
  </si>
  <si>
    <t xml:space="preserve">給排水衛生、消防</t>
  </si>
  <si>
    <t xml:space="preserve">排水通氣管路依規定施作盛水試驗，自來水用戶管線裝妥，在未澆置混凝土之前應做加壓試驗，試驗壓力10kg/c㎡，試問試驗時間必須為多少分鐘以上，不漏水視為合格？</t>
  </si>
  <si>
    <r>
      <rPr>
        <sz val="10"/>
        <rFont val="Arial"/>
        <family val="0"/>
        <charset val="1"/>
      </rPr>
      <t xml:space="preserve">10</t>
    </r>
    <r>
      <rPr>
        <sz val="10"/>
        <rFont val="Noto Sans CJK SC"/>
        <family val="2"/>
      </rPr>
      <t xml:space="preserve">分鐘</t>
    </r>
  </si>
  <si>
    <r>
      <rPr>
        <sz val="10"/>
        <rFont val="Arial"/>
        <family val="0"/>
        <charset val="1"/>
      </rPr>
      <t xml:space="preserve">30</t>
    </r>
    <r>
      <rPr>
        <sz val="10"/>
        <rFont val="Noto Sans CJK SC"/>
        <family val="2"/>
      </rPr>
      <t xml:space="preserve">分鐘</t>
    </r>
  </si>
  <si>
    <r>
      <rPr>
        <sz val="10"/>
        <rFont val="Arial"/>
        <family val="0"/>
        <charset val="1"/>
      </rPr>
      <t xml:space="preserve">45</t>
    </r>
    <r>
      <rPr>
        <sz val="10"/>
        <rFont val="Noto Sans CJK SC"/>
        <family val="2"/>
      </rPr>
      <t xml:space="preserve">分鐘</t>
    </r>
  </si>
  <si>
    <r>
      <rPr>
        <sz val="10"/>
        <rFont val="Arial"/>
        <family val="0"/>
        <charset val="1"/>
      </rPr>
      <t xml:space="preserve">60</t>
    </r>
    <r>
      <rPr>
        <sz val="10"/>
        <rFont val="Noto Sans CJK SC"/>
        <family val="2"/>
      </rPr>
      <t xml:space="preserve">分鐘</t>
    </r>
  </si>
  <si>
    <t xml:space="preserve">給排水衛生、給排水</t>
  </si>
  <si>
    <t xml:space="preserve">用水設備之安裝，不得損及建築物之安全；裝設於</t>
  </si>
  <si>
    <r>
      <rPr>
        <sz val="10"/>
        <rFont val="Arial"/>
        <family val="0"/>
        <charset val="1"/>
      </rPr>
      <t xml:space="preserve">10</t>
    </r>
    <r>
      <rPr>
        <sz val="10"/>
        <rFont val="Noto Sans CJK SC"/>
        <family val="2"/>
      </rPr>
      <t xml:space="preserve">樓以上建築物結構體內之水管，應設置專用管道</t>
    </r>
  </si>
  <si>
    <t xml:space="preserve">埋設於地下之用戶管線，與排水或污水管溝渠之水平距離不得小於</t>
  </si>
  <si>
    <r>
      <rPr>
        <sz val="10"/>
        <rFont val="Arial"/>
        <family val="0"/>
        <charset val="1"/>
      </rPr>
      <t xml:space="preserve">60</t>
    </r>
    <r>
      <rPr>
        <sz val="10"/>
        <rFont val="Noto Sans CJK SC"/>
        <family val="2"/>
      </rPr>
      <t xml:space="preserve">公分，並須以未經掘動或壓實之泥土隔離之</t>
    </r>
  </si>
  <si>
    <t xml:space="preserve">用戶管線之底，全段須高出排水或污水管最高點</t>
  </si>
  <si>
    <r>
      <rPr>
        <sz val="10"/>
        <rFont val="Arial"/>
        <family val="0"/>
        <charset val="1"/>
      </rPr>
      <t xml:space="preserve">60</t>
    </r>
    <r>
      <rPr>
        <sz val="10"/>
        <rFont val="Noto Sans CJK SC"/>
        <family val="2"/>
      </rPr>
      <t xml:space="preserve">公分以上</t>
    </r>
  </si>
  <si>
    <t xml:space="preserve">大表前應保有管徑</t>
  </si>
  <si>
    <r>
      <rPr>
        <sz val="10"/>
        <rFont val="Arial"/>
        <family val="0"/>
        <charset val="1"/>
      </rPr>
      <t xml:space="preserve">2</t>
    </r>
    <r>
      <rPr>
        <sz val="10"/>
        <rFont val="Noto Sans CJK SC"/>
        <family val="2"/>
      </rPr>
      <t xml:space="preserve">倍及</t>
    </r>
    <r>
      <rPr>
        <sz val="10"/>
        <rFont val="Arial"/>
        <family val="0"/>
        <charset val="1"/>
      </rPr>
      <t xml:space="preserve">1</t>
    </r>
    <r>
      <rPr>
        <sz val="10"/>
        <rFont val="Noto Sans CJK SC"/>
        <family val="2"/>
      </rPr>
      <t xml:space="preserve">倍</t>
    </r>
  </si>
  <si>
    <r>
      <rPr>
        <sz val="10"/>
        <rFont val="Arial"/>
        <family val="0"/>
        <charset val="1"/>
      </rPr>
      <t xml:space="preserve">3</t>
    </r>
    <r>
      <rPr>
        <sz val="10"/>
        <rFont val="Noto Sans CJK SC"/>
        <family val="2"/>
      </rPr>
      <t xml:space="preserve">倍及</t>
    </r>
    <r>
      <rPr>
        <sz val="10"/>
        <rFont val="Arial"/>
        <family val="0"/>
        <charset val="1"/>
      </rPr>
      <t xml:space="preserve">2</t>
    </r>
    <r>
      <rPr>
        <sz val="10"/>
        <rFont val="Noto Sans CJK SC"/>
        <family val="2"/>
      </rPr>
      <t xml:space="preserve">倍</t>
    </r>
  </si>
  <si>
    <r>
      <rPr>
        <sz val="10"/>
        <rFont val="Arial"/>
        <family val="0"/>
        <charset val="1"/>
      </rPr>
      <t xml:space="preserve">7</t>
    </r>
    <r>
      <rPr>
        <sz val="10"/>
        <rFont val="Noto Sans CJK SC"/>
        <family val="2"/>
      </rPr>
      <t xml:space="preserve">倍及</t>
    </r>
    <r>
      <rPr>
        <sz val="10"/>
        <rFont val="Arial"/>
        <family val="0"/>
        <charset val="1"/>
      </rPr>
      <t xml:space="preserve">3</t>
    </r>
    <r>
      <rPr>
        <sz val="10"/>
        <rFont val="Noto Sans CJK SC"/>
        <family val="2"/>
      </rPr>
      <t xml:space="preserve">倍</t>
    </r>
  </si>
  <si>
    <r>
      <rPr>
        <sz val="10"/>
        <rFont val="Arial"/>
        <family val="0"/>
        <charset val="1"/>
      </rPr>
      <t xml:space="preserve">5</t>
    </r>
    <r>
      <rPr>
        <sz val="10"/>
        <rFont val="Noto Sans CJK SC"/>
        <family val="2"/>
      </rPr>
      <t xml:space="preserve">倍以上之水平直線段管線</t>
    </r>
  </si>
  <si>
    <t xml:space="preserve">下水道污水管渠管材為塑膠類管者，應為</t>
  </si>
  <si>
    <t xml:space="preserve">黃色</t>
  </si>
  <si>
    <t xml:space="preserve">橘紅色</t>
  </si>
  <si>
    <t xml:space="preserve">銀色</t>
  </si>
  <si>
    <t xml:space="preserve">大表前後應保有管徑5倍及3倍以上之水平直線段管線，水表底部距地面應有</t>
  </si>
  <si>
    <r>
      <rPr>
        <sz val="10"/>
        <rFont val="Arial"/>
        <family val="0"/>
        <charset val="1"/>
      </rPr>
      <t xml:space="preserve">15</t>
    </r>
    <r>
      <rPr>
        <sz val="10"/>
        <rFont val="Noto Sans CJK SC"/>
        <family val="2"/>
      </rPr>
      <t xml:space="preserve">公分以上高度</t>
    </r>
  </si>
  <si>
    <t xml:space="preserve">依據臺北自來水事業處用戶表位設置原則，分表設置：設置於屋頂突出物牆面或距女兒牆</t>
  </si>
  <si>
    <r>
      <rPr>
        <sz val="10"/>
        <rFont val="Arial"/>
        <family val="0"/>
        <charset val="1"/>
      </rPr>
      <t xml:space="preserve">120</t>
    </r>
    <r>
      <rPr>
        <sz val="10"/>
        <rFont val="Noto Sans CJK SC"/>
        <family val="2"/>
      </rPr>
      <t xml:space="preserve">公分以上之適當地點設水表牆裝置分表</t>
    </r>
  </si>
  <si>
    <t xml:space="preserve">依據臺北自來水事業處用戶表位設置原則，分表設置：分表得採立式或平面式設置，水表牆與水表牆淨間距</t>
  </si>
  <si>
    <r>
      <rPr>
        <sz val="10"/>
        <rFont val="Arial"/>
        <family val="0"/>
        <charset val="1"/>
      </rPr>
      <t xml:space="preserve">120</t>
    </r>
    <r>
      <rPr>
        <sz val="10"/>
        <rFont val="Noto Sans CJK SC"/>
        <family val="2"/>
      </rPr>
      <t xml:space="preserve">公分以上</t>
    </r>
  </si>
  <si>
    <t xml:space="preserve">依據臺北自來水事業處用戶表位設置原則，分表設置：設置立式表位之水表固定架時，應注意各水表(中、小表)的垂直距離不得小於</t>
  </si>
  <si>
    <r>
      <rPr>
        <sz val="10"/>
        <rFont val="Arial"/>
        <family val="0"/>
        <charset val="1"/>
      </rPr>
      <t xml:space="preserve">35</t>
    </r>
    <r>
      <rPr>
        <sz val="10"/>
        <rFont val="Noto Sans CJK SC"/>
        <family val="2"/>
      </rPr>
      <t xml:space="preserve">公分</t>
    </r>
  </si>
  <si>
    <t xml:space="preserve">依據臺北自來水事業處用戶表位設置原則，分表設置：水表前後由令中心點，距離牆面不得小於</t>
  </si>
  <si>
    <t xml:space="preserve">污水管渠之位置於建築基地內，埋設覆土深度規定為</t>
  </si>
  <si>
    <r>
      <rPr>
        <sz val="10"/>
        <rFont val="Arial"/>
        <family val="0"/>
        <charset val="1"/>
      </rPr>
      <t xml:space="preserve">75</t>
    </r>
    <r>
      <rPr>
        <sz val="10"/>
        <rFont val="Noto Sans CJK SC"/>
        <family val="2"/>
      </rPr>
      <t xml:space="preserve">公分以上</t>
    </r>
  </si>
  <si>
    <t xml:space="preserve">污水管渠之位置於後巷或側巷，埋設覆土深度規定為</t>
  </si>
  <si>
    <t xml:space="preserve">建築材料、設備與工程之查驗及試驗結果，應達本規則要求；如引用新穎之建築技術、新工法或建築設備，適用本規則確有困難者，或尚無本規則及中華民國國家標準適用之特殊或國外進口材料及設備者，應檢具申請書、試驗報告書及性能規格評定書，向</t>
  </si>
  <si>
    <t xml:space="preserve">勞動部</t>
  </si>
  <si>
    <t xml:space="preserve">中央建築主管機關 申請認可後，始得運用於建築物</t>
  </si>
  <si>
    <t xml:space="preserve">各類建築物使用之給排水衛生設備，包括</t>
  </si>
  <si>
    <t xml:space="preserve">給水設備</t>
  </si>
  <si>
    <t xml:space="preserve">排水設備</t>
  </si>
  <si>
    <t xml:space="preserve">污水處理設施</t>
  </si>
  <si>
    <t xml:space="preserve">消防設備以上何者為非</t>
  </si>
  <si>
    <t xml:space="preserve">離心(渦卷)式水泵在性能上應能符合出水壓力自無流量至設計流量，所產生之變化，應為漸次降低，出水口全閉時，水壓應能高過設計流量壓力之110%，但不超過</t>
  </si>
  <si>
    <t xml:space="preserve">120%</t>
  </si>
  <si>
    <t xml:space="preserve">140%</t>
  </si>
  <si>
    <t xml:space="preserve">150%</t>
  </si>
  <si>
    <t xml:space="preserve">污水泵之驅動馬達為鑄鐵外殼，為</t>
  </si>
  <si>
    <r>
      <rPr>
        <sz val="10"/>
        <rFont val="Arial"/>
        <family val="0"/>
        <charset val="1"/>
      </rPr>
      <t xml:space="preserve">Y</t>
    </r>
    <r>
      <rPr>
        <sz val="10"/>
        <rFont val="Noto Sans CJK SC"/>
        <family val="2"/>
      </rPr>
      <t xml:space="preserve">級</t>
    </r>
  </si>
  <si>
    <r>
      <rPr>
        <sz val="10"/>
        <rFont val="Arial"/>
        <family val="0"/>
        <charset val="1"/>
      </rPr>
      <t xml:space="preserve">A</t>
    </r>
    <r>
      <rPr>
        <sz val="10"/>
        <rFont val="Noto Sans CJK SC"/>
        <family val="2"/>
      </rPr>
      <t xml:space="preserve">級</t>
    </r>
  </si>
  <si>
    <r>
      <rPr>
        <sz val="10"/>
        <rFont val="Arial"/>
        <family val="0"/>
        <charset val="1"/>
      </rPr>
      <t xml:space="preserve">E</t>
    </r>
    <r>
      <rPr>
        <sz val="10"/>
        <rFont val="Noto Sans CJK SC"/>
        <family val="2"/>
      </rPr>
      <t xml:space="preserve">級</t>
    </r>
  </si>
  <si>
    <r>
      <rPr>
        <sz val="10"/>
        <rFont val="Arial"/>
        <family val="0"/>
        <charset val="1"/>
      </rPr>
      <t xml:space="preserve">F</t>
    </r>
    <r>
      <rPr>
        <sz val="10"/>
        <rFont val="Noto Sans CJK SC"/>
        <family val="2"/>
      </rPr>
      <t xml:space="preserve">級以上之絕緣</t>
    </r>
  </si>
  <si>
    <t xml:space="preserve">建築物排水管之橫支管及橫主管管徑小於75㎜(包括75㎜)時，其坡度不得小於</t>
  </si>
  <si>
    <t xml:space="preserve">1/200</t>
  </si>
  <si>
    <t xml:space="preserve">1/100</t>
  </si>
  <si>
    <t xml:space="preserve">1/50</t>
  </si>
  <si>
    <t xml:space="preserve">1/150</t>
  </si>
  <si>
    <t xml:space="preserve">建築物排水管之橫支管及橫主管管徑超過75㎜時，坡度不得小於</t>
  </si>
  <si>
    <t xml:space="preserve">伸頂通氣方式係將下列何種管線末端直接向大氣開放？</t>
  </si>
  <si>
    <t xml:space="preserve">個別通氣管</t>
  </si>
  <si>
    <t xml:space="preserve">環狀(回路)通氣管</t>
  </si>
  <si>
    <t xml:space="preserve">通氣立管</t>
  </si>
  <si>
    <t xml:space="preserve">排水立管</t>
  </si>
  <si>
    <t xml:space="preserve">為保存設備器具存水彎水封而設置之通氣方式計有</t>
  </si>
  <si>
    <t xml:space="preserve">個別通氣</t>
  </si>
  <si>
    <t xml:space="preserve">環狀通氣</t>
  </si>
  <si>
    <t xml:space="preserve">伸頂通氣</t>
  </si>
  <si>
    <t xml:space="preserve">建築物排水通氣系統設備之功能，以順利排除建築物內之所有污水及雜排水為主，排水通氣系統設備之構成，包括</t>
  </si>
  <si>
    <t xml:space="preserve">排水口</t>
  </si>
  <si>
    <t xml:space="preserve">存水彎</t>
  </si>
  <si>
    <t xml:space="preserve">通氣管</t>
  </si>
  <si>
    <t xml:space="preserve">閘閥等共同組成，何者為非？</t>
  </si>
  <si>
    <t xml:space="preserve">指各個器具的存水彎各自豎立通氣管之方式，為通氣方式中，功能較為完全之方式，對於要求排水功能順暢之建築物，或衛生器具使用率較高之建築物，可採取此種通氣方式</t>
  </si>
  <si>
    <t xml:space="preserve">共同通氣管</t>
  </si>
  <si>
    <t xml:space="preserve">指通氣管由距離通氣立管最遠端器具與次遠端器具間之排水橫支管，豎接通氣立管或伸頂通氣管，連接八個以上的衛生器具，或連接三個以上大便器時，建議可採此種通氣方式</t>
  </si>
  <si>
    <t xml:space="preserve">通氣方式除了個別通氣方式與環狀通氣方式外，於小型規模建築物，或樓層數較少的建築物內，排水立管末端直接向大氣開放，而未單獨設置通氣立管之方式，稱為</t>
  </si>
  <si>
    <t xml:space="preserve">個別通氣方式</t>
  </si>
  <si>
    <t xml:space="preserve">環狀通氣方式</t>
  </si>
  <si>
    <t xml:space="preserve">伸頂通氣方式</t>
  </si>
  <si>
    <t xml:space="preserve">共同通氣管方式</t>
  </si>
  <si>
    <t xml:space="preserve">依建築設計施工編第247條，高層建築物各種配管管材均應以</t>
  </si>
  <si>
    <t xml:space="preserve">不燃</t>
  </si>
  <si>
    <t xml:space="preserve">PVC</t>
  </si>
  <si>
    <t xml:space="preserve">PE</t>
  </si>
  <si>
    <r>
      <rPr>
        <sz val="10"/>
        <rFont val="Arial"/>
        <family val="0"/>
        <charset val="1"/>
      </rPr>
      <t xml:space="preserve">PB </t>
    </r>
    <r>
      <rPr>
        <sz val="10"/>
        <rFont val="Noto Sans CJK SC"/>
        <family val="2"/>
      </rPr>
      <t xml:space="preserve">材料製成包覆</t>
    </r>
  </si>
  <si>
    <t xml:space="preserve">通氣支管與通氣主管之接頭處，應高出最高溢水面多少公分？</t>
  </si>
  <si>
    <r>
      <rPr>
        <sz val="10"/>
        <rFont val="Arial"/>
        <family val="0"/>
        <charset val="1"/>
      </rPr>
      <t xml:space="preserve">5</t>
    </r>
    <r>
      <rPr>
        <sz val="10"/>
        <rFont val="Noto Sans CJK SC"/>
        <family val="2"/>
      </rPr>
      <t xml:space="preserve">公分</t>
    </r>
  </si>
  <si>
    <r>
      <rPr>
        <sz val="10"/>
        <rFont val="Arial"/>
        <family val="0"/>
        <charset val="1"/>
      </rPr>
      <t xml:space="preserve">8</t>
    </r>
    <r>
      <rPr>
        <sz val="10"/>
        <rFont val="Noto Sans CJK SC"/>
        <family val="2"/>
      </rPr>
      <t xml:space="preserve">公分</t>
    </r>
  </si>
  <si>
    <r>
      <rPr>
        <sz val="10"/>
        <rFont val="Arial"/>
        <family val="0"/>
        <charset val="1"/>
      </rPr>
      <t xml:space="preserve">15</t>
    </r>
    <r>
      <rPr>
        <sz val="10"/>
        <rFont val="Noto Sans CJK SC"/>
        <family val="2"/>
      </rPr>
      <t xml:space="preserve">公分</t>
    </r>
  </si>
  <si>
    <t xml:space="preserve">貫穿屋頂之通氣管，應伸出屋面</t>
  </si>
  <si>
    <r>
      <rPr>
        <sz val="10"/>
        <rFont val="Arial"/>
        <family val="0"/>
        <charset val="1"/>
      </rPr>
      <t xml:space="preserve">7.5</t>
    </r>
    <r>
      <rPr>
        <sz val="10"/>
        <rFont val="Noto Sans CJK SC"/>
        <family val="2"/>
      </rPr>
      <t xml:space="preserve">公分</t>
    </r>
  </si>
  <si>
    <r>
      <rPr>
        <sz val="10"/>
        <rFont val="Arial"/>
        <family val="0"/>
        <charset val="1"/>
      </rPr>
      <t xml:space="preserve">15</t>
    </r>
    <r>
      <rPr>
        <sz val="10"/>
        <rFont val="Noto Sans CJK SC"/>
        <family val="2"/>
      </rPr>
      <t xml:space="preserve">公分以上，向大氣開放</t>
    </r>
  </si>
  <si>
    <t xml:space="preserve">每一衛生設備之存水彎皆須接裝個別通氣管，個別通氣管管徑不得小於排水管徑之</t>
  </si>
  <si>
    <t xml:space="preserve">1/5</t>
  </si>
  <si>
    <t xml:space="preserve">每一衛生設備之存水彎皆須接裝個別通氣管，個別通氣管管徑不得小於</t>
  </si>
  <si>
    <t xml:space="preserve">19</t>
  </si>
  <si>
    <r>
      <rPr>
        <sz val="10"/>
        <rFont val="Arial"/>
        <family val="0"/>
        <charset val="1"/>
      </rPr>
      <t xml:space="preserve">25</t>
    </r>
    <r>
      <rPr>
        <sz val="10"/>
        <rFont val="Noto Sans CJK SC"/>
        <family val="2"/>
      </rPr>
      <t xml:space="preserve">㎜</t>
    </r>
  </si>
  <si>
    <t xml:space="preserve">通氣管，應在橫向排水管中心線上部，與垂直線成</t>
  </si>
  <si>
    <r>
      <rPr>
        <sz val="10"/>
        <rFont val="Arial"/>
        <family val="0"/>
        <charset val="1"/>
      </rPr>
      <t xml:space="preserve">180</t>
    </r>
    <r>
      <rPr>
        <sz val="10"/>
        <rFont val="Noto Sans CJK SC"/>
        <family val="2"/>
      </rPr>
      <t xml:space="preserve">度</t>
    </r>
  </si>
  <si>
    <r>
      <rPr>
        <sz val="10"/>
        <rFont val="Arial"/>
        <family val="0"/>
        <charset val="1"/>
      </rPr>
      <t xml:space="preserve">120</t>
    </r>
    <r>
      <rPr>
        <sz val="10"/>
        <rFont val="Noto Sans CJK SC"/>
        <family val="2"/>
      </rPr>
      <t xml:space="preserve">度</t>
    </r>
  </si>
  <si>
    <r>
      <rPr>
        <sz val="10"/>
        <rFont val="Arial"/>
        <family val="0"/>
        <charset val="1"/>
      </rPr>
      <t xml:space="preserve">45</t>
    </r>
    <r>
      <rPr>
        <sz val="10"/>
        <rFont val="Noto Sans CJK SC"/>
        <family val="2"/>
      </rPr>
      <t xml:space="preserve">度之角度以內接出</t>
    </r>
  </si>
  <si>
    <t xml:space="preserve">屋頂供遊憩或作為庭園、運動場、曬物場等用途時，主通氣管伸出屋面高度不得小於</t>
  </si>
  <si>
    <r>
      <rPr>
        <sz val="10"/>
        <rFont val="Arial"/>
        <family val="0"/>
        <charset val="1"/>
      </rPr>
      <t xml:space="preserve">15</t>
    </r>
    <r>
      <rPr>
        <sz val="10"/>
        <rFont val="Noto Sans CJK SC"/>
        <family val="2"/>
      </rPr>
      <t xml:space="preserve">㎝</t>
    </r>
  </si>
  <si>
    <t xml:space="preserve">1m</t>
  </si>
  <si>
    <t xml:space="preserve">個別通氣管管徑不得小於排水管徑之二分之一，且不得小於多少尺寸？</t>
  </si>
  <si>
    <r>
      <rPr>
        <sz val="10"/>
        <rFont val="Arial"/>
        <family val="0"/>
        <charset val="1"/>
      </rPr>
      <t xml:space="preserve">10</t>
    </r>
    <r>
      <rPr>
        <sz val="10"/>
        <rFont val="Noto Sans CJK SC"/>
        <family val="2"/>
      </rPr>
      <t xml:space="preserve">㎜</t>
    </r>
  </si>
  <si>
    <r>
      <rPr>
        <sz val="10"/>
        <rFont val="Arial"/>
        <family val="0"/>
        <charset val="1"/>
      </rPr>
      <t xml:space="preserve">15</t>
    </r>
    <r>
      <rPr>
        <sz val="10"/>
        <rFont val="Noto Sans CJK SC"/>
        <family val="2"/>
      </rPr>
      <t xml:space="preserve">㎜</t>
    </r>
  </si>
  <si>
    <r>
      <rPr>
        <sz val="10"/>
        <rFont val="Arial"/>
        <family val="0"/>
        <charset val="1"/>
      </rPr>
      <t xml:space="preserve">20</t>
    </r>
    <r>
      <rPr>
        <sz val="10"/>
        <rFont val="Noto Sans CJK SC"/>
        <family val="2"/>
      </rPr>
      <t xml:space="preserve">㎜</t>
    </r>
  </si>
  <si>
    <r>
      <rPr>
        <sz val="10"/>
        <rFont val="Arial"/>
        <family val="0"/>
        <charset val="1"/>
      </rPr>
      <t xml:space="preserve">30</t>
    </r>
    <r>
      <rPr>
        <sz val="10"/>
        <rFont val="Noto Sans CJK SC"/>
        <family val="2"/>
      </rPr>
      <t xml:space="preserve">㎜</t>
    </r>
  </si>
  <si>
    <t xml:space="preserve">排水立管連接10支以上之排水支管時，應從頂層算起，每</t>
  </si>
  <si>
    <t xml:space="preserve">12</t>
  </si>
  <si>
    <r>
      <rPr>
        <sz val="10"/>
        <rFont val="Arial"/>
        <family val="0"/>
        <charset val="1"/>
      </rPr>
      <t xml:space="preserve">20</t>
    </r>
    <r>
      <rPr>
        <sz val="10"/>
        <rFont val="Noto Sans CJK SC"/>
        <family val="2"/>
      </rPr>
      <t xml:space="preserve">個支管處，須設置結合通氣管，結合通氣管之下端應在排水支管之下連接排水立管</t>
    </r>
  </si>
  <si>
    <t xml:space="preserve">結合通氣管之上端連接通氣立管，須位於地板面</t>
  </si>
  <si>
    <r>
      <rPr>
        <sz val="10"/>
        <rFont val="Arial"/>
        <family val="0"/>
        <charset val="1"/>
      </rPr>
      <t xml:space="preserve">90</t>
    </r>
    <r>
      <rPr>
        <sz val="10"/>
        <rFont val="Noto Sans CJK SC"/>
        <family val="2"/>
      </rPr>
      <t xml:space="preserve">㎝以上結合通氣管之管徑應與通氣立管管徑相同</t>
    </r>
  </si>
  <si>
    <t xml:space="preserve">吸氣閥裝設位置，必須位於最高排水器具溢水面</t>
  </si>
  <si>
    <r>
      <rPr>
        <sz val="10"/>
        <rFont val="Arial"/>
        <family val="0"/>
        <charset val="1"/>
      </rPr>
      <t xml:space="preserve">150</t>
    </r>
    <r>
      <rPr>
        <sz val="10"/>
        <rFont val="Noto Sans CJK SC"/>
        <family val="2"/>
      </rPr>
      <t xml:space="preserve">㎜</t>
    </r>
  </si>
  <si>
    <r>
      <rPr>
        <sz val="10"/>
        <rFont val="Arial"/>
        <family val="0"/>
        <charset val="1"/>
      </rPr>
      <t xml:space="preserve">120</t>
    </r>
    <r>
      <rPr>
        <sz val="10"/>
        <rFont val="Noto Sans CJK SC"/>
        <family val="2"/>
      </rPr>
      <t xml:space="preserve">㎜</t>
    </r>
  </si>
  <si>
    <r>
      <rPr>
        <sz val="10"/>
        <rFont val="Arial"/>
        <family val="0"/>
        <charset val="1"/>
      </rPr>
      <t xml:space="preserve">100</t>
    </r>
    <r>
      <rPr>
        <sz val="10"/>
        <rFont val="Noto Sans CJK SC"/>
        <family val="2"/>
      </rPr>
      <t xml:space="preserve">㎜</t>
    </r>
  </si>
  <si>
    <r>
      <rPr>
        <sz val="10"/>
        <rFont val="Arial"/>
        <family val="0"/>
        <charset val="1"/>
      </rPr>
      <t xml:space="preserve">90</t>
    </r>
    <r>
      <rPr>
        <sz val="10"/>
        <rFont val="Noto Sans CJK SC"/>
        <family val="2"/>
      </rPr>
      <t xml:space="preserve">㎜以上，設有逆流防止裝置者不在此限</t>
    </r>
  </si>
  <si>
    <t xml:space="preserve">係使用於二個以上之排水器具使用之通氣管，在同一樓層有多數個排水器具並列時，施工上為了簡化配管同時也兼顧通氣性能，常用</t>
  </si>
  <si>
    <t xml:space="preserve">環狀通氣管</t>
  </si>
  <si>
    <t xml:space="preserve">伸頂通氣管</t>
  </si>
  <si>
    <t xml:space="preserve">緩沖通氣管方式</t>
  </si>
  <si>
    <t xml:space="preserve">由於排水橫支管長度較大，在二個以上之器具同時排水的情況下，往往容易造成管內排水不順暢之情形。因此在採用環狀通氣管的情況下，一般加設</t>
  </si>
  <si>
    <t xml:space="preserve">緩沖通氣管可以提高排水通氣之性能</t>
  </si>
  <si>
    <t xml:space="preserve">設置</t>
  </si>
  <si>
    <t xml:space="preserve">逆止閥</t>
  </si>
  <si>
    <t xml:space="preserve">底閥</t>
  </si>
  <si>
    <t xml:space="preserve">吸氣閥</t>
  </si>
  <si>
    <t xml:space="preserve">減壓閥裝置時，仍必須考慮正壓破封之防止對策，適當配置緩和排水管內壓力變化之通氣系統</t>
  </si>
  <si>
    <t xml:space="preserve">在排水系統中裝設</t>
  </si>
  <si>
    <t xml:space="preserve">減壓閥裝置，具有緩和排水管內負壓之功能，並且在排水管內產生正壓現象時，自動反應密閉效果，適合裝置於排水管路經常性發生負壓之部位</t>
  </si>
  <si>
    <t xml:space="preserve">一般壁掛式洗手臺之存水彎設置，設備落水口至存水彎堰口之垂直距離，不得大於</t>
  </si>
  <si>
    <r>
      <rPr>
        <sz val="10"/>
        <rFont val="Arial"/>
        <family val="0"/>
        <charset val="1"/>
      </rPr>
      <t xml:space="preserve">100</t>
    </r>
    <r>
      <rPr>
        <sz val="10"/>
        <rFont val="Noto Sans CJK SC"/>
        <family val="2"/>
      </rPr>
      <t xml:space="preserve">公分</t>
    </r>
  </si>
  <si>
    <t xml:space="preserve">衛生設備應裝設封水存水彎，再與排水管連接，且可確保存水彎能克服因</t>
  </si>
  <si>
    <t xml:space="preserve">自發性虹吸作用</t>
  </si>
  <si>
    <t xml:space="preserve">誘導虹吸作用</t>
  </si>
  <si>
    <t xml:space="preserve">背壓作用</t>
  </si>
  <si>
    <t xml:space="preserve">以上皆是而破壞水封的現象</t>
  </si>
  <si>
    <t xml:space="preserve">存水彎裝置封水深度原則上不得小於5㎝，並不得大於</t>
  </si>
  <si>
    <r>
      <rPr>
        <sz val="10"/>
        <rFont val="Arial"/>
        <family val="0"/>
        <charset val="1"/>
      </rPr>
      <t xml:space="preserve">12</t>
    </r>
    <r>
      <rPr>
        <sz val="10"/>
        <rFont val="Noto Sans CJK SC"/>
        <family val="2"/>
      </rPr>
      <t xml:space="preserve">㎝</t>
    </r>
  </si>
  <si>
    <t xml:space="preserve">建築物內排水系統應於適當位置設置清潔口，管徑100公釐以下之排水橫管，清潔口間距不得超過</t>
  </si>
  <si>
    <r>
      <rPr>
        <sz val="10"/>
        <rFont val="Arial"/>
        <family val="0"/>
        <charset val="1"/>
      </rPr>
      <t xml:space="preserve">15</t>
    </r>
    <r>
      <rPr>
        <sz val="10"/>
        <rFont val="Noto Sans CJK SC"/>
        <family val="2"/>
      </rPr>
      <t xml:space="preserve">公尺</t>
    </r>
  </si>
  <si>
    <t xml:space="preserve">建築物內排水系統應於適當位置設置清潔口，管徑125㎜以上者，不得超過多少？</t>
  </si>
  <si>
    <t xml:space="preserve">30m</t>
  </si>
  <si>
    <t xml:space="preserve">35m</t>
  </si>
  <si>
    <t xml:space="preserve">40m</t>
  </si>
  <si>
    <t xml:space="preserve">45m</t>
  </si>
  <si>
    <t xml:space="preserve">清潔口口徑大於75㎜(包括75㎜)者，其周圍應保留</t>
  </si>
  <si>
    <r>
      <rPr>
        <sz val="10"/>
        <rFont val="Arial"/>
        <family val="0"/>
        <charset val="1"/>
      </rPr>
      <t xml:space="preserve">20</t>
    </r>
    <r>
      <rPr>
        <sz val="10"/>
        <rFont val="Noto Sans CJK SC"/>
        <family val="2"/>
      </rPr>
      <t xml:space="preserve">公分以上之空間</t>
    </r>
  </si>
  <si>
    <t xml:space="preserve">清潔口口徑小於75公釐者，其周圍應保留</t>
  </si>
  <si>
    <r>
      <rPr>
        <sz val="10"/>
        <rFont val="Arial"/>
        <family val="0"/>
        <charset val="1"/>
      </rPr>
      <t xml:space="preserve">25</t>
    </r>
    <r>
      <rPr>
        <sz val="10"/>
        <rFont val="Noto Sans CJK SC"/>
        <family val="2"/>
      </rPr>
      <t xml:space="preserve">公分上之空間</t>
    </r>
  </si>
  <si>
    <t xml:space="preserve">建築物內排水系統應於適當位置設置下列何者？</t>
  </si>
  <si>
    <t xml:space="preserve">陰井</t>
  </si>
  <si>
    <t xml:space="preserve">清潔口</t>
  </si>
  <si>
    <t xml:space="preserve">地板落水口</t>
  </si>
  <si>
    <t xml:space="preserve">管塞</t>
  </si>
  <si>
    <t xml:space="preserve">地面下排水橫管管徑大於300公釐時，每</t>
  </si>
  <si>
    <r>
      <rPr>
        <sz val="10"/>
        <rFont val="Arial"/>
        <family val="0"/>
        <charset val="1"/>
      </rPr>
      <t xml:space="preserve">60</t>
    </r>
    <r>
      <rPr>
        <sz val="10"/>
        <rFont val="Noto Sans CJK SC"/>
        <family val="2"/>
      </rPr>
      <t xml:space="preserve">公尺或管路做</t>
    </r>
    <r>
      <rPr>
        <sz val="10"/>
        <rFont val="Arial"/>
        <family val="0"/>
        <charset val="1"/>
      </rPr>
      <t xml:space="preserve">90°</t>
    </r>
    <r>
      <rPr>
        <sz val="10"/>
        <rFont val="Noto Sans CJK SC"/>
        <family val="2"/>
      </rPr>
      <t xml:space="preserve">轉向處，應設置陰井代替清潔口</t>
    </r>
  </si>
  <si>
    <t xml:space="preserve">建築物內排水系統應於適當位置設置清潔口，管徑</t>
  </si>
  <si>
    <r>
      <rPr>
        <sz val="10"/>
        <rFont val="Arial"/>
        <family val="0"/>
        <charset val="1"/>
      </rPr>
      <t xml:space="preserve">125</t>
    </r>
    <r>
      <rPr>
        <sz val="10"/>
        <rFont val="Noto Sans CJK SC"/>
        <family val="2"/>
      </rPr>
      <t xml:space="preserve">公釐以下之排水橫管，清潔口間距不得超過</t>
    </r>
    <r>
      <rPr>
        <sz val="10"/>
        <rFont val="Arial"/>
        <family val="0"/>
        <charset val="1"/>
      </rPr>
      <t xml:space="preserve">15</t>
    </r>
    <r>
      <rPr>
        <sz val="10"/>
        <rFont val="Noto Sans CJK SC"/>
        <family val="2"/>
      </rPr>
      <t xml:space="preserve">公尺</t>
    </r>
  </si>
  <si>
    <r>
      <rPr>
        <sz val="10"/>
        <rFont val="Arial"/>
        <family val="0"/>
        <charset val="1"/>
      </rPr>
      <t xml:space="preserve">125</t>
    </r>
    <r>
      <rPr>
        <sz val="10"/>
        <rFont val="Noto Sans CJK SC"/>
        <family val="2"/>
      </rPr>
      <t xml:space="preserve">公釐以上之排水橫管，清潔口間距不得超過</t>
    </r>
    <r>
      <rPr>
        <sz val="10"/>
        <rFont val="Arial"/>
        <family val="0"/>
        <charset val="1"/>
      </rPr>
      <t xml:space="preserve">30</t>
    </r>
    <r>
      <rPr>
        <sz val="10"/>
        <rFont val="Noto Sans CJK SC"/>
        <family val="2"/>
      </rPr>
      <t xml:space="preserve">公尺</t>
    </r>
  </si>
  <si>
    <t xml:space="preserve">排水立管底端及管路轉向角度大於45°處，均應符合規定裝設</t>
  </si>
  <si>
    <t xml:space="preserve">排水立管底端及管路轉向角度大於</t>
  </si>
  <si>
    <t xml:space="preserve">15°</t>
  </si>
  <si>
    <t xml:space="preserve">35°</t>
  </si>
  <si>
    <t xml:space="preserve">45°</t>
  </si>
  <si>
    <r>
      <rPr>
        <sz val="10"/>
        <rFont val="Arial"/>
        <family val="0"/>
        <charset val="1"/>
      </rPr>
      <t xml:space="preserve">90°</t>
    </r>
    <r>
      <rPr>
        <sz val="10"/>
        <rFont val="Noto Sans CJK SC"/>
        <family val="2"/>
      </rPr>
      <t xml:space="preserve">處，應符合規定裝設清潔口</t>
    </r>
  </si>
  <si>
    <t xml:space="preserve">清潔口口徑大於</t>
  </si>
  <si>
    <r>
      <rPr>
        <sz val="10"/>
        <rFont val="Arial"/>
        <family val="0"/>
        <charset val="1"/>
      </rPr>
      <t xml:space="preserve">125</t>
    </r>
    <r>
      <rPr>
        <sz val="10"/>
        <rFont val="Noto Sans CJK SC"/>
        <family val="2"/>
      </rPr>
      <t xml:space="preserve">公釐者，其周圍應保留</t>
    </r>
    <r>
      <rPr>
        <sz val="10"/>
        <rFont val="Arial"/>
        <family val="0"/>
        <charset val="1"/>
      </rPr>
      <t xml:space="preserve">45</t>
    </r>
    <r>
      <rPr>
        <sz val="10"/>
        <rFont val="Noto Sans CJK SC"/>
        <family val="2"/>
      </rPr>
      <t xml:space="preserve">公分以上之空間</t>
    </r>
  </si>
  <si>
    <t xml:space="preserve">清潔口口徑小於</t>
  </si>
  <si>
    <r>
      <rPr>
        <sz val="10"/>
        <rFont val="Arial"/>
        <family val="0"/>
        <charset val="1"/>
      </rPr>
      <t xml:space="preserve">125</t>
    </r>
    <r>
      <rPr>
        <sz val="10"/>
        <rFont val="Noto Sans CJK SC"/>
        <family val="2"/>
      </rPr>
      <t xml:space="preserve">公釐者，其周圍應保留</t>
    </r>
    <r>
      <rPr>
        <sz val="10"/>
        <rFont val="Arial"/>
        <family val="0"/>
        <charset val="1"/>
      </rPr>
      <t xml:space="preserve">30</t>
    </r>
    <r>
      <rPr>
        <sz val="10"/>
        <rFont val="Noto Sans CJK SC"/>
        <family val="2"/>
      </rPr>
      <t xml:space="preserve">公分上之空間</t>
    </r>
  </si>
  <si>
    <t xml:space="preserve">排水橫管清潔口之安裝間隔，於排水管管徑100公釐以內，應小於</t>
  </si>
  <si>
    <r>
      <rPr>
        <sz val="10"/>
        <rFont val="Arial"/>
        <family val="0"/>
        <charset val="1"/>
      </rPr>
      <t xml:space="preserve">25</t>
    </r>
    <r>
      <rPr>
        <sz val="10"/>
        <rFont val="Noto Sans CJK SC"/>
        <family val="2"/>
      </rPr>
      <t xml:space="preserve">公尺以內，超過</t>
    </r>
    <r>
      <rPr>
        <sz val="10"/>
        <rFont val="Arial"/>
        <family val="0"/>
        <charset val="1"/>
      </rPr>
      <t xml:space="preserve">100</t>
    </r>
    <r>
      <rPr>
        <sz val="10"/>
        <rFont val="Noto Sans CJK SC"/>
        <family val="2"/>
      </rPr>
      <t xml:space="preserve">公釐以上時，應小於</t>
    </r>
    <r>
      <rPr>
        <sz val="10"/>
        <rFont val="Arial"/>
        <family val="0"/>
        <charset val="1"/>
      </rPr>
      <t xml:space="preserve">30</t>
    </r>
    <r>
      <rPr>
        <sz val="10"/>
        <rFont val="Noto Sans CJK SC"/>
        <family val="2"/>
      </rPr>
      <t xml:space="preserve">公尺以內</t>
    </r>
  </si>
  <si>
    <t xml:space="preserve">排水橫管清潔口之安裝間隔，於排水管管徑100公釐以內，應小於15公尺以內，超過100公釐以上時，應小於</t>
  </si>
  <si>
    <r>
      <rPr>
        <sz val="10"/>
        <rFont val="Arial"/>
        <family val="0"/>
        <charset val="1"/>
      </rPr>
      <t xml:space="preserve">50</t>
    </r>
    <r>
      <rPr>
        <sz val="10"/>
        <rFont val="Noto Sans CJK SC"/>
        <family val="2"/>
      </rPr>
      <t xml:space="preserve">公尺以內</t>
    </r>
  </si>
  <si>
    <t xml:space="preserve">排水橫管清潔口之安裝間隔，於排水管管徑</t>
  </si>
  <si>
    <r>
      <rPr>
        <sz val="10"/>
        <rFont val="Arial"/>
        <family val="0"/>
        <charset val="1"/>
      </rPr>
      <t xml:space="preserve">125</t>
    </r>
    <r>
      <rPr>
        <sz val="10"/>
        <rFont val="Noto Sans CJK SC"/>
        <family val="2"/>
      </rPr>
      <t xml:space="preserve">公釐以內，應小於</t>
    </r>
    <r>
      <rPr>
        <sz val="10"/>
        <rFont val="Arial"/>
        <family val="0"/>
        <charset val="1"/>
      </rPr>
      <t xml:space="preserve">15</t>
    </r>
    <r>
      <rPr>
        <sz val="10"/>
        <rFont val="Noto Sans CJK SC"/>
        <family val="2"/>
      </rPr>
      <t xml:space="preserve">公尺以內</t>
    </r>
  </si>
  <si>
    <t xml:space="preserve">排水橫管清潔口之安裝間隔，於超過排水管管徑</t>
  </si>
  <si>
    <r>
      <rPr>
        <sz val="10"/>
        <rFont val="Arial"/>
        <family val="0"/>
        <charset val="1"/>
      </rPr>
      <t xml:space="preserve">125</t>
    </r>
    <r>
      <rPr>
        <sz val="10"/>
        <rFont val="Noto Sans CJK SC"/>
        <family val="2"/>
      </rPr>
      <t xml:space="preserve">公釐以上時，應小於</t>
    </r>
    <r>
      <rPr>
        <sz val="10"/>
        <rFont val="Arial"/>
        <family val="0"/>
        <charset val="1"/>
      </rPr>
      <t xml:space="preserve">30</t>
    </r>
    <r>
      <rPr>
        <sz val="10"/>
        <rFont val="Noto Sans CJK SC"/>
        <family val="2"/>
      </rPr>
      <t xml:space="preserve">公尺以內</t>
    </r>
  </si>
  <si>
    <t xml:space="preserve">排水管管徑100公釐以下者，清潔口口徑應與排水管之管徑相同。大於100公釐時，清潔口口徑不得小於</t>
  </si>
  <si>
    <r>
      <rPr>
        <sz val="10"/>
        <rFont val="Arial"/>
        <family val="0"/>
        <charset val="1"/>
      </rPr>
      <t xml:space="preserve">125</t>
    </r>
    <r>
      <rPr>
        <sz val="10"/>
        <rFont val="Noto Sans CJK SC"/>
        <family val="2"/>
      </rPr>
      <t xml:space="preserve">公釐</t>
    </r>
  </si>
  <si>
    <t xml:space="preserve">排水管管徑100公釐以下者，清潔口口徑</t>
  </si>
  <si>
    <t xml:space="preserve">不得小於50公釐</t>
  </si>
  <si>
    <t xml:space="preserve">不得小於75公釐</t>
  </si>
  <si>
    <t xml:space="preserve">不得小於100公釐</t>
  </si>
  <si>
    <t xml:space="preserve">應與排水管之管徑相同。大於100公釐時，清潔口口徑不得小於100公釐</t>
  </si>
  <si>
    <r>
      <rPr>
        <sz val="10"/>
        <rFont val="Arial"/>
        <family val="0"/>
        <charset val="1"/>
      </rPr>
      <t xml:space="preserve">55</t>
    </r>
    <r>
      <rPr>
        <sz val="10"/>
        <rFont val="Noto Sans CJK SC"/>
        <family val="2"/>
      </rPr>
      <t xml:space="preserve">公尺或管路做</t>
    </r>
    <r>
      <rPr>
        <sz val="10"/>
        <rFont val="Arial"/>
        <family val="0"/>
        <charset val="1"/>
      </rPr>
      <t xml:space="preserve">90°</t>
    </r>
    <r>
      <rPr>
        <sz val="10"/>
        <rFont val="Noto Sans CJK SC"/>
        <family val="2"/>
      </rPr>
      <t xml:space="preserve">轉向處，應設置陰井代替清潔口</t>
    </r>
  </si>
  <si>
    <t xml:space="preserve">地面下排水橫管管徑大於</t>
  </si>
  <si>
    <t xml:space="preserve">200</t>
  </si>
  <si>
    <r>
      <rPr>
        <sz val="10"/>
        <rFont val="Arial"/>
        <family val="0"/>
        <charset val="1"/>
      </rPr>
      <t xml:space="preserve">400</t>
    </r>
    <r>
      <rPr>
        <sz val="10"/>
        <rFont val="Noto Sans CJK SC"/>
        <family val="2"/>
      </rPr>
      <t xml:space="preserve">公釐時，每</t>
    </r>
    <r>
      <rPr>
        <sz val="10"/>
        <rFont val="Arial"/>
        <family val="0"/>
        <charset val="1"/>
      </rPr>
      <t xml:space="preserve">45</t>
    </r>
    <r>
      <rPr>
        <sz val="10"/>
        <rFont val="Noto Sans CJK SC"/>
        <family val="2"/>
      </rPr>
      <t xml:space="preserve">公尺或管路做</t>
    </r>
    <r>
      <rPr>
        <sz val="10"/>
        <rFont val="Arial"/>
        <family val="0"/>
        <charset val="1"/>
      </rPr>
      <t xml:space="preserve">90°</t>
    </r>
    <r>
      <rPr>
        <sz val="10"/>
        <rFont val="Noto Sans CJK SC"/>
        <family val="2"/>
      </rPr>
      <t xml:space="preserve">轉向處，應設置陰井代替清潔口</t>
    </r>
  </si>
  <si>
    <t xml:space="preserve">地面下排水橫管管徑大於300公釐時，每45公尺或管路做</t>
  </si>
  <si>
    <t xml:space="preserve">30°</t>
  </si>
  <si>
    <t xml:space="preserve">60°</t>
  </si>
  <si>
    <r>
      <rPr>
        <sz val="10"/>
        <rFont val="Arial"/>
        <family val="0"/>
        <charset val="1"/>
      </rPr>
      <t xml:space="preserve">90°</t>
    </r>
    <r>
      <rPr>
        <sz val="10"/>
        <rFont val="Noto Sans CJK SC"/>
        <family val="2"/>
      </rPr>
      <t xml:space="preserve">轉向處，應設置陰井代替清潔口</t>
    </r>
  </si>
  <si>
    <t xml:space="preserve">有關應採間接排水器具或設備，下列敘述何者錯誤？</t>
  </si>
  <si>
    <t xml:space="preserve">飲水器</t>
  </si>
  <si>
    <t xml:space="preserve">游泳池過濾裝置</t>
  </si>
  <si>
    <t xml:space="preserve">蓄水池</t>
  </si>
  <si>
    <t xml:space="preserve">衛生器具</t>
  </si>
  <si>
    <t xml:space="preserve">建築物排水中含有油脂、油料、沙粒、易燃物、毛髮纖維、固體物等有害排水系統或公共下水道之操作者，應依規定在排入公共排水系統或建築物污水處理設施前，裝設</t>
  </si>
  <si>
    <t xml:space="preserve">截留器</t>
  </si>
  <si>
    <t xml:space="preserve">分離器</t>
  </si>
  <si>
    <t xml:space="preserve">以上皆是裝置應設通氣管，並應裝置在易於保養清理之位置</t>
  </si>
  <si>
    <t xml:space="preserve">餐廳、店鋪、飲食店、市場、商場、旅館、工廠、機關、學校、醫院、老人福利機構、身心障礙福利機構、兒童及少年安置教養機構及俱樂部等建築物之附設食品烹飪或調理場所之水盆及容器落水，應裝設</t>
  </si>
  <si>
    <t xml:space="preserve">油脂截留器</t>
  </si>
  <si>
    <t xml:space="preserve">油水分離器</t>
  </si>
  <si>
    <t xml:space="preserve">沉砂器</t>
  </si>
  <si>
    <t xml:space="preserve">停車場、車輛修理保養場、洗車場、加油站、油料回收場及涉及機械設施保養場所，有使用或產生油料污染之虞的場所，不得將產生之油料污染排水直接排入排水系統之中，必須設</t>
  </si>
  <si>
    <t xml:space="preserve">建築物設置之截留器或分離器，用於截留或分離砂或較重固體之設備，其封水深度不得小於</t>
  </si>
  <si>
    <r>
      <rPr>
        <sz val="10"/>
        <rFont val="Arial"/>
        <family val="0"/>
        <charset val="1"/>
      </rPr>
      <t xml:space="preserve">12</t>
    </r>
    <r>
      <rPr>
        <sz val="10"/>
        <rFont val="Noto Sans CJK SC"/>
        <family val="2"/>
      </rPr>
      <t xml:space="preserve">公分</t>
    </r>
  </si>
  <si>
    <t xml:space="preserve">排水及通氣管路完成後，其耐壓試驗依規定進行加水壓試驗，並應保持</t>
  </si>
  <si>
    <r>
      <rPr>
        <sz val="10"/>
        <rFont val="Arial"/>
        <family val="0"/>
        <charset val="1"/>
      </rPr>
      <t xml:space="preserve">15</t>
    </r>
    <r>
      <rPr>
        <sz val="10"/>
        <rFont val="Noto Sans CJK SC"/>
        <family val="2"/>
      </rPr>
      <t xml:space="preserve">分鐘以上，無滲漏現象為合格</t>
    </r>
  </si>
  <si>
    <t xml:space="preserve">衛生排水用ABS管之接頭接合方式為何？</t>
  </si>
  <si>
    <t xml:space="preserve">套接電溶</t>
  </si>
  <si>
    <t xml:space="preserve">軟焊</t>
  </si>
  <si>
    <r>
      <rPr>
        <sz val="10"/>
        <rFont val="Arial"/>
        <family val="0"/>
        <charset val="1"/>
      </rPr>
      <t xml:space="preserve">ABS</t>
    </r>
    <r>
      <rPr>
        <sz val="10"/>
        <rFont val="Noto Sans CJK SC"/>
        <family val="2"/>
      </rPr>
      <t xml:space="preserve">專用膠合劑</t>
    </r>
  </si>
  <si>
    <t xml:space="preserve">螺紋式接合</t>
  </si>
  <si>
    <t xml:space="preserve">自來水用戶用水設備標準所稱之用戶管線，包括下列各款</t>
  </si>
  <si>
    <t xml:space="preserve">進水管</t>
  </si>
  <si>
    <t xml:space="preserve">受水管</t>
  </si>
  <si>
    <t xml:space="preserve">與衛生設備之連接水管</t>
  </si>
  <si>
    <t xml:space="preserve">蓄水池與水塔應為水密性構造物，且應設置適當之人孔、通氣管及溢排水設備；池(塔)底並應設坡度為</t>
  </si>
  <si>
    <t xml:space="preserve">1/75</t>
  </si>
  <si>
    <r>
      <rPr>
        <sz val="10"/>
        <rFont val="Arial"/>
        <family val="0"/>
        <charset val="1"/>
      </rPr>
      <t xml:space="preserve">1/125</t>
    </r>
    <r>
      <rPr>
        <sz val="10"/>
        <rFont val="Noto Sans CJK SC"/>
        <family val="2"/>
      </rPr>
      <t xml:space="preserve">以上之洩水坡</t>
    </r>
  </si>
  <si>
    <t xml:space="preserve">蓄水池之牆壁及平頂應與其他結構物分開，並應保持</t>
  </si>
  <si>
    <r>
      <rPr>
        <sz val="10"/>
        <rFont val="Arial"/>
        <family val="0"/>
        <charset val="1"/>
      </rPr>
      <t xml:space="preserve">60</t>
    </r>
    <r>
      <rPr>
        <sz val="10"/>
        <rFont val="Noto Sans CJK SC"/>
        <family val="2"/>
      </rPr>
      <t xml:space="preserve">公分以上之距離</t>
    </r>
  </si>
  <si>
    <t xml:space="preserve">池底需與接觸地層之基礎分離，並設置長、寬各</t>
  </si>
  <si>
    <r>
      <rPr>
        <sz val="10"/>
        <rFont val="Arial"/>
        <family val="0"/>
        <charset val="1"/>
      </rPr>
      <t xml:space="preserve">60</t>
    </r>
    <r>
      <rPr>
        <sz val="10"/>
        <rFont val="Noto Sans CJK SC"/>
        <family val="2"/>
      </rPr>
      <t xml:space="preserve">公分以上，深度</t>
    </r>
    <r>
      <rPr>
        <sz val="10"/>
        <rFont val="Arial"/>
        <family val="0"/>
        <charset val="1"/>
      </rPr>
      <t xml:space="preserve">5</t>
    </r>
    <r>
      <rPr>
        <sz val="10"/>
        <rFont val="Noto Sans CJK SC"/>
        <family val="2"/>
      </rPr>
      <t xml:space="preserve">公分以上之集水坑</t>
    </r>
  </si>
  <si>
    <t xml:space="preserve">池底需與接觸地層之基礎分離，並設置長、寬各公30分以上，深度</t>
  </si>
  <si>
    <r>
      <rPr>
        <sz val="10"/>
        <rFont val="Arial"/>
        <family val="0"/>
        <charset val="1"/>
      </rPr>
      <t xml:space="preserve">20</t>
    </r>
    <r>
      <rPr>
        <sz val="10"/>
        <rFont val="Noto Sans CJK SC"/>
        <family val="2"/>
      </rPr>
      <t xml:space="preserve">公分以上之集水坑</t>
    </r>
  </si>
  <si>
    <t xml:space="preserve">進水口低於地面之蓄水池，其受水管口徑</t>
  </si>
  <si>
    <r>
      <rPr>
        <sz val="10"/>
        <rFont val="Arial"/>
        <family val="0"/>
        <charset val="1"/>
      </rPr>
      <t xml:space="preserve">50</t>
    </r>
    <r>
      <rPr>
        <sz val="10"/>
        <rFont val="Noto Sans CJK SC"/>
        <family val="2"/>
      </rPr>
      <t xml:space="preserve">公厘以上者，應設置地上式接水槽或持壓閥</t>
    </r>
  </si>
  <si>
    <t xml:space="preserve">用戶裝置之蓄水池、水塔及其他各種設備之最高水位，應與受水管保留</t>
  </si>
  <si>
    <r>
      <rPr>
        <sz val="10"/>
        <rFont val="Arial"/>
        <family val="0"/>
        <charset val="1"/>
      </rPr>
      <t xml:space="preserve">20</t>
    </r>
    <r>
      <rPr>
        <sz val="10"/>
        <rFont val="Noto Sans CJK SC"/>
        <family val="2"/>
      </rPr>
      <t xml:space="preserve">公分以上間隙，避免回吸所致之污染</t>
    </r>
  </si>
  <si>
    <t xml:space="preserve">水栓及衛生設備供水水壓不得低於每平方公分</t>
  </si>
  <si>
    <t xml:space="preserve">0.3</t>
  </si>
  <si>
    <r>
      <rPr>
        <sz val="10"/>
        <rFont val="Arial"/>
        <family val="0"/>
        <charset val="1"/>
      </rPr>
      <t xml:space="preserve">1.5</t>
    </r>
    <r>
      <rPr>
        <sz val="10"/>
        <rFont val="Noto Sans CJK SC"/>
        <family val="2"/>
      </rPr>
      <t xml:space="preserve">公斤</t>
    </r>
  </si>
  <si>
    <t xml:space="preserve">其因特殊裝置需要高壓或採用直接沖洗閥者，水壓不得低於每平方公分</t>
  </si>
  <si>
    <t xml:space="preserve">污水管渠之位置於私設道路，埋設覆土深度規定為</t>
  </si>
  <si>
    <t xml:space="preserve">污水管渠之位置於人行道，埋設覆土深度規定為</t>
  </si>
  <si>
    <t xml:space="preserve">污水管渠之位置於寬度六公尺以下道路，埋設覆土深度規定為</t>
  </si>
  <si>
    <t xml:space="preserve">污水管渠之位置於寬度超過六公尺道路，埋設覆土深度規定為</t>
  </si>
  <si>
    <t xml:space="preserve">直管之切斷須使用自動金屬鋸床、切管機或車床切管，經切斷之剖面不得變形或縮小，端面須與軸心成</t>
  </si>
  <si>
    <r>
      <rPr>
        <sz val="10"/>
        <rFont val="Arial"/>
        <family val="0"/>
        <charset val="1"/>
      </rPr>
      <t xml:space="preserve">180</t>
    </r>
    <r>
      <rPr>
        <sz val="10"/>
        <rFont val="Noto Sans CJK SC"/>
        <family val="2"/>
      </rPr>
      <t xml:space="preserve">度，管之切口並刨光去除鐵屑雜物</t>
    </r>
  </si>
  <si>
    <t xml:space="preserve">各種管徑接合螺紋數之規定，其中標稱管徑100公厘，其應絞紋牙數為</t>
  </si>
  <si>
    <t xml:space="preserve">9</t>
  </si>
  <si>
    <t xml:space="preserve">11</t>
  </si>
  <si>
    <t xml:space="preserve">管路採螺紋接頭接合裝接，接頭扭緊至適度為止，裝接後其暴露外面之螺紋數不得超過</t>
  </si>
  <si>
    <r>
      <rPr>
        <sz val="10"/>
        <rFont val="Arial"/>
        <family val="0"/>
        <charset val="1"/>
      </rPr>
      <t xml:space="preserve">5</t>
    </r>
    <r>
      <rPr>
        <sz val="10"/>
        <rFont val="Noto Sans CJK SC"/>
        <family val="2"/>
      </rPr>
      <t xml:space="preserve">紋</t>
    </r>
  </si>
  <si>
    <t xml:space="preserve">各種管徑接合螺紋數之規定，其中標稱管徑16公厘，其應絞紋牙數為</t>
  </si>
  <si>
    <t xml:space="preserve">各種管徑接合螺紋數之規定，其中標稱管徑20公厘，其應絞紋牙數為</t>
  </si>
  <si>
    <t xml:space="preserve">各種管徑接合螺紋數之規定，其中標稱管徑25公厘，其應絞紋牙數為</t>
  </si>
  <si>
    <t xml:space="preserve">各種管徑接合螺紋數之規定，其中標稱管徑32公厘，其應絞紋牙數為</t>
  </si>
  <si>
    <t xml:space="preserve">各種管徑接合螺紋數之規定，其中標稱管徑40公厘，其應絞紋牙數為</t>
  </si>
  <si>
    <t xml:space="preserve">各種管徑接合螺紋數之規定，其中標稱管徑50公厘，其應絞紋牙數為</t>
  </si>
  <si>
    <t xml:space="preserve">各種管徑接合螺紋數之規定，其中標稱管徑65公厘，其應絞紋牙數為</t>
  </si>
  <si>
    <t xml:space="preserve">各種管徑接合螺紋數之規定，其中標稱管徑80公厘，其應絞紋牙數為</t>
  </si>
  <si>
    <t xml:space="preserve">銲接平口接頭接合，直管經切管後其</t>
  </si>
  <si>
    <t xml:space="preserve">切斷之剖面不得縮小</t>
  </si>
  <si>
    <t xml:space="preserve">端面須與軸心垂直</t>
  </si>
  <si>
    <t xml:space="preserve">刨光去除切口之鐵屑雜物</t>
  </si>
  <si>
    <t xml:space="preserve">電銲裝接採用對接方式，電銲時先在周圍每隔90°處採用象限法。按照</t>
  </si>
  <si>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4</t>
    </r>
  </si>
  <si>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t>
    </r>
    <r>
      <rPr>
        <sz val="10"/>
        <rFont val="Arial"/>
        <family val="0"/>
        <charset val="1"/>
      </rPr>
      <t xml:space="preserve">1</t>
    </r>
  </si>
  <si>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2</t>
    </r>
    <r>
      <rPr>
        <sz val="10"/>
        <rFont val="Noto Sans CJK SC"/>
        <family val="2"/>
      </rPr>
      <t xml:space="preserve">：</t>
    </r>
    <r>
      <rPr>
        <sz val="10"/>
        <rFont val="Arial"/>
        <family val="0"/>
        <charset val="1"/>
      </rPr>
      <t xml:space="preserve">4</t>
    </r>
  </si>
  <si>
    <r>
      <rPr>
        <sz val="10"/>
        <rFont val="Arial"/>
        <family val="0"/>
        <charset val="1"/>
      </rPr>
      <t xml:space="preserve">4</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2</t>
    </r>
    <r>
      <rPr>
        <sz val="10"/>
        <rFont val="Noto Sans CJK SC"/>
        <family val="2"/>
      </rPr>
      <t xml:space="preserve">：</t>
    </r>
    <r>
      <rPr>
        <sz val="10"/>
        <rFont val="Arial"/>
        <family val="0"/>
        <charset val="1"/>
      </rPr>
      <t xml:space="preserve">1</t>
    </r>
    <r>
      <rPr>
        <sz val="10"/>
        <rFont val="Noto Sans CJK SC"/>
        <family val="2"/>
      </rPr>
      <t xml:space="preserve">對角法按順序點銲，其長度約為</t>
    </r>
    <r>
      <rPr>
        <sz val="10"/>
        <rFont val="Arial"/>
        <family val="0"/>
        <charset val="1"/>
      </rPr>
      <t xml:space="preserve">10</t>
    </r>
    <r>
      <rPr>
        <sz val="10"/>
        <rFont val="Noto Sans CJK SC"/>
        <family val="2"/>
      </rPr>
      <t xml:space="preserve">公厘</t>
    </r>
  </si>
  <si>
    <t xml:space="preserve">銲接前先將管兩端形成與管軸垂直成角度</t>
  </si>
  <si>
    <t xml:space="preserve">45±2.5</t>
  </si>
  <si>
    <t xml:space="preserve">37.5±2.5</t>
  </si>
  <si>
    <t xml:space="preserve">50±2.5</t>
  </si>
  <si>
    <r>
      <rPr>
        <sz val="10"/>
        <rFont val="Arial"/>
        <family val="0"/>
        <charset val="1"/>
      </rPr>
      <t xml:space="preserve">75±2.5</t>
    </r>
    <r>
      <rPr>
        <sz val="10"/>
        <rFont val="Noto Sans CJK SC"/>
        <family val="2"/>
      </rPr>
      <t xml:space="preserve">度之斜面，其管根留寬</t>
    </r>
    <r>
      <rPr>
        <sz val="10"/>
        <rFont val="Arial"/>
        <family val="0"/>
        <charset val="1"/>
      </rPr>
      <t xml:space="preserve">1.5</t>
    </r>
    <r>
      <rPr>
        <sz val="10"/>
        <rFont val="Noto Sans CJK SC"/>
        <family val="2"/>
      </rPr>
      <t xml:space="preserve">公厘</t>
    </r>
  </si>
  <si>
    <t xml:space="preserve">電銲裝接採用對接方式，電銲時先在周圍每隔90°處採用象限法。按照1：3：2：4對角法按順序點銲，其長度約為</t>
  </si>
  <si>
    <r>
      <rPr>
        <sz val="10"/>
        <rFont val="Arial"/>
        <family val="0"/>
        <charset val="1"/>
      </rPr>
      <t xml:space="preserve">11</t>
    </r>
    <r>
      <rPr>
        <sz val="10"/>
        <rFont val="Noto Sans CJK SC"/>
        <family val="2"/>
      </rPr>
      <t xml:space="preserve">公厘</t>
    </r>
  </si>
  <si>
    <t xml:space="preserve">錫銲接合適用於</t>
  </si>
  <si>
    <t xml:space="preserve">銅管</t>
  </si>
  <si>
    <t xml:space="preserve">不鏽鋼管</t>
  </si>
  <si>
    <t xml:space="preserve">碳鋼鋼管</t>
  </si>
  <si>
    <t xml:space="preserve">鍍鋅鋼管之接合，一般依其銲接溫度分硬銲與軟銲兩種</t>
  </si>
  <si>
    <t xml:space="preserve">膠合接頭接合中有關冷間接合法，下列敘述何者有誤？</t>
  </si>
  <si>
    <t xml:space="preserve">不可在雨中或管子表面潮濕時施工</t>
  </si>
  <si>
    <t xml:space="preserve">僅可使用天然毛刷不可使用人工合成毛刷</t>
  </si>
  <si>
    <t xml:space="preserve">膠合劑放置應遠離火源</t>
  </si>
  <si>
    <t xml:space="preserve">適用於大管徑</t>
  </si>
  <si>
    <t xml:space="preserve">塑膠類管(PVC管)與配件的連接大部分採用冷間接合法施工，於標稱管徑16公厘(mm)，冷間接合插入深度為</t>
  </si>
  <si>
    <t xml:space="preserve">26</t>
  </si>
  <si>
    <r>
      <rPr>
        <sz val="10"/>
        <rFont val="Arial"/>
        <family val="0"/>
        <charset val="1"/>
      </rPr>
      <t xml:space="preserve">40 </t>
    </r>
    <r>
      <rPr>
        <sz val="10"/>
        <rFont val="Noto Sans CJK SC"/>
        <family val="2"/>
      </rPr>
      <t xml:space="preserve">公厘</t>
    </r>
    <r>
      <rPr>
        <sz val="10"/>
        <rFont val="Arial"/>
        <family val="0"/>
        <charset val="1"/>
      </rPr>
      <t xml:space="preserve">(mm)</t>
    </r>
  </si>
  <si>
    <t xml:space="preserve">塑膠類管(PVC管)與配件的連接大部分採用冷間接合法施工，於標稱管徑20公厘(mm)，冷間接合插入深度為</t>
  </si>
  <si>
    <t xml:space="preserve">塑膠類管(PVC管)與配件的連接大部分採用冷間接合法施工，於標稱管徑25公厘(mm)，冷間接合插入深度為</t>
  </si>
  <si>
    <t xml:space="preserve">塑膠類管(PVC管)與配件的連接大部分採用冷間接合法施工，於標稱管徑28公厘(mm)，冷間接合插入深度為</t>
  </si>
  <si>
    <t xml:space="preserve">塑膠類管(PVC管)與配件的連接大部分採用冷間接合法施工，於標稱管徑30公厘(mm)，冷間接合插入深度為</t>
  </si>
  <si>
    <t xml:space="preserve">44</t>
  </si>
  <si>
    <r>
      <rPr>
        <sz val="10"/>
        <rFont val="Arial"/>
        <family val="0"/>
        <charset val="1"/>
      </rPr>
      <t xml:space="preserve">63 </t>
    </r>
    <r>
      <rPr>
        <sz val="10"/>
        <rFont val="Noto Sans CJK SC"/>
        <family val="2"/>
      </rPr>
      <t xml:space="preserve">公厘</t>
    </r>
    <r>
      <rPr>
        <sz val="10"/>
        <rFont val="Arial"/>
        <family val="0"/>
        <charset val="1"/>
      </rPr>
      <t xml:space="preserve">(mm)</t>
    </r>
  </si>
  <si>
    <t xml:space="preserve">塑膠類管(PVC管)與配件的連接大部分採用冷間接合法施工，於標稱管徑35公厘(mm)，冷間接合插入深度為</t>
  </si>
  <si>
    <t xml:space="preserve">塑膠類管(PVC管)與配件的連接大部分採用冷間接合法施工，於標稱管徑40公厘(mm)，冷間接合插入深度為</t>
  </si>
  <si>
    <t xml:space="preserve">塑膠類管(PVC管)與配件的連接大部分採用冷間接合法施工，於標稱管徑50公厘(mm)，冷間接合插入深度為</t>
  </si>
  <si>
    <t xml:space="preserve">塑膠類管(PVC管)與配件的連接大部分採用冷間接合法施工，於標稱管徑65公厘(mm)，冷間接合插入深度為</t>
  </si>
  <si>
    <t xml:space="preserve">69</t>
  </si>
  <si>
    <t xml:space="preserve">72</t>
  </si>
  <si>
    <t xml:space="preserve">92</t>
  </si>
  <si>
    <r>
      <rPr>
        <sz val="10"/>
        <rFont val="Arial"/>
        <family val="0"/>
        <charset val="1"/>
      </rPr>
      <t xml:space="preserve">112 </t>
    </r>
    <r>
      <rPr>
        <sz val="10"/>
        <rFont val="Noto Sans CJK SC"/>
        <family val="2"/>
      </rPr>
      <t xml:space="preserve">公厘</t>
    </r>
    <r>
      <rPr>
        <sz val="10"/>
        <rFont val="Arial"/>
        <family val="0"/>
        <charset val="1"/>
      </rPr>
      <t xml:space="preserve">(mm)</t>
    </r>
  </si>
  <si>
    <t xml:space="preserve">塑膠類管(PVC管)與配件的連接大部分採用冷間接合法施工，於標稱管徑75公厘(mm)，冷間接合插入深度為</t>
  </si>
  <si>
    <t xml:space="preserve">112</t>
  </si>
  <si>
    <r>
      <rPr>
        <sz val="10"/>
        <rFont val="Arial"/>
        <family val="0"/>
        <charset val="1"/>
      </rPr>
      <t xml:space="preserve">140 </t>
    </r>
    <r>
      <rPr>
        <sz val="10"/>
        <rFont val="Noto Sans CJK SC"/>
        <family val="2"/>
      </rPr>
      <t xml:space="preserve">公厘</t>
    </r>
    <r>
      <rPr>
        <sz val="10"/>
        <rFont val="Arial"/>
        <family val="0"/>
        <charset val="1"/>
      </rPr>
      <t xml:space="preserve">(mm)</t>
    </r>
  </si>
  <si>
    <t xml:space="preserve">塑膠類管(PVC管)與配件的連接大部分採用冷間接合法施工，於標稱管徑100公厘(mm)，冷間接合插入深度為</t>
  </si>
  <si>
    <t xml:space="preserve">塑膠類管(PVC管)與配件的連接大部分採用冷間接合法施工，於標稱管徑125公厘(mm)，冷間接合插入深度為</t>
  </si>
  <si>
    <t xml:space="preserve">塑膠類管(PVC管)與配件的連接大部分採用冷間接合法施工，於標稱管徑150公厘(mm)，冷間接合插入深度為</t>
  </si>
  <si>
    <t xml:space="preserve">加熱插入接合法有一段插入法和二段插入法兩種，於標稱管徑16公厘(㎜)的插入深度為</t>
  </si>
  <si>
    <r>
      <rPr>
        <sz val="10"/>
        <rFont val="Arial"/>
        <family val="0"/>
        <charset val="1"/>
      </rPr>
      <t xml:space="preserve">40 </t>
    </r>
    <r>
      <rPr>
        <sz val="10"/>
        <rFont val="Noto Sans CJK SC"/>
        <family val="2"/>
      </rPr>
      <t xml:space="preserve">公厘</t>
    </r>
    <r>
      <rPr>
        <sz val="10"/>
        <rFont val="Arial"/>
        <family val="0"/>
        <charset val="1"/>
      </rPr>
      <t xml:space="preserve">(</t>
    </r>
    <r>
      <rPr>
        <sz val="10"/>
        <rFont val="Noto Sans CJK SC"/>
        <family val="2"/>
      </rPr>
      <t xml:space="preserve">㎜</t>
    </r>
    <r>
      <rPr>
        <sz val="10"/>
        <rFont val="Arial"/>
        <family val="0"/>
        <charset val="1"/>
      </rPr>
      <t xml:space="preserve">)</t>
    </r>
  </si>
  <si>
    <t xml:space="preserve">加熱插入接合法有一段插入法和二段插入法兩種，於標稱管徑20公厘(mm)的插入深度為</t>
  </si>
  <si>
    <t xml:space="preserve">加熱插入接合法有一段插入法和二段插入法兩種，於標稱管徑25公厘(mm)的插入深度為</t>
  </si>
  <si>
    <t xml:space="preserve">加熱插入接合法有一段插入法和二段插入法兩種，於標稱管徑30公厘(mm)的插入深度為</t>
  </si>
  <si>
    <r>
      <rPr>
        <sz val="10"/>
        <rFont val="Arial"/>
        <family val="0"/>
        <charset val="1"/>
      </rPr>
      <t xml:space="preserve">70 </t>
    </r>
    <r>
      <rPr>
        <sz val="10"/>
        <rFont val="Noto Sans CJK SC"/>
        <family val="2"/>
      </rPr>
      <t xml:space="preserve">公厘</t>
    </r>
    <r>
      <rPr>
        <sz val="10"/>
        <rFont val="Arial"/>
        <family val="0"/>
        <charset val="1"/>
      </rPr>
      <t xml:space="preserve">(mm)</t>
    </r>
  </si>
  <si>
    <t xml:space="preserve">加熱插入接合法有一段插入法和二段插入法兩種，於標稱管徑40公厘(mm)的插入深度為</t>
  </si>
  <si>
    <t xml:space="preserve">加熱插入接合法有一段插入法和二段插入法兩種，於標稱管徑50公厘(mm)的插入深度為</t>
  </si>
  <si>
    <r>
      <rPr>
        <sz val="10"/>
        <rFont val="Arial"/>
        <family val="0"/>
        <charset val="1"/>
      </rPr>
      <t xml:space="preserve">(A)</t>
    </r>
    <r>
      <rPr>
        <sz val="10"/>
        <rFont val="Noto Sans CJK SC"/>
        <family val="2"/>
      </rPr>
      <t xml:space="preserve">螺紋裝接 </t>
    </r>
    <r>
      <rPr>
        <sz val="10"/>
        <rFont val="Arial"/>
        <family val="0"/>
        <charset val="1"/>
      </rPr>
      <t xml:space="preserve">(B)</t>
    </r>
    <r>
      <rPr>
        <sz val="10"/>
        <rFont val="Noto Sans CJK SC"/>
        <family val="2"/>
      </rPr>
      <t xml:space="preserve">膠合裝接 </t>
    </r>
    <r>
      <rPr>
        <sz val="10"/>
        <rFont val="Arial"/>
        <family val="0"/>
        <charset val="1"/>
      </rPr>
      <t xml:space="preserve">(C)</t>
    </r>
    <r>
      <rPr>
        <sz val="10"/>
        <rFont val="Noto Sans CJK SC"/>
        <family val="2"/>
      </rPr>
      <t xml:space="preserve">銲接裝接 </t>
    </r>
    <r>
      <rPr>
        <sz val="10"/>
        <rFont val="Arial"/>
        <family val="0"/>
        <charset val="1"/>
      </rPr>
      <t xml:space="preserve">(D)</t>
    </r>
    <r>
      <rPr>
        <sz val="10"/>
        <rFont val="Noto Sans CJK SC"/>
        <family val="2"/>
      </rPr>
      <t xml:space="preserve">滾溝式機械裝接，上述何種方法非鍍鋅鋼管之裝配方法？</t>
    </r>
  </si>
  <si>
    <t xml:space="preserve">螺紋裝接</t>
  </si>
  <si>
    <t xml:space="preserve">膠合裝接</t>
  </si>
  <si>
    <t xml:space="preserve">銲接裝接</t>
  </si>
  <si>
    <t xml:space="preserve">滾溝式機械裝接，上述何種方法非鍍鋅鋼管之裝配方法？</t>
  </si>
  <si>
    <t xml:space="preserve">無縫鋼管裝接一般管徑在</t>
  </si>
  <si>
    <r>
      <rPr>
        <sz val="10"/>
        <rFont val="Arial"/>
        <family val="0"/>
        <charset val="1"/>
      </rPr>
      <t xml:space="preserve">65</t>
    </r>
    <r>
      <rPr>
        <sz val="10"/>
        <rFont val="Noto Sans CJK SC"/>
        <family val="2"/>
      </rPr>
      <t xml:space="preserve">公厘以下者採用螺紋接合或電銲裝接，各種裝接方法同鍍鋅鋼管</t>
    </r>
  </si>
  <si>
    <r>
      <rPr>
        <sz val="10"/>
        <rFont val="Arial"/>
        <family val="0"/>
        <charset val="1"/>
      </rPr>
      <t xml:space="preserve">100</t>
    </r>
    <r>
      <rPr>
        <sz val="10"/>
        <rFont val="Noto Sans CJK SC"/>
        <family val="2"/>
      </rPr>
      <t xml:space="preserve">公厘以上採用法蘭裝接，各種裝接方法同鍍鋅鋼管</t>
    </r>
  </si>
  <si>
    <t xml:space="preserve">不同金屬管之連接常採管套節(Union)，如鋼管與銅管應採</t>
  </si>
  <si>
    <t xml:space="preserve">展性鋼管套節</t>
  </si>
  <si>
    <t xml:space="preserve">銅管套節</t>
  </si>
  <si>
    <t xml:space="preserve">隔電管套節</t>
  </si>
  <si>
    <t xml:space="preserve">以上皆非，以防止因電位差異而產生腐蝕</t>
  </si>
  <si>
    <t xml:space="preserve">給排水衛生設備工程中，管徑65mm以上者，與機器設備，油(水)箱(櫃)連接時，為便於日後須拆卸保養，均應使用下列何項連接？</t>
  </si>
  <si>
    <t xml:space="preserve">由另</t>
  </si>
  <si>
    <t xml:space="preserve">為防止電蝕，不同金屬連接時須藉由非導電材料之隔離，使不同金屬間完全地絕緣，應採</t>
  </si>
  <si>
    <t xml:space="preserve">隔電凸緣</t>
  </si>
  <si>
    <t xml:space="preserve">給排水衛生、電氣安全</t>
  </si>
  <si>
    <t xml:space="preserve">施工中管路配管檢查頻率為</t>
  </si>
  <si>
    <t xml:space="preserve">不用檢查</t>
  </si>
  <si>
    <t xml:space="preserve">全部配管完成</t>
  </si>
  <si>
    <t xml:space="preserve">隨時</t>
  </si>
  <si>
    <t xml:space="preserve">驗收時</t>
  </si>
  <si>
    <t xml:space="preserve">閥類採用楔型整片閥門，是屬何種閥件？</t>
  </si>
  <si>
    <t xml:space="preserve">閘閥</t>
  </si>
  <si>
    <t xml:space="preserve">球形閥</t>
  </si>
  <si>
    <t xml:space="preserve">球塞閥</t>
  </si>
  <si>
    <t xml:space="preserve">旋塞閥</t>
  </si>
  <si>
    <t xml:space="preserve">閥類採用推拔式旋塞，是屬何種閥件？</t>
  </si>
  <si>
    <t xml:space="preserve">功能檢測所需之電力表、壓力表、電流表、電壓表及功率因數表…等計量儀表，均必需經財團法人全國認證基金會(TAF)於校正領域認可之實驗室出具之校正報告，有效期限為幾年內？</t>
  </si>
  <si>
    <t xml:space="preserve">一年內</t>
  </si>
  <si>
    <t xml:space="preserve">二年內</t>
  </si>
  <si>
    <t xml:space="preserve">三年內</t>
  </si>
  <si>
    <t xml:space="preserve">五年內</t>
  </si>
  <si>
    <t xml:space="preserve">管路檢驗方法之目視檢查，為埋管前常以目視或用下列何者敲擊管壁聽其聲響是否相同，以檢查管體是否有裂痕？</t>
  </si>
  <si>
    <t xml:space="preserve">木槌</t>
  </si>
  <si>
    <t xml:space="preserve">鐵鎚</t>
  </si>
  <si>
    <t xml:space="preserve">鐵棍</t>
  </si>
  <si>
    <t xml:space="preserve">石頭</t>
  </si>
  <si>
    <t xml:space="preserve">管路檢驗方式，除採目視檢查外，凡管徑較小則採電視檢視方式，若依鏡頭(檢視頭)被承載型式分類，可分為</t>
  </si>
  <si>
    <t xml:space="preserve">自走式</t>
  </si>
  <si>
    <t xml:space="preserve">拖拉式</t>
  </si>
  <si>
    <t xml:space="preserve">插入式</t>
  </si>
  <si>
    <t xml:space="preserve">給水管路施作加水壓試驗時，其試驗壓力為</t>
  </si>
  <si>
    <r>
      <rPr>
        <sz val="10"/>
        <rFont val="Arial"/>
        <family val="0"/>
        <charset val="1"/>
      </rPr>
      <t xml:space="preserve">10</t>
    </r>
    <r>
      <rPr>
        <sz val="10"/>
        <rFont val="Noto Sans CJK SC"/>
        <family val="2"/>
      </rPr>
      <t xml:space="preserve">㎏</t>
    </r>
    <r>
      <rPr>
        <sz val="10"/>
        <rFont val="Arial"/>
        <family val="0"/>
        <charset val="1"/>
      </rPr>
      <t xml:space="preserve">f/</t>
    </r>
    <r>
      <rPr>
        <sz val="10"/>
        <rFont val="Noto Sans CJK SC"/>
        <family val="2"/>
      </rPr>
      <t xml:space="preserve">㎠</t>
    </r>
  </si>
  <si>
    <t xml:space="preserve">管路最高工作壓力之1.5倍</t>
  </si>
  <si>
    <t xml:space="preserve">並應保持60分鐘而無滲漏現象</t>
  </si>
  <si>
    <t xml:space="preserve">污排水及通氣管路完成後，應依規定加水壓試驗，得分層、分段或全部進行，並應保持</t>
  </si>
  <si>
    <r>
      <rPr>
        <sz val="10"/>
        <rFont val="Arial"/>
        <family val="0"/>
        <charset val="1"/>
      </rPr>
      <t xml:space="preserve">120</t>
    </r>
    <r>
      <rPr>
        <sz val="10"/>
        <rFont val="Noto Sans CJK SC"/>
        <family val="2"/>
      </rPr>
      <t xml:space="preserve">分鐘而無滲漏現象為合格</t>
    </r>
  </si>
  <si>
    <t xml:space="preserve">污排水及通氣管路完成後，應依規定加水壓試驗，分層試驗時，應採用重疊試驗，使管路任一點均能受到</t>
  </si>
  <si>
    <r>
      <rPr>
        <sz val="10"/>
        <rFont val="Arial"/>
        <family val="0"/>
        <charset val="1"/>
      </rPr>
      <t xml:space="preserve">3.3</t>
    </r>
    <r>
      <rPr>
        <sz val="10"/>
        <rFont val="Noto Sans CJK SC"/>
        <family val="2"/>
      </rPr>
      <t xml:space="preserve">公斤</t>
    </r>
  </si>
  <si>
    <r>
      <rPr>
        <sz val="10"/>
        <rFont val="Arial"/>
        <family val="0"/>
        <charset val="1"/>
      </rPr>
      <t xml:space="preserve">3.3</t>
    </r>
    <r>
      <rPr>
        <sz val="10"/>
        <rFont val="Noto Sans CJK SC"/>
        <family val="2"/>
      </rPr>
      <t xml:space="preserve">公尺</t>
    </r>
  </si>
  <si>
    <r>
      <rPr>
        <sz val="10"/>
        <rFont val="Arial"/>
        <family val="0"/>
        <charset val="1"/>
      </rPr>
      <t xml:space="preserve">10</t>
    </r>
    <r>
      <rPr>
        <sz val="10"/>
        <rFont val="Noto Sans CJK SC"/>
        <family val="2"/>
      </rPr>
      <t xml:space="preserve">公斤</t>
    </r>
  </si>
  <si>
    <r>
      <rPr>
        <sz val="10"/>
        <rFont val="Arial"/>
        <family val="0"/>
        <charset val="1"/>
      </rPr>
      <t xml:space="preserve">10</t>
    </r>
    <r>
      <rPr>
        <sz val="10"/>
        <rFont val="Noto Sans CJK SC"/>
        <family val="2"/>
      </rPr>
      <t xml:space="preserve">公尺以上之水壓，並應保持</t>
    </r>
    <r>
      <rPr>
        <sz val="10"/>
        <rFont val="Arial"/>
        <family val="0"/>
        <charset val="1"/>
      </rPr>
      <t xml:space="preserve">60</t>
    </r>
    <r>
      <rPr>
        <sz val="10"/>
        <rFont val="Noto Sans CJK SC"/>
        <family val="2"/>
      </rPr>
      <t xml:space="preserve">分鐘而無滲漏現象為合格</t>
    </r>
  </si>
  <si>
    <t xml:space="preserve">係檢查管路裝配完成後其排水坡度及器具安裝完成之使用功能和通水狀態，可避免管路淤塞或錯接情況的發生，為何種試驗？</t>
  </si>
  <si>
    <t xml:space="preserve">滿水試驗</t>
  </si>
  <si>
    <t xml:space="preserve">通水試驗</t>
  </si>
  <si>
    <t xml:space="preserve">分段試驗</t>
  </si>
  <si>
    <t xml:space="preserve">分層試驗</t>
  </si>
  <si>
    <t xml:space="preserve">高揚程泵浦出水口處，其逆止(止水)閥應採</t>
  </si>
  <si>
    <t xml:space="preserve">擺動型</t>
  </si>
  <si>
    <t xml:space="preserve">升程型</t>
  </si>
  <si>
    <t xml:space="preserve">無聲(緩衝)型</t>
  </si>
  <si>
    <t xml:space="preserve">以上皆非逆止閥，其閥體設有旁通閥以排洩反衝水壓，消除水錘衝擊</t>
  </si>
  <si>
    <t xml:space="preserve">有緊密封閉性，薄餅型，閥座環須能覆蓋閥體內表面，並延伸至閥體末端或使用O型環，使閥體能以螺栓密封在兩平面凸緣間，不須額外其他密合墊及最小之螺栓負荷，為何種閥件？</t>
  </si>
  <si>
    <t xml:space="preserve">蝶型閥</t>
  </si>
  <si>
    <t xml:space="preserve">閥類使用於耐酸鹼用途，應使用</t>
  </si>
  <si>
    <t xml:space="preserve">青銅閥類</t>
  </si>
  <si>
    <t xml:space="preserve">黃銅閥類</t>
  </si>
  <si>
    <t xml:space="preserve">不鏽鋼閥類</t>
  </si>
  <si>
    <t xml:space="preserve">塑膠閥類製品</t>
  </si>
  <si>
    <t xml:space="preserve">鍍鋅鋼管口徑50公厘於螺紋裝接的螺紋有效長度為</t>
  </si>
  <si>
    <t xml:space="preserve">22</t>
  </si>
  <si>
    <t xml:space="preserve">內襯鋼管之裝配分</t>
  </si>
  <si>
    <t xml:space="preserve">焊接裝接</t>
  </si>
  <si>
    <t xml:space="preserve">凸緣裝接</t>
  </si>
  <si>
    <t xml:space="preserve">溝槽式機械裝接，以上何者為非？</t>
  </si>
  <si>
    <t xml:space="preserve">管壁厚之不銹鋼管裝接可採用</t>
  </si>
  <si>
    <t xml:space="preserve">電銲裝接</t>
  </si>
  <si>
    <t xml:space="preserve">滾溝式裝接</t>
  </si>
  <si>
    <t xml:space="preserve">給排水衛生設備工程中，管徑50mm及以下者配至機器設備或油(水)箱(櫃)時，或與使用螺紋接口之閥等連接，或日後須拆卸保養，均應使用下列何項連接？</t>
  </si>
  <si>
    <t xml:space="preserve">法蘭</t>
  </si>
  <si>
    <t xml:space="preserve">銅管之裝接方法採用焊接裝接，焊接裝接分硬焊裝接與軟焊裝接兩種。硬焊裝接溫度約在</t>
  </si>
  <si>
    <r>
      <rPr>
        <sz val="10"/>
        <rFont val="Arial"/>
        <family val="0"/>
        <charset val="1"/>
      </rPr>
      <t xml:space="preserve">460</t>
    </r>
    <r>
      <rPr>
        <sz val="10"/>
        <rFont val="Noto Sans CJK SC"/>
        <family val="2"/>
      </rPr>
      <t xml:space="preserve">至</t>
    </r>
    <r>
      <rPr>
        <sz val="10"/>
        <rFont val="Arial"/>
        <family val="0"/>
        <charset val="1"/>
      </rPr>
      <t xml:space="preserve">520℃</t>
    </r>
  </si>
  <si>
    <r>
      <rPr>
        <sz val="10"/>
        <rFont val="Arial"/>
        <family val="0"/>
        <charset val="1"/>
      </rPr>
      <t xml:space="preserve">520</t>
    </r>
    <r>
      <rPr>
        <sz val="10"/>
        <rFont val="Noto Sans CJK SC"/>
        <family val="2"/>
      </rPr>
      <t xml:space="preserve">至</t>
    </r>
    <r>
      <rPr>
        <sz val="10"/>
        <rFont val="Arial"/>
        <family val="0"/>
        <charset val="1"/>
      </rPr>
      <t xml:space="preserve">640℃</t>
    </r>
  </si>
  <si>
    <r>
      <rPr>
        <sz val="10"/>
        <rFont val="Arial"/>
        <family val="0"/>
        <charset val="1"/>
      </rPr>
      <t xml:space="preserve">620</t>
    </r>
    <r>
      <rPr>
        <sz val="10"/>
        <rFont val="Noto Sans CJK SC"/>
        <family val="2"/>
      </rPr>
      <t xml:space="preserve">至</t>
    </r>
    <r>
      <rPr>
        <sz val="10"/>
        <rFont val="Arial"/>
        <family val="0"/>
        <charset val="1"/>
      </rPr>
      <t xml:space="preserve">845℃</t>
    </r>
  </si>
  <si>
    <r>
      <rPr>
        <sz val="10"/>
        <rFont val="Arial"/>
        <family val="0"/>
        <charset val="1"/>
      </rPr>
      <t xml:space="preserve">720</t>
    </r>
    <r>
      <rPr>
        <sz val="10"/>
        <rFont val="Noto Sans CJK SC"/>
        <family val="2"/>
      </rPr>
      <t xml:space="preserve">至</t>
    </r>
    <r>
      <rPr>
        <sz val="10"/>
        <rFont val="Arial"/>
        <family val="0"/>
        <charset val="1"/>
      </rPr>
      <t xml:space="preserve">945℃</t>
    </r>
    <r>
      <rPr>
        <sz val="10"/>
        <rFont val="Noto Sans CJK SC"/>
        <family val="2"/>
      </rPr>
      <t xml:space="preserve">間</t>
    </r>
  </si>
  <si>
    <t xml:space="preserve">銅管之裝接方法採用焊接裝接，焊接裝接分硬焊裝接與軟焊裝接兩種。軟焊裝接溫度約在</t>
  </si>
  <si>
    <r>
      <rPr>
        <sz val="10"/>
        <rFont val="Arial"/>
        <family val="0"/>
        <charset val="1"/>
      </rPr>
      <t xml:space="preserve">260</t>
    </r>
    <r>
      <rPr>
        <sz val="10"/>
        <rFont val="Noto Sans CJK SC"/>
        <family val="2"/>
      </rPr>
      <t xml:space="preserve">至</t>
    </r>
    <r>
      <rPr>
        <sz val="10"/>
        <rFont val="Arial"/>
        <family val="0"/>
        <charset val="1"/>
      </rPr>
      <t xml:space="preserve">300℃</t>
    </r>
  </si>
  <si>
    <r>
      <rPr>
        <sz val="10"/>
        <rFont val="Arial"/>
        <family val="0"/>
        <charset val="1"/>
      </rPr>
      <t xml:space="preserve">300</t>
    </r>
    <r>
      <rPr>
        <sz val="10"/>
        <rFont val="Noto Sans CJK SC"/>
        <family val="2"/>
      </rPr>
      <t xml:space="preserve">至</t>
    </r>
    <r>
      <rPr>
        <sz val="10"/>
        <rFont val="Arial"/>
        <family val="0"/>
        <charset val="1"/>
      </rPr>
      <t xml:space="preserve">340℃</t>
    </r>
  </si>
  <si>
    <r>
      <rPr>
        <sz val="10"/>
        <rFont val="Arial"/>
        <family val="0"/>
        <charset val="1"/>
      </rPr>
      <t xml:space="preserve">340</t>
    </r>
    <r>
      <rPr>
        <sz val="10"/>
        <rFont val="Noto Sans CJK SC"/>
        <family val="2"/>
      </rPr>
      <t xml:space="preserve">至</t>
    </r>
    <r>
      <rPr>
        <sz val="10"/>
        <rFont val="Arial"/>
        <family val="0"/>
        <charset val="1"/>
      </rPr>
      <t xml:space="preserve">380℃</t>
    </r>
  </si>
  <si>
    <r>
      <rPr>
        <sz val="10"/>
        <rFont val="Arial"/>
        <family val="0"/>
        <charset val="1"/>
      </rPr>
      <t xml:space="preserve">380</t>
    </r>
    <r>
      <rPr>
        <sz val="10"/>
        <rFont val="Noto Sans CJK SC"/>
        <family val="2"/>
      </rPr>
      <t xml:space="preserve">至</t>
    </r>
    <r>
      <rPr>
        <sz val="10"/>
        <rFont val="Arial"/>
        <family val="0"/>
        <charset val="1"/>
      </rPr>
      <t xml:space="preserve">400℃</t>
    </r>
    <r>
      <rPr>
        <sz val="10"/>
        <rFont val="Noto Sans CJK SC"/>
        <family val="2"/>
      </rPr>
      <t xml:space="preserve">間</t>
    </r>
  </si>
  <si>
    <r>
      <rPr>
        <sz val="10"/>
        <rFont val="Arial"/>
        <family val="0"/>
        <charset val="1"/>
      </rPr>
      <t xml:space="preserve">PVC</t>
    </r>
    <r>
      <rPr>
        <sz val="10"/>
        <rFont val="Noto Sans CJK SC"/>
        <family val="2"/>
      </rPr>
      <t xml:space="preserve">管承插接頭標稱管徑</t>
    </r>
    <r>
      <rPr>
        <sz val="10"/>
        <rFont val="Arial"/>
        <family val="0"/>
        <charset val="1"/>
      </rPr>
      <t xml:space="preserve">20</t>
    </r>
    <r>
      <rPr>
        <sz val="10"/>
        <rFont val="Noto Sans CJK SC"/>
        <family val="2"/>
      </rPr>
      <t xml:space="preserve">公厘，插入深度為</t>
    </r>
  </si>
  <si>
    <r>
      <rPr>
        <sz val="10"/>
        <rFont val="Arial"/>
        <family val="0"/>
        <charset val="1"/>
      </rPr>
      <t xml:space="preserve">50 </t>
    </r>
    <r>
      <rPr>
        <sz val="10"/>
        <rFont val="Noto Sans CJK SC"/>
        <family val="2"/>
      </rPr>
      <t xml:space="preserve">公厘</t>
    </r>
  </si>
  <si>
    <r>
      <rPr>
        <sz val="10"/>
        <rFont val="Arial"/>
        <family val="0"/>
        <charset val="1"/>
      </rPr>
      <t xml:space="preserve">PVC</t>
    </r>
    <r>
      <rPr>
        <sz val="10"/>
        <rFont val="Noto Sans CJK SC"/>
        <family val="2"/>
      </rPr>
      <t xml:space="preserve">管承插接頭標稱管徑</t>
    </r>
    <r>
      <rPr>
        <sz val="10"/>
        <rFont val="Arial"/>
        <family val="0"/>
        <charset val="1"/>
      </rPr>
      <t xml:space="preserve">25</t>
    </r>
    <r>
      <rPr>
        <sz val="10"/>
        <rFont val="Noto Sans CJK SC"/>
        <family val="2"/>
      </rPr>
      <t xml:space="preserve">公厘，插入深度為</t>
    </r>
  </si>
  <si>
    <r>
      <rPr>
        <sz val="10"/>
        <rFont val="Arial"/>
        <family val="0"/>
        <charset val="1"/>
      </rPr>
      <t xml:space="preserve">PVC</t>
    </r>
    <r>
      <rPr>
        <sz val="10"/>
        <rFont val="Noto Sans CJK SC"/>
        <family val="2"/>
      </rPr>
      <t xml:space="preserve">管承插接頭標稱管徑</t>
    </r>
    <r>
      <rPr>
        <sz val="10"/>
        <rFont val="Arial"/>
        <family val="0"/>
        <charset val="1"/>
      </rPr>
      <t xml:space="preserve">32</t>
    </r>
    <r>
      <rPr>
        <sz val="10"/>
        <rFont val="Noto Sans CJK SC"/>
        <family val="2"/>
      </rPr>
      <t xml:space="preserve">公厘，插入深度為</t>
    </r>
  </si>
  <si>
    <r>
      <rPr>
        <sz val="10"/>
        <rFont val="Arial"/>
        <family val="0"/>
        <charset val="1"/>
      </rPr>
      <t xml:space="preserve">PVC</t>
    </r>
    <r>
      <rPr>
        <sz val="10"/>
        <rFont val="Noto Sans CJK SC"/>
        <family val="2"/>
      </rPr>
      <t xml:space="preserve">管承插接頭標稱管徑</t>
    </r>
    <r>
      <rPr>
        <sz val="10"/>
        <rFont val="Arial"/>
        <family val="0"/>
        <charset val="1"/>
      </rPr>
      <t xml:space="preserve">40</t>
    </r>
    <r>
      <rPr>
        <sz val="10"/>
        <rFont val="Noto Sans CJK SC"/>
        <family val="2"/>
      </rPr>
      <t xml:space="preserve">公厘，插入深度為</t>
    </r>
  </si>
  <si>
    <r>
      <rPr>
        <sz val="10"/>
        <rFont val="Arial"/>
        <family val="0"/>
        <charset val="1"/>
      </rPr>
      <t xml:space="preserve">90 </t>
    </r>
    <r>
      <rPr>
        <sz val="10"/>
        <rFont val="Noto Sans CJK SC"/>
        <family val="2"/>
      </rPr>
      <t xml:space="preserve">公厘</t>
    </r>
  </si>
  <si>
    <r>
      <rPr>
        <sz val="10"/>
        <rFont val="Arial"/>
        <family val="0"/>
        <charset val="1"/>
      </rPr>
      <t xml:space="preserve">PVC</t>
    </r>
    <r>
      <rPr>
        <sz val="10"/>
        <rFont val="Noto Sans CJK SC"/>
        <family val="2"/>
      </rPr>
      <t xml:space="preserve">管承插接頭標稱管徑</t>
    </r>
    <r>
      <rPr>
        <sz val="10"/>
        <rFont val="Arial"/>
        <family val="0"/>
        <charset val="1"/>
      </rPr>
      <t xml:space="preserve">50</t>
    </r>
    <r>
      <rPr>
        <sz val="10"/>
        <rFont val="Noto Sans CJK SC"/>
        <family val="2"/>
      </rPr>
      <t xml:space="preserve">公厘，插入深度為</t>
    </r>
  </si>
  <si>
    <r>
      <rPr>
        <sz val="10"/>
        <rFont val="Arial"/>
        <family val="0"/>
        <charset val="1"/>
      </rPr>
      <t xml:space="preserve">PVC</t>
    </r>
    <r>
      <rPr>
        <sz val="10"/>
        <rFont val="Noto Sans CJK SC"/>
        <family val="2"/>
      </rPr>
      <t xml:space="preserve">管承插接頭標稱管徑</t>
    </r>
    <r>
      <rPr>
        <sz val="10"/>
        <rFont val="Arial"/>
        <family val="0"/>
        <charset val="1"/>
      </rPr>
      <t xml:space="preserve">65</t>
    </r>
    <r>
      <rPr>
        <sz val="10"/>
        <rFont val="Noto Sans CJK SC"/>
        <family val="2"/>
      </rPr>
      <t xml:space="preserve">公厘，插入深度為</t>
    </r>
  </si>
  <si>
    <r>
      <rPr>
        <sz val="10"/>
        <rFont val="Arial"/>
        <family val="0"/>
        <charset val="1"/>
      </rPr>
      <t xml:space="preserve">PVC</t>
    </r>
    <r>
      <rPr>
        <sz val="10"/>
        <rFont val="Noto Sans CJK SC"/>
        <family val="2"/>
      </rPr>
      <t xml:space="preserve">管承插接頭標稱管徑</t>
    </r>
    <r>
      <rPr>
        <sz val="10"/>
        <rFont val="Arial"/>
        <family val="0"/>
        <charset val="1"/>
      </rPr>
      <t xml:space="preserve">80</t>
    </r>
    <r>
      <rPr>
        <sz val="10"/>
        <rFont val="Noto Sans CJK SC"/>
        <family val="2"/>
      </rPr>
      <t xml:space="preserve">公厘，插入深度為</t>
    </r>
  </si>
  <si>
    <r>
      <rPr>
        <sz val="10"/>
        <rFont val="Arial"/>
        <family val="0"/>
        <charset val="1"/>
      </rPr>
      <t xml:space="preserve">PVC</t>
    </r>
    <r>
      <rPr>
        <sz val="10"/>
        <rFont val="Noto Sans CJK SC"/>
        <family val="2"/>
      </rPr>
      <t xml:space="preserve">管承插接頭標稱管徑</t>
    </r>
    <r>
      <rPr>
        <sz val="10"/>
        <rFont val="Arial"/>
        <family val="0"/>
        <charset val="1"/>
      </rPr>
      <t xml:space="preserve">100</t>
    </r>
    <r>
      <rPr>
        <sz val="10"/>
        <rFont val="Noto Sans CJK SC"/>
        <family val="2"/>
      </rPr>
      <t xml:space="preserve">公厘，插入深度為</t>
    </r>
  </si>
  <si>
    <r>
      <rPr>
        <sz val="10"/>
        <rFont val="Arial"/>
        <family val="0"/>
        <charset val="1"/>
      </rPr>
      <t xml:space="preserve">110 </t>
    </r>
    <r>
      <rPr>
        <sz val="10"/>
        <rFont val="Noto Sans CJK SC"/>
        <family val="2"/>
      </rPr>
      <t xml:space="preserve">公厘</t>
    </r>
  </si>
  <si>
    <r>
      <rPr>
        <sz val="10"/>
        <rFont val="Arial"/>
        <family val="0"/>
        <charset val="1"/>
      </rPr>
      <t xml:space="preserve">PVC</t>
    </r>
    <r>
      <rPr>
        <sz val="10"/>
        <rFont val="Noto Sans CJK SC"/>
        <family val="2"/>
      </rPr>
      <t xml:space="preserve">管承插接頭標稱管徑</t>
    </r>
    <r>
      <rPr>
        <sz val="10"/>
        <rFont val="Arial"/>
        <family val="0"/>
        <charset val="1"/>
      </rPr>
      <t xml:space="preserve">125</t>
    </r>
    <r>
      <rPr>
        <sz val="10"/>
        <rFont val="Noto Sans CJK SC"/>
        <family val="2"/>
      </rPr>
      <t xml:space="preserve">公厘，插入深度為</t>
    </r>
  </si>
  <si>
    <t xml:space="preserve">140</t>
  </si>
  <si>
    <r>
      <rPr>
        <sz val="10"/>
        <rFont val="Arial"/>
        <family val="0"/>
        <charset val="1"/>
      </rPr>
      <t xml:space="preserve">160 </t>
    </r>
    <r>
      <rPr>
        <sz val="10"/>
        <rFont val="Noto Sans CJK SC"/>
        <family val="2"/>
      </rPr>
      <t xml:space="preserve">公厘</t>
    </r>
  </si>
  <si>
    <r>
      <rPr>
        <sz val="10"/>
        <rFont val="Arial"/>
        <family val="0"/>
        <charset val="1"/>
      </rPr>
      <t xml:space="preserve">PVC</t>
    </r>
    <r>
      <rPr>
        <sz val="10"/>
        <rFont val="Noto Sans CJK SC"/>
        <family val="2"/>
      </rPr>
      <t xml:space="preserve">管承插接頭標稱管徑</t>
    </r>
    <r>
      <rPr>
        <sz val="10"/>
        <rFont val="Arial"/>
        <family val="0"/>
        <charset val="1"/>
      </rPr>
      <t xml:space="preserve">150</t>
    </r>
    <r>
      <rPr>
        <sz val="10"/>
        <rFont val="Noto Sans CJK SC"/>
        <family val="2"/>
      </rPr>
      <t xml:space="preserve">公厘，插入深度為</t>
    </r>
  </si>
  <si>
    <t xml:space="preserve">無縫鋼管裝接可採用</t>
  </si>
  <si>
    <t xml:space="preserve">法蘭裝接</t>
  </si>
  <si>
    <t xml:space="preserve">第四章 消防設備及空調設備工程品質管理實務</t>
  </si>
  <si>
    <t xml:space="preserve">單元二：第四章 消防設備及空調設備工程品質管理實務</t>
  </si>
  <si>
    <t xml:space="preserve">空調系統理論設備及施工最重要之依據為美國冷凍空調協會，英文簡稱為</t>
  </si>
  <si>
    <t xml:space="preserve">ASHRAE</t>
  </si>
  <si>
    <t xml:space="preserve">AMCA</t>
  </si>
  <si>
    <t xml:space="preserve">消防與空調、空調</t>
  </si>
  <si>
    <t xml:space="preserve">受信總機，中繼器及偵煙式探測器，有設定蓄積時間時，其蓄積時間之合計，每一火警分區不得超過</t>
  </si>
  <si>
    <r>
      <rPr>
        <sz val="10"/>
        <rFont val="Arial"/>
        <family val="0"/>
        <charset val="1"/>
      </rPr>
      <t xml:space="preserve">40</t>
    </r>
    <r>
      <rPr>
        <sz val="10"/>
        <rFont val="Noto Sans CJK SC"/>
        <family val="2"/>
      </rPr>
      <t xml:space="preserve">秒</t>
    </r>
  </si>
  <si>
    <r>
      <rPr>
        <sz val="10"/>
        <rFont val="Arial"/>
        <family val="0"/>
        <charset val="1"/>
      </rPr>
      <t xml:space="preserve">60</t>
    </r>
    <r>
      <rPr>
        <sz val="10"/>
        <rFont val="Noto Sans CJK SC"/>
        <family val="2"/>
      </rPr>
      <t xml:space="preserve">秒</t>
    </r>
  </si>
  <si>
    <t xml:space="preserve">消防與空調</t>
  </si>
  <si>
    <t xml:space="preserve">常開式探測器信號迴路，配線應採用</t>
  </si>
  <si>
    <t xml:space="preserve">並接式</t>
  </si>
  <si>
    <t xml:space="preserve">串接式</t>
  </si>
  <si>
    <r>
      <rPr>
        <sz val="10"/>
        <rFont val="Arial"/>
        <family val="0"/>
        <charset val="1"/>
      </rPr>
      <t xml:space="preserve">P</t>
    </r>
    <r>
      <rPr>
        <sz val="10"/>
        <rFont val="Noto Sans CJK SC"/>
        <family val="2"/>
      </rPr>
      <t xml:space="preserve">型受信總機探測器迴路電阻，應在多少</t>
    </r>
    <r>
      <rPr>
        <sz val="10"/>
        <rFont val="Arial"/>
        <family val="0"/>
        <charset val="1"/>
      </rPr>
      <t xml:space="preserve">Ω</t>
    </r>
    <r>
      <rPr>
        <sz val="10"/>
        <rFont val="Noto Sans CJK SC"/>
        <family val="2"/>
      </rPr>
      <t xml:space="preserve">以下？</t>
    </r>
  </si>
  <si>
    <t xml:space="preserve">20Ω</t>
  </si>
  <si>
    <t xml:space="preserve">30Ω</t>
  </si>
  <si>
    <t xml:space="preserve">40Ω</t>
  </si>
  <si>
    <t xml:space="preserve">探測器距離出風口需有多少距離以上？</t>
  </si>
  <si>
    <t xml:space="preserve">3m</t>
  </si>
  <si>
    <t xml:space="preserve">探測器之探測區域，為四週以多少淨高之牆或類似構造物包圍者？</t>
  </si>
  <si>
    <r>
      <rPr>
        <sz val="10"/>
        <rFont val="Arial"/>
        <family val="0"/>
        <charset val="1"/>
      </rPr>
      <t xml:space="preserve">30</t>
    </r>
    <r>
      <rPr>
        <sz val="10"/>
        <rFont val="Noto Sans CJK SC"/>
        <family val="2"/>
      </rPr>
      <t xml:space="preserve">㎝</t>
    </r>
  </si>
  <si>
    <r>
      <rPr>
        <sz val="10"/>
        <rFont val="Arial"/>
        <family val="0"/>
        <charset val="1"/>
      </rPr>
      <t xml:space="preserve">40</t>
    </r>
    <r>
      <rPr>
        <sz val="10"/>
        <rFont val="Noto Sans CJK SC"/>
        <family val="2"/>
      </rPr>
      <t xml:space="preserve">㎝</t>
    </r>
  </si>
  <si>
    <r>
      <rPr>
        <sz val="10"/>
        <rFont val="Arial"/>
        <family val="0"/>
        <charset val="1"/>
      </rPr>
      <t xml:space="preserve">50</t>
    </r>
    <r>
      <rPr>
        <sz val="10"/>
        <rFont val="Noto Sans CJK SC"/>
        <family val="2"/>
      </rPr>
      <t xml:space="preserve">㎝</t>
    </r>
  </si>
  <si>
    <r>
      <rPr>
        <sz val="10"/>
        <rFont val="Arial"/>
        <family val="0"/>
        <charset val="1"/>
      </rPr>
      <t xml:space="preserve">70</t>
    </r>
    <r>
      <rPr>
        <sz val="10"/>
        <rFont val="Noto Sans CJK SC"/>
        <family val="2"/>
      </rPr>
      <t xml:space="preserve">㎝</t>
    </r>
  </si>
  <si>
    <t xml:space="preserve">手動報警機離地面高度為</t>
  </si>
  <si>
    <t xml:space="preserve">1.2~1.5M</t>
  </si>
  <si>
    <r>
      <rPr>
        <sz val="10"/>
        <rFont val="Arial"/>
        <family val="0"/>
        <charset val="1"/>
      </rPr>
      <t xml:space="preserve">1M</t>
    </r>
    <r>
      <rPr>
        <sz val="10"/>
        <rFont val="Noto Sans CJK SC"/>
        <family val="2"/>
      </rPr>
      <t xml:space="preserve">以下</t>
    </r>
  </si>
  <si>
    <r>
      <rPr>
        <sz val="10"/>
        <rFont val="Arial"/>
        <family val="0"/>
        <charset val="1"/>
      </rPr>
      <t xml:space="preserve">2M</t>
    </r>
    <r>
      <rPr>
        <sz val="10"/>
        <rFont val="Noto Sans CJK SC"/>
        <family val="2"/>
      </rPr>
      <t xml:space="preserve">以上</t>
    </r>
  </si>
  <si>
    <t xml:space="preserve">標示燈、火警警鈴距地板面之高度為多少公尺？</t>
  </si>
  <si>
    <t xml:space="preserve">廣播分區在安全梯垂直距離每多少M單獨設定一廣播分區</t>
  </si>
  <si>
    <t xml:space="preserve">20M</t>
  </si>
  <si>
    <t xml:space="preserve">25M</t>
  </si>
  <si>
    <t xml:space="preserve">45M</t>
  </si>
  <si>
    <t xml:space="preserve">50M</t>
  </si>
  <si>
    <t xml:space="preserve">排煙口距防煙區劃各處需在多少距離以內？</t>
  </si>
  <si>
    <t xml:space="preserve">10m</t>
  </si>
  <si>
    <t xml:space="preserve">20m</t>
  </si>
  <si>
    <t xml:space="preserve">使用密閉式撒水頭，下方風管等障礙物超過多少寬度時，障礙物下方亦應設置撒水頭？</t>
  </si>
  <si>
    <t xml:space="preserve">80CM</t>
  </si>
  <si>
    <t xml:space="preserve">100CM</t>
  </si>
  <si>
    <t xml:space="preserve">120CM</t>
  </si>
  <si>
    <t xml:space="preserve">200CM</t>
  </si>
  <si>
    <t xml:space="preserve">消防栓同樓層共同使用時，其瞄子放水壓力不得小於多少？</t>
  </si>
  <si>
    <r>
      <rPr>
        <sz val="10"/>
        <rFont val="Arial"/>
        <family val="0"/>
        <charset val="1"/>
      </rPr>
      <t xml:space="preserve">0.5</t>
    </r>
    <r>
      <rPr>
        <sz val="10"/>
        <rFont val="Noto Sans CJK SC"/>
        <family val="2"/>
      </rPr>
      <t xml:space="preserve">㎏</t>
    </r>
    <r>
      <rPr>
        <sz val="10"/>
        <rFont val="Arial"/>
        <family val="0"/>
        <charset val="1"/>
      </rPr>
      <t xml:space="preserve">/</t>
    </r>
    <r>
      <rPr>
        <sz val="10"/>
        <rFont val="Noto Sans CJK SC"/>
        <family val="2"/>
      </rPr>
      <t xml:space="preserve">㎠</t>
    </r>
  </si>
  <si>
    <r>
      <rPr>
        <sz val="10"/>
        <rFont val="Arial"/>
        <family val="0"/>
        <charset val="1"/>
      </rPr>
      <t xml:space="preserve">1.0</t>
    </r>
    <r>
      <rPr>
        <sz val="10"/>
        <rFont val="Noto Sans CJK SC"/>
        <family val="2"/>
      </rPr>
      <t xml:space="preserve">㎏</t>
    </r>
    <r>
      <rPr>
        <sz val="10"/>
        <rFont val="Arial"/>
        <family val="0"/>
        <charset val="1"/>
      </rPr>
      <t xml:space="preserve">/</t>
    </r>
    <r>
      <rPr>
        <sz val="10"/>
        <rFont val="Noto Sans CJK SC"/>
        <family val="2"/>
      </rPr>
      <t xml:space="preserve">㎠</t>
    </r>
  </si>
  <si>
    <r>
      <rPr>
        <sz val="10"/>
        <rFont val="Arial"/>
        <family val="0"/>
        <charset val="1"/>
      </rPr>
      <t xml:space="preserve">1.5</t>
    </r>
    <r>
      <rPr>
        <sz val="10"/>
        <rFont val="Noto Sans CJK SC"/>
        <family val="2"/>
      </rPr>
      <t xml:space="preserve">㎏</t>
    </r>
    <r>
      <rPr>
        <sz val="10"/>
        <rFont val="Arial"/>
        <family val="0"/>
        <charset val="1"/>
      </rPr>
      <t xml:space="preserve">/</t>
    </r>
    <r>
      <rPr>
        <sz val="10"/>
        <rFont val="Noto Sans CJK SC"/>
        <family val="2"/>
      </rPr>
      <t xml:space="preserve">㎠</t>
    </r>
  </si>
  <si>
    <r>
      <rPr>
        <sz val="10"/>
        <rFont val="Arial"/>
        <family val="0"/>
        <charset val="1"/>
      </rPr>
      <t xml:space="preserve">1.7</t>
    </r>
    <r>
      <rPr>
        <sz val="10"/>
        <rFont val="Noto Sans CJK SC"/>
        <family val="2"/>
      </rPr>
      <t xml:space="preserve">㎏</t>
    </r>
    <r>
      <rPr>
        <sz val="10"/>
        <rFont val="Arial"/>
        <family val="0"/>
        <charset val="1"/>
      </rPr>
      <t xml:space="preserve">/</t>
    </r>
    <r>
      <rPr>
        <sz val="10"/>
        <rFont val="Noto Sans CJK SC"/>
        <family val="2"/>
      </rPr>
      <t xml:space="preserve">㎠</t>
    </r>
  </si>
  <si>
    <t xml:space="preserve">消防與空調、消防</t>
  </si>
  <si>
    <t xml:space="preserve">舒適性空調係指下列何種建築？</t>
  </si>
  <si>
    <t xml:space="preserve">辦公室</t>
  </si>
  <si>
    <t xml:space="preserve">工廠</t>
  </si>
  <si>
    <t xml:space="preserve">倉庫</t>
  </si>
  <si>
    <t xml:space="preserve">電信局</t>
  </si>
  <si>
    <t xml:space="preserve">通常小型冷氣機室內機與室外機之冷媒水平配管愈短愈好，配管最長距離希望不超過</t>
  </si>
  <si>
    <t xml:space="preserve">風管製造，內部應平整不漏氣，鐵皮之連接應順風向，大小尺寸改變處角度建議以小於多少角度為準？</t>
  </si>
  <si>
    <t xml:space="preserve">20°</t>
  </si>
  <si>
    <t xml:space="preserve">50°</t>
  </si>
  <si>
    <t xml:space="preserve">空調風量之試驗與調整，各風口、風機其誤差值一般合約規定皆建議在多少範圍以內？</t>
  </si>
  <si>
    <t xml:space="preserve">常開式之探測器信號迴路，其配線應採用何種形式？並加設終端電阻，以便藉由火警受信總機作迴路斷線自動檢出用。</t>
  </si>
  <si>
    <t xml:space="preserve">串並接式</t>
  </si>
  <si>
    <t xml:space="preserve">埋設於屋外或浸水之慮之配線，應採用電纜並穿於金屬管或塑膠導線，與電力線保持</t>
  </si>
  <si>
    <r>
      <rPr>
        <sz val="10"/>
        <rFont val="Arial"/>
        <family val="0"/>
        <charset val="1"/>
      </rPr>
      <t xml:space="preserve">60</t>
    </r>
    <r>
      <rPr>
        <sz val="10"/>
        <rFont val="Noto Sans CJK SC"/>
        <family val="2"/>
      </rPr>
      <t xml:space="preserve">㎝以上間距</t>
    </r>
  </si>
  <si>
    <t xml:space="preserve">緩降機按裝處需保有多少㎡以上，且邊長在60cm以上之操作面積？</t>
  </si>
  <si>
    <r>
      <rPr>
        <sz val="10"/>
        <rFont val="Arial"/>
        <family val="0"/>
        <charset val="1"/>
      </rPr>
      <t xml:space="preserve">0.5</t>
    </r>
    <r>
      <rPr>
        <sz val="10"/>
        <rFont val="Noto Sans CJK SC"/>
        <family val="2"/>
      </rPr>
      <t xml:space="preserve">㎡</t>
    </r>
  </si>
  <si>
    <r>
      <rPr>
        <sz val="10"/>
        <rFont val="Arial"/>
        <family val="0"/>
        <charset val="1"/>
      </rPr>
      <t xml:space="preserve">50</t>
    </r>
    <r>
      <rPr>
        <sz val="10"/>
        <rFont val="Noto Sans CJK SC"/>
        <family val="2"/>
      </rPr>
      <t xml:space="preserve">㎡</t>
    </r>
  </si>
  <si>
    <r>
      <rPr>
        <sz val="10"/>
        <rFont val="Arial"/>
        <family val="0"/>
        <charset val="1"/>
      </rPr>
      <t xml:space="preserve">60</t>
    </r>
    <r>
      <rPr>
        <sz val="10"/>
        <rFont val="Noto Sans CJK SC"/>
        <family val="2"/>
      </rPr>
      <t xml:space="preserve">㎡</t>
    </r>
  </si>
  <si>
    <r>
      <rPr>
        <sz val="10"/>
        <rFont val="Arial"/>
        <family val="0"/>
        <charset val="1"/>
      </rPr>
      <t xml:space="preserve">70</t>
    </r>
    <r>
      <rPr>
        <sz val="10"/>
        <rFont val="Noto Sans CJK SC"/>
        <family val="2"/>
      </rPr>
      <t xml:space="preserve">㎡</t>
    </r>
  </si>
  <si>
    <t xml:space="preserve">排煙口，距防煙區劃各部分應在幾m以內？</t>
  </si>
  <si>
    <t xml:space="preserve">撒水頭迴水板下</t>
  </si>
  <si>
    <r>
      <rPr>
        <sz val="10"/>
        <rFont val="Arial"/>
        <family val="0"/>
        <charset val="1"/>
      </rPr>
      <t xml:space="preserve">70cm</t>
    </r>
    <r>
      <rPr>
        <sz val="10"/>
        <rFont val="Noto Sans CJK SC"/>
        <family val="2"/>
      </rPr>
      <t xml:space="preserve">內及水平方向</t>
    </r>
    <r>
      <rPr>
        <sz val="10"/>
        <rFont val="Arial"/>
        <family val="0"/>
        <charset val="1"/>
      </rPr>
      <t xml:space="preserve">30cm</t>
    </r>
    <r>
      <rPr>
        <sz val="10"/>
        <rFont val="Noto Sans CJK SC"/>
        <family val="2"/>
      </rPr>
      <t xml:space="preserve">內應保持靜空間，不得有障礙物</t>
    </r>
  </si>
  <si>
    <t xml:space="preserve">海龍替代滅火設備，施作時需特別注意其房間之何種特性？以利通過將來竣工時消檢所須之氣密試驗(fantest)</t>
  </si>
  <si>
    <t xml:space="preserve">氣密性</t>
  </si>
  <si>
    <t xml:space="preserve">阻熱性</t>
  </si>
  <si>
    <t xml:space="preserve">耐燃性</t>
  </si>
  <si>
    <t xml:space="preserve">耐熱性</t>
  </si>
  <si>
    <t xml:space="preserve">使用密閉式撒水頭，且風管、棚架等障礙物之寬度超過多少公分時，該風管等障礙物下方亦應一併設置？</t>
  </si>
  <si>
    <t xml:space="preserve">120cm</t>
  </si>
  <si>
    <t xml:space="preserve">50cm</t>
  </si>
  <si>
    <t xml:space="preserve">60cm</t>
  </si>
  <si>
    <t xml:space="preserve">70cm</t>
  </si>
  <si>
    <t xml:space="preserve">侷限型探測器設置應距出風口1.5m以上，且距回風口</t>
  </si>
  <si>
    <t xml:space="preserve">以上皆非範圍內</t>
  </si>
  <si>
    <t xml:space="preserve">出口標示燈及避難方向指示燈之緊急電源應使用蓄電池設備，其容量應能使其有效動作應為幾分鐘以上？</t>
  </si>
  <si>
    <r>
      <rPr>
        <sz val="10"/>
        <rFont val="Arial"/>
        <family val="0"/>
        <charset val="1"/>
      </rPr>
      <t xml:space="preserve">5</t>
    </r>
    <r>
      <rPr>
        <sz val="10"/>
        <rFont val="Noto Sans CJK SC"/>
        <family val="2"/>
      </rPr>
      <t xml:space="preserve">分鐘</t>
    </r>
  </si>
  <si>
    <r>
      <rPr>
        <sz val="10"/>
        <rFont val="Arial"/>
        <family val="0"/>
        <charset val="1"/>
      </rPr>
      <t xml:space="preserve">15</t>
    </r>
    <r>
      <rPr>
        <sz val="10"/>
        <rFont val="Noto Sans CJK SC"/>
        <family val="2"/>
      </rPr>
      <t xml:space="preserve">分鐘</t>
    </r>
  </si>
  <si>
    <r>
      <rPr>
        <sz val="10"/>
        <rFont val="Arial"/>
        <family val="0"/>
        <charset val="1"/>
      </rPr>
      <t xml:space="preserve">20</t>
    </r>
    <r>
      <rPr>
        <sz val="10"/>
        <rFont val="Noto Sans CJK SC"/>
        <family val="2"/>
      </rPr>
      <t xml:space="preserve">分鐘</t>
    </r>
  </si>
  <si>
    <t xml:space="preserve">下列何者不屬密閉式撒水頭</t>
  </si>
  <si>
    <t xml:space="preserve">濕式系統</t>
  </si>
  <si>
    <t xml:space="preserve">乾式系統</t>
  </si>
  <si>
    <t xml:space="preserve">預動式系統</t>
  </si>
  <si>
    <t xml:space="preserve">一齊開啟式系統</t>
  </si>
  <si>
    <t xml:space="preserve">下列何項滅火設備不得設置於常時有人場所？</t>
  </si>
  <si>
    <t xml:space="preserve">撒水</t>
  </si>
  <si>
    <t xml:space="preserve">乾粉</t>
  </si>
  <si>
    <t xml:space="preserve">海龍替代(潔淨氣體)</t>
  </si>
  <si>
    <r>
      <rPr>
        <sz val="10"/>
        <rFont val="Arial"/>
        <family val="0"/>
        <charset val="1"/>
      </rPr>
      <t xml:space="preserve">CO2</t>
    </r>
    <r>
      <rPr>
        <sz val="10"/>
        <rFont val="Noto Sans CJK SC"/>
        <family val="2"/>
      </rPr>
      <t xml:space="preserve">滅火設備</t>
    </r>
  </si>
  <si>
    <t xml:space="preserve">下列各空調設備，何者單一空調主機容量最大？</t>
  </si>
  <si>
    <t xml:space="preserve">窗型或分離式</t>
  </si>
  <si>
    <t xml:space="preserve">箱型系統(package system)</t>
  </si>
  <si>
    <t xml:space="preserve">多聯變頻(VRF)</t>
  </si>
  <si>
    <t xml:space="preserve">中央空調系統</t>
  </si>
  <si>
    <t xml:space="preserve">多聯變頻系統不包括何循環？</t>
  </si>
  <si>
    <t xml:space="preserve">室內空氣</t>
  </si>
  <si>
    <t xml:space="preserve">冷媒</t>
  </si>
  <si>
    <t xml:space="preserve">室外空氣</t>
  </si>
  <si>
    <t xml:space="preserve">冰水循環</t>
  </si>
  <si>
    <t xml:space="preserve">中央空調系統下列何者屬全氣系統？</t>
  </si>
  <si>
    <t xml:space="preserve">FCU</t>
  </si>
  <si>
    <t xml:space="preserve">FCU+AHU</t>
  </si>
  <si>
    <t xml:space="preserve">AHU</t>
  </si>
  <si>
    <t xml:space="preserve">水管吊架或支架間距與管徑關係</t>
  </si>
  <si>
    <t xml:space="preserve">管徑越大，最大間距小</t>
  </si>
  <si>
    <t xml:space="preserve">固定間距與管徑無關</t>
  </si>
  <si>
    <t xml:space="preserve">管徑越大，最大間距越大</t>
  </si>
  <si>
    <t xml:space="preserve">密閉式膨脹水箱安裝於泵吸入端，開放式膨脹水箱應裝於</t>
  </si>
  <si>
    <t xml:space="preserve">吐出側最低點</t>
  </si>
  <si>
    <t xml:space="preserve">吐出側最高點</t>
  </si>
  <si>
    <t xml:space="preserve">吸入側最低點</t>
  </si>
  <si>
    <t xml:space="preserve">吸入側最高點</t>
  </si>
  <si>
    <t xml:space="preserve">火警受信總機應符合下列何者規定？</t>
  </si>
  <si>
    <t xml:space="preserve">CNS 14644</t>
  </si>
  <si>
    <t xml:space="preserve">CNS 12575</t>
  </si>
  <si>
    <t xml:space="preserve">CNS 8877</t>
  </si>
  <si>
    <t xml:space="preserve">CNS A3113</t>
  </si>
  <si>
    <r>
      <rPr>
        <sz val="10"/>
        <rFont val="Arial"/>
        <family val="0"/>
        <charset val="1"/>
      </rPr>
      <t xml:space="preserve">P</t>
    </r>
    <r>
      <rPr>
        <sz val="10"/>
        <rFont val="Noto Sans CJK SC"/>
        <family val="2"/>
      </rPr>
      <t xml:space="preserve">型受信總機採數分區共用配線時，該公用線供應之分區數，不得超過幾個迴路</t>
    </r>
  </si>
  <si>
    <t xml:space="preserve">五個</t>
  </si>
  <si>
    <t xml:space="preserve">七個</t>
  </si>
  <si>
    <t xml:space="preserve">八個</t>
  </si>
  <si>
    <t xml:space="preserve">空調系統之分類若屬於個別方式，下列哪種系統屬之？</t>
  </si>
  <si>
    <t xml:space="preserve">窗型冷氣機</t>
  </si>
  <si>
    <t xml:space="preserve">分離式冷氣機</t>
  </si>
  <si>
    <t xml:space="preserve">箱型冷氣機</t>
  </si>
  <si>
    <t xml:space="preserve">機組內藏冷凍機可直接設置於室內行空調之方式稱為何？</t>
  </si>
  <si>
    <t xml:space="preserve">中央系統</t>
  </si>
  <si>
    <t xml:space="preserve">冰水系統</t>
  </si>
  <si>
    <t xml:space="preserve">個別方式</t>
  </si>
  <si>
    <t xml:space="preserve">儲冰系統</t>
  </si>
  <si>
    <t xml:space="preserve">風管變徑時之擴大應維持進風側幾度以下？</t>
  </si>
  <si>
    <t xml:space="preserve">＜10度</t>
  </si>
  <si>
    <t xml:space="preserve">＜15度</t>
  </si>
  <si>
    <t xml:space="preserve">＜40度</t>
  </si>
  <si>
    <t xml:space="preserve">＜50度</t>
  </si>
  <si>
    <t xml:space="preserve">風管變徑時之擴大應維持出風側幾度以下？</t>
  </si>
  <si>
    <r>
      <rPr>
        <sz val="10"/>
        <rFont val="Arial"/>
        <family val="0"/>
        <charset val="1"/>
      </rPr>
      <t xml:space="preserve">&lt;10</t>
    </r>
    <r>
      <rPr>
        <sz val="10"/>
        <rFont val="Noto Sans CJK SC"/>
        <family val="2"/>
      </rPr>
      <t xml:space="preserve">度</t>
    </r>
  </si>
  <si>
    <r>
      <rPr>
        <sz val="10"/>
        <rFont val="Arial"/>
        <family val="0"/>
        <charset val="1"/>
      </rPr>
      <t xml:space="preserve">&lt;20</t>
    </r>
    <r>
      <rPr>
        <sz val="10"/>
        <rFont val="Noto Sans CJK SC"/>
        <family val="2"/>
      </rPr>
      <t xml:space="preserve">度</t>
    </r>
  </si>
  <si>
    <r>
      <rPr>
        <sz val="10"/>
        <rFont val="Arial"/>
        <family val="0"/>
        <charset val="1"/>
      </rPr>
      <t xml:space="preserve">&lt;30</t>
    </r>
    <r>
      <rPr>
        <sz val="10"/>
        <rFont val="Noto Sans CJK SC"/>
        <family val="2"/>
      </rPr>
      <t xml:space="preserve">度</t>
    </r>
  </si>
  <si>
    <r>
      <rPr>
        <sz val="10"/>
        <rFont val="Arial"/>
        <family val="0"/>
        <charset val="1"/>
      </rPr>
      <t xml:space="preserve">&lt;40</t>
    </r>
    <r>
      <rPr>
        <sz val="10"/>
        <rFont val="Noto Sans CJK SC"/>
        <family val="2"/>
      </rPr>
      <t xml:space="preserve">度</t>
    </r>
  </si>
  <si>
    <t xml:space="preserve">風管與空調箱式風機連接處應施作帆布接頭，建議至少應為多少長度？</t>
  </si>
  <si>
    <r>
      <rPr>
        <sz val="10"/>
        <rFont val="Arial"/>
        <family val="0"/>
        <charset val="1"/>
      </rPr>
      <t xml:space="preserve">10</t>
    </r>
    <r>
      <rPr>
        <sz val="10"/>
        <rFont val="Noto Sans CJK SC"/>
        <family val="2"/>
      </rPr>
      <t xml:space="preserve">㎝</t>
    </r>
  </si>
  <si>
    <r>
      <rPr>
        <sz val="10"/>
        <rFont val="Arial"/>
        <family val="0"/>
        <charset val="1"/>
      </rPr>
      <t xml:space="preserve">20</t>
    </r>
    <r>
      <rPr>
        <sz val="10"/>
        <rFont val="Noto Sans CJK SC"/>
        <family val="2"/>
      </rPr>
      <t xml:space="preserve">㎝</t>
    </r>
  </si>
  <si>
    <t xml:space="preserve">空調箱排水，因大部份系統管排內皆為負壓，故排水管應如何處理？</t>
  </si>
  <si>
    <t xml:space="preserve">直接排放</t>
  </si>
  <si>
    <r>
      <rPr>
        <sz val="10"/>
        <rFont val="Arial"/>
        <family val="0"/>
        <charset val="1"/>
      </rPr>
      <t xml:space="preserve">U-TRAP(</t>
    </r>
    <r>
      <rPr>
        <sz val="10"/>
        <rFont val="Noto Sans CJK SC"/>
        <family val="2"/>
      </rPr>
      <t xml:space="preserve">存水彎</t>
    </r>
    <r>
      <rPr>
        <sz val="10"/>
        <rFont val="Arial"/>
        <family val="0"/>
        <charset val="1"/>
      </rPr>
      <t xml:space="preserve">)</t>
    </r>
  </si>
  <si>
    <t xml:space="preserve">壓力排放</t>
  </si>
  <si>
    <t xml:space="preserve">消防與空調、空調、給排水</t>
  </si>
  <si>
    <t xml:space="preserve">下列何者為中央空調系統空調處理裝置？</t>
  </si>
  <si>
    <t xml:space="preserve">冷卻管排</t>
  </si>
  <si>
    <t xml:space="preserve">風機</t>
  </si>
  <si>
    <t xml:space="preserve">冷凍機</t>
  </si>
  <si>
    <t xml:space="preserve">冷卻水塔</t>
  </si>
  <si>
    <t xml:space="preserve">空調系統於管道間內之直立大型管路應不受地震影響，需考慮伸縮變化加設何種裝置與結構體隔離？</t>
  </si>
  <si>
    <t xml:space="preserve">隔震</t>
  </si>
  <si>
    <t xml:space="preserve">並接</t>
  </si>
  <si>
    <t xml:space="preserve">串並接</t>
  </si>
  <si>
    <t xml:space="preserve">冷卻水塔在屋頂上安裝施工時，必須特別注意屋頂之哪項設施？施工後不得有滲漏水之情況。</t>
  </si>
  <si>
    <t xml:space="preserve">防水設施</t>
  </si>
  <si>
    <t xml:space="preserve">撒水設施</t>
  </si>
  <si>
    <t xml:space="preserve">滅火設施</t>
  </si>
  <si>
    <t xml:space="preserve">兩者兼具</t>
  </si>
  <si>
    <t xml:space="preserve">泵浦基礎四週應設</t>
  </si>
  <si>
    <t xml:space="preserve">排水溝</t>
  </si>
  <si>
    <t xml:space="preserve">天溝</t>
  </si>
  <si>
    <t xml:space="preserve">牆面</t>
  </si>
  <si>
    <t xml:space="preserve">窗戶</t>
  </si>
  <si>
    <t xml:space="preserve">冰水主機之四週應留有廠家建議之最小？</t>
  </si>
  <si>
    <t xml:space="preserve">保養空間</t>
  </si>
  <si>
    <t xml:space="preserve">載重</t>
  </si>
  <si>
    <t xml:space="preserve">視狀況</t>
  </si>
  <si>
    <t xml:space="preserve">報告火災發生之器具或設備，稱之為</t>
  </si>
  <si>
    <t xml:space="preserve">警報設備</t>
  </si>
  <si>
    <t xml:space="preserve">消防搶救設備</t>
  </si>
  <si>
    <t xml:space="preserve">警報設備包含哪些項目</t>
  </si>
  <si>
    <t xml:space="preserve">火警自動警報器</t>
  </si>
  <si>
    <t xml:space="preserve">手動警報設備</t>
  </si>
  <si>
    <t xml:space="preserve">緊急廣播設備</t>
  </si>
  <si>
    <t xml:space="preserve">火警受信總機型式有哪些</t>
  </si>
  <si>
    <r>
      <rPr>
        <sz val="10"/>
        <rFont val="Arial"/>
        <family val="0"/>
        <charset val="1"/>
      </rPr>
      <t xml:space="preserve">P</t>
    </r>
    <r>
      <rPr>
        <sz val="10"/>
        <rFont val="Noto Sans CJK SC"/>
        <family val="2"/>
      </rPr>
      <t xml:space="preserve">型受信機</t>
    </r>
  </si>
  <si>
    <t xml:space="preserve">二信號授信機</t>
  </si>
  <si>
    <r>
      <rPr>
        <sz val="10"/>
        <rFont val="Arial"/>
        <family val="0"/>
        <charset val="1"/>
      </rPr>
      <t xml:space="preserve">R</t>
    </r>
    <r>
      <rPr>
        <sz val="10"/>
        <rFont val="Noto Sans CJK SC"/>
        <family val="2"/>
      </rPr>
      <t xml:space="preserve">型受信機</t>
    </r>
  </si>
  <si>
    <t xml:space="preserve">火警自動報警設備之緊急電源，應使用蓄電池設備，其容量能使其有效動作</t>
  </si>
  <si>
    <r>
      <rPr>
        <sz val="10"/>
        <rFont val="Arial"/>
        <family val="0"/>
        <charset val="1"/>
      </rPr>
      <t xml:space="preserve">10</t>
    </r>
    <r>
      <rPr>
        <sz val="10"/>
        <rFont val="Noto Sans CJK SC"/>
        <family val="2"/>
      </rPr>
      <t xml:space="preserve">分鐘以上</t>
    </r>
  </si>
  <si>
    <r>
      <rPr>
        <sz val="10"/>
        <rFont val="Arial"/>
        <family val="0"/>
        <charset val="1"/>
      </rPr>
      <t xml:space="preserve">20</t>
    </r>
    <r>
      <rPr>
        <sz val="10"/>
        <rFont val="Noto Sans CJK SC"/>
        <family val="2"/>
      </rPr>
      <t xml:space="preserve">分鐘以上</t>
    </r>
  </si>
  <si>
    <r>
      <rPr>
        <sz val="10"/>
        <rFont val="Arial"/>
        <family val="0"/>
        <charset val="1"/>
      </rPr>
      <t xml:space="preserve">0.5</t>
    </r>
    <r>
      <rPr>
        <sz val="10"/>
        <rFont val="Noto Sans CJK SC"/>
        <family val="2"/>
      </rPr>
      <t xml:space="preserve">小時以上</t>
    </r>
  </si>
  <si>
    <r>
      <rPr>
        <sz val="10"/>
        <rFont val="Arial"/>
        <family val="0"/>
        <charset val="1"/>
      </rPr>
      <t xml:space="preserve">1</t>
    </r>
    <r>
      <rPr>
        <sz val="10"/>
        <rFont val="Noto Sans CJK SC"/>
        <family val="2"/>
      </rPr>
      <t xml:space="preserve">小時以上</t>
    </r>
  </si>
  <si>
    <t xml:space="preserve">大型廣播分區揚聲器的音壓值應大於多少</t>
  </si>
  <si>
    <t xml:space="preserve">84dBA</t>
  </si>
  <si>
    <t xml:space="preserve">86dBA</t>
  </si>
  <si>
    <t xml:space="preserve">88dBA</t>
  </si>
  <si>
    <t xml:space="preserve">92dBA</t>
  </si>
  <si>
    <t xml:space="preserve">樓地板面積超過100M²，應採何種揚聲器</t>
  </si>
  <si>
    <r>
      <rPr>
        <sz val="10"/>
        <rFont val="Arial"/>
        <family val="0"/>
        <charset val="1"/>
      </rPr>
      <t xml:space="preserve">L</t>
    </r>
    <r>
      <rPr>
        <sz val="10"/>
        <rFont val="Noto Sans CJK SC"/>
        <family val="2"/>
      </rPr>
      <t xml:space="preserve">級</t>
    </r>
  </si>
  <si>
    <r>
      <rPr>
        <sz val="10"/>
        <rFont val="Arial"/>
        <family val="0"/>
        <charset val="1"/>
      </rPr>
      <t xml:space="preserve">M</t>
    </r>
    <r>
      <rPr>
        <sz val="10"/>
        <rFont val="Noto Sans CJK SC"/>
        <family val="2"/>
      </rPr>
      <t xml:space="preserve">級</t>
    </r>
  </si>
  <si>
    <r>
      <rPr>
        <sz val="10"/>
        <rFont val="Arial"/>
        <family val="0"/>
        <charset val="1"/>
      </rPr>
      <t xml:space="preserve">S</t>
    </r>
    <r>
      <rPr>
        <sz val="10"/>
        <rFont val="Noto Sans CJK SC"/>
        <family val="2"/>
      </rPr>
      <t xml:space="preserve">級</t>
    </r>
  </si>
  <si>
    <t xml:space="preserve">從各廣播區域內任一點至揚聲器之水平距離不得大於</t>
  </si>
  <si>
    <r>
      <rPr>
        <sz val="10"/>
        <rFont val="Arial"/>
        <family val="0"/>
        <charset val="1"/>
      </rPr>
      <t xml:space="preserve">5</t>
    </r>
    <r>
      <rPr>
        <sz val="10"/>
        <rFont val="Noto Sans CJK SC"/>
        <family val="2"/>
      </rPr>
      <t xml:space="preserve">公尺</t>
    </r>
  </si>
  <si>
    <r>
      <rPr>
        <sz val="10"/>
        <rFont val="Arial"/>
        <family val="0"/>
        <charset val="1"/>
      </rPr>
      <t xml:space="preserve">10</t>
    </r>
    <r>
      <rPr>
        <sz val="10"/>
        <rFont val="Noto Sans CJK SC"/>
        <family val="2"/>
      </rPr>
      <t xml:space="preserve">公尺</t>
    </r>
  </si>
  <si>
    <r>
      <rPr>
        <sz val="10"/>
        <rFont val="Arial"/>
        <family val="0"/>
        <charset val="1"/>
      </rPr>
      <t xml:space="preserve">20</t>
    </r>
    <r>
      <rPr>
        <sz val="10"/>
        <rFont val="Noto Sans CJK SC"/>
        <family val="2"/>
      </rPr>
      <t xml:space="preserve">公尺</t>
    </r>
  </si>
  <si>
    <r>
      <rPr>
        <sz val="10"/>
        <rFont val="Arial"/>
        <family val="0"/>
        <charset val="1"/>
      </rPr>
      <t xml:space="preserve">40</t>
    </r>
    <r>
      <rPr>
        <sz val="10"/>
        <rFont val="Noto Sans CJK SC"/>
        <family val="2"/>
      </rPr>
      <t xml:space="preserve">公尺</t>
    </r>
  </si>
  <si>
    <t xml:space="preserve">消防避難設備是指下列何項設備</t>
  </si>
  <si>
    <t xml:space="preserve">標示設備</t>
  </si>
  <si>
    <t xml:space="preserve">避難器具</t>
  </si>
  <si>
    <t xml:space="preserve">緊急照明</t>
  </si>
  <si>
    <t xml:space="preserve">消防避難器具是指下列何項設備？</t>
  </si>
  <si>
    <t xml:space="preserve">避難梯</t>
  </si>
  <si>
    <t xml:space="preserve">救助袋</t>
  </si>
  <si>
    <t xml:space="preserve">緩降機</t>
  </si>
  <si>
    <t xml:space="preserve">發生火災初期，適用哪種滅火設備</t>
  </si>
  <si>
    <t xml:space="preserve">滅火器</t>
  </si>
  <si>
    <t xml:space="preserve">自動撒水</t>
  </si>
  <si>
    <t xml:space="preserve">水務系統</t>
  </si>
  <si>
    <t xml:space="preserve">二氧化碳</t>
  </si>
  <si>
    <t xml:space="preserve">平時管內貯高壓空氣或氮氣，火災時撒水頭融片受熱熔化後，先將管內氣體排出，才啟動水閥或泵浦將水送入管內，水才會撒出來，稱之為</t>
  </si>
  <si>
    <t xml:space="preserve">濕式撒水系統</t>
  </si>
  <si>
    <t xml:space="preserve">乾式撒水系統</t>
  </si>
  <si>
    <t xml:space="preserve">預動式撒水系統</t>
  </si>
  <si>
    <t xml:space="preserve">一齊開啓式撒水系統</t>
  </si>
  <si>
    <t xml:space="preserve">平時管內無水，火災時先由自動裝置將水泵入管內，俟撒水頭融片熔化後，水才撒出來，稱之為</t>
  </si>
  <si>
    <t xml:space="preserve">平時管內無水，火災時直接將水泵入管內並由撒水頭立即將水撒出，稱之為</t>
  </si>
  <si>
    <t xml:space="preserve">停車場採水霧滅火，其地面洩水坡度應為多少</t>
  </si>
  <si>
    <t xml:space="preserve">不需洩水</t>
  </si>
  <si>
    <t xml:space="preserve">使用碳酸氫鈉來滅火的系統，稱之為</t>
  </si>
  <si>
    <t xml:space="preserve">CO2</t>
  </si>
  <si>
    <t xml:space="preserve">FM-200</t>
  </si>
  <si>
    <t xml:space="preserve">IG-541</t>
  </si>
  <si>
    <t xml:space="preserve">室內消防栓箱體厚度依法規至少應多少厚度以上？</t>
  </si>
  <si>
    <t xml:space="preserve">室內消防栓必須標示，其標示字體大小至少應</t>
  </si>
  <si>
    <r>
      <rPr>
        <sz val="10"/>
        <rFont val="Arial"/>
        <family val="0"/>
        <charset val="1"/>
      </rPr>
      <t xml:space="preserve">10cm²</t>
    </r>
    <r>
      <rPr>
        <sz val="10"/>
        <rFont val="Noto Sans CJK SC"/>
        <family val="2"/>
      </rPr>
      <t xml:space="preserve">以上</t>
    </r>
  </si>
  <si>
    <r>
      <rPr>
        <sz val="10"/>
        <rFont val="Arial"/>
        <family val="0"/>
        <charset val="1"/>
      </rPr>
      <t xml:space="preserve">20cm²</t>
    </r>
    <r>
      <rPr>
        <sz val="10"/>
        <rFont val="Noto Sans CJK SC"/>
        <family val="2"/>
      </rPr>
      <t xml:space="preserve">以上</t>
    </r>
  </si>
  <si>
    <r>
      <rPr>
        <sz val="10"/>
        <rFont val="Arial"/>
        <family val="0"/>
        <charset val="1"/>
      </rPr>
      <t xml:space="preserve">30cm²</t>
    </r>
    <r>
      <rPr>
        <sz val="10"/>
        <rFont val="Noto Sans CJK SC"/>
        <family val="2"/>
      </rPr>
      <t xml:space="preserve">以上</t>
    </r>
  </si>
  <si>
    <r>
      <rPr>
        <sz val="10"/>
        <rFont val="Arial"/>
        <family val="0"/>
        <charset val="1"/>
      </rPr>
      <t xml:space="preserve">40cm²</t>
    </r>
    <r>
      <rPr>
        <sz val="10"/>
        <rFont val="Noto Sans CJK SC"/>
        <family val="2"/>
      </rPr>
      <t xml:space="preserve">以上</t>
    </r>
  </si>
  <si>
    <t xml:space="preserve">密閉式撒水頭之自動撒水配管末端查驗閥，管徑至少應為多少？</t>
  </si>
  <si>
    <t xml:space="preserve">25mm</t>
  </si>
  <si>
    <t xml:space="preserve">40mm</t>
  </si>
  <si>
    <t xml:space="preserve">50mm</t>
  </si>
  <si>
    <t xml:space="preserve">80mm</t>
  </si>
  <si>
    <t xml:space="preserve">撒水頭迴水板上方所安裝之防護板，其尺寸直徑至少應為多少？</t>
  </si>
  <si>
    <t xml:space="preserve">10cm</t>
  </si>
  <si>
    <t xml:space="preserve">20cm</t>
  </si>
  <si>
    <t xml:space="preserve">30cm</t>
  </si>
  <si>
    <t xml:space="preserve">40cm</t>
  </si>
  <si>
    <t xml:space="preserve">撒水頭防護板與迴水板距離應在多少以內？</t>
  </si>
  <si>
    <t xml:space="preserve">消防栓主管連接屋頂水箱，水箱容量至少應為多少？</t>
  </si>
  <si>
    <t xml:space="preserve">0.5m³</t>
  </si>
  <si>
    <t xml:space="preserve">1m³</t>
  </si>
  <si>
    <t xml:space="preserve">2m³</t>
  </si>
  <si>
    <t xml:space="preserve">3m³</t>
  </si>
  <si>
    <t xml:space="preserve">第一種消防栓的放水量至少應為多少？</t>
  </si>
  <si>
    <t xml:space="preserve">100L/min</t>
  </si>
  <si>
    <t xml:space="preserve">110L/min</t>
  </si>
  <si>
    <t xml:space="preserve">120L/min</t>
  </si>
  <si>
    <t xml:space="preserve">130L/min</t>
  </si>
  <si>
    <t xml:space="preserve">裝設多組消防栓之建築，火災時消防栓之放射水量應如何計算 ？</t>
  </si>
  <si>
    <r>
      <rPr>
        <sz val="10"/>
        <rFont val="Arial"/>
        <family val="0"/>
        <charset val="1"/>
      </rPr>
      <t xml:space="preserve">1</t>
    </r>
    <r>
      <rPr>
        <sz val="10"/>
        <rFont val="Noto Sans CJK SC"/>
        <family val="2"/>
      </rPr>
      <t xml:space="preserve">支</t>
    </r>
  </si>
  <si>
    <r>
      <rPr>
        <sz val="10"/>
        <rFont val="Arial"/>
        <family val="0"/>
        <charset val="1"/>
      </rPr>
      <t xml:space="preserve">2</t>
    </r>
    <r>
      <rPr>
        <sz val="10"/>
        <rFont val="Noto Sans CJK SC"/>
        <family val="2"/>
      </rPr>
      <t xml:space="preserve">支</t>
    </r>
  </si>
  <si>
    <t xml:space="preserve">依實際數量</t>
  </si>
  <si>
    <t xml:space="preserve">下列何種為舒適性空調的建築類別業種？</t>
  </si>
  <si>
    <t xml:space="preserve">百貨公司</t>
  </si>
  <si>
    <t xml:space="preserve">機房</t>
  </si>
  <si>
    <t xml:space="preserve">下列何種為工業用空調的建築類別業種？</t>
  </si>
  <si>
    <t xml:space="preserve">電信機房</t>
  </si>
  <si>
    <t xml:space="preserve">住宅</t>
  </si>
  <si>
    <t xml:space="preserve">下列何種為空調熱源裝置？</t>
  </si>
  <si>
    <t xml:space="preserve">水泵</t>
  </si>
  <si>
    <t xml:space="preserve">過濾器</t>
  </si>
  <si>
    <t xml:space="preserve">風管</t>
  </si>
  <si>
    <t xml:space="preserve">下列何者為空調個別方式的系統 ？</t>
  </si>
  <si>
    <t xml:space="preserve">小型送風機</t>
  </si>
  <si>
    <t xml:space="preserve">空調箱</t>
  </si>
  <si>
    <t xml:space="preserve">下列何者為空調個別方式的系統</t>
  </si>
  <si>
    <t xml:space="preserve">分離式冷氣機室內機與室外機垂直高度建議在幾公尺以內？</t>
  </si>
  <si>
    <t xml:space="preserve">5m</t>
  </si>
  <si>
    <t xml:space="preserve">8m</t>
  </si>
  <si>
    <t xml:space="preserve">12m</t>
  </si>
  <si>
    <t xml:space="preserve">空調排水管路須依規定斜度，排水管原則上需保持多少的向下斜度？</t>
  </si>
  <si>
    <t xml:space="preserve">空調冰水管冷卻水管其斜度原則上需保持多少的向上斜度？</t>
  </si>
  <si>
    <t xml:space="preserve">一般管路試壓應為工作壓力至少</t>
  </si>
  <si>
    <r>
      <rPr>
        <sz val="10"/>
        <rFont val="Arial"/>
        <family val="0"/>
        <charset val="1"/>
      </rPr>
      <t xml:space="preserve">1.25</t>
    </r>
    <r>
      <rPr>
        <sz val="10"/>
        <rFont val="Noto Sans CJK SC"/>
        <family val="2"/>
      </rPr>
      <t xml:space="preserve">倍</t>
    </r>
  </si>
  <si>
    <t xml:space="preserve">水泵吸入端配管為了防止氣囊產生，其與管線連接處支大小頭應如何配置？</t>
  </si>
  <si>
    <t xml:space="preserve">同心大小頭</t>
  </si>
  <si>
    <t xml:space="preserve">偏心大小頭上方水平下方斜</t>
  </si>
  <si>
    <t xml:space="preserve">偏心大小頭上方斜下方水平</t>
  </si>
  <si>
    <t xml:space="preserve">空調冷卻水塔安裝，應注意下列何項目</t>
  </si>
  <si>
    <t xml:space="preserve">需安裝於基礎座上</t>
  </si>
  <si>
    <t xml:space="preserve">散熱應良好</t>
  </si>
  <si>
    <t xml:space="preserve">水塔下方施作避震器</t>
  </si>
  <si>
    <t xml:space="preserve">空調小型送風機安裝，應注意下列何項目</t>
  </si>
  <si>
    <t xml:space="preserve">配管閥件皆應配於排水盤內</t>
  </si>
  <si>
    <t xml:space="preserve">以預埋螺絲吊掛</t>
  </si>
  <si>
    <t xml:space="preserve">小型送風機下方應有維修空間</t>
  </si>
  <si>
    <t xml:space="preserve">空調TAB之適用範圍有哪些？</t>
  </si>
  <si>
    <t xml:space="preserve">風管系統之測試調整及平衡</t>
  </si>
  <si>
    <t xml:space="preserve">水管系統之測試調整及平衡</t>
  </si>
  <si>
    <t xml:space="preserve">空調系統完工運轉狀況之測量</t>
  </si>
  <si>
    <t xml:space="preserve">消防警報設備包含哪些項目</t>
  </si>
  <si>
    <t xml:space="preserve">火警自動警報設備</t>
  </si>
  <si>
    <t xml:space="preserve">瓦斯漏氣警報設備</t>
  </si>
  <si>
    <t xml:space="preserve">火災發生時以人工手動通知建築物內人員，從事初期滅火避難之設備，稱之為</t>
  </si>
  <si>
    <t xml:space="preserve">火災發生時能自動報之建築物有關人員火災發生，以便在短時間內採取避難滅火行動，稱之為</t>
  </si>
  <si>
    <t xml:space="preserve">火警受信總機之裝設位置，下列何者為正確</t>
  </si>
  <si>
    <t xml:space="preserve">裝設於值日室經常有人之處所</t>
  </si>
  <si>
    <t xml:space="preserve">裝設於日光不直接照射之位置</t>
  </si>
  <si>
    <t xml:space="preserve">總機外殼應接地</t>
  </si>
  <si>
    <t xml:space="preserve">消防廣播分區每一個分區不可超過幾樓層</t>
  </si>
  <si>
    <r>
      <rPr>
        <sz val="10"/>
        <rFont val="Arial"/>
        <family val="0"/>
        <charset val="1"/>
      </rPr>
      <t xml:space="preserve">1</t>
    </r>
    <r>
      <rPr>
        <sz val="10"/>
        <rFont val="Noto Sans CJK SC"/>
        <family val="2"/>
      </rPr>
      <t xml:space="preserve">樓</t>
    </r>
  </si>
  <si>
    <r>
      <rPr>
        <sz val="10"/>
        <rFont val="Arial"/>
        <family val="0"/>
        <charset val="1"/>
      </rPr>
      <t xml:space="preserve">2</t>
    </r>
    <r>
      <rPr>
        <sz val="10"/>
        <rFont val="Noto Sans CJK SC"/>
        <family val="2"/>
      </rPr>
      <t xml:space="preserve">樓</t>
    </r>
  </si>
  <si>
    <r>
      <rPr>
        <sz val="10"/>
        <rFont val="Arial"/>
        <family val="0"/>
        <charset val="1"/>
      </rPr>
      <t xml:space="preserve">3</t>
    </r>
    <r>
      <rPr>
        <sz val="10"/>
        <rFont val="Noto Sans CJK SC"/>
        <family val="2"/>
      </rPr>
      <t xml:space="preserve">樓</t>
    </r>
  </si>
  <si>
    <r>
      <rPr>
        <sz val="10"/>
        <rFont val="Arial"/>
        <family val="0"/>
        <charset val="1"/>
      </rPr>
      <t xml:space="preserve">4</t>
    </r>
    <r>
      <rPr>
        <sz val="10"/>
        <rFont val="Noto Sans CJK SC"/>
        <family val="2"/>
      </rPr>
      <t xml:space="preserve">樓</t>
    </r>
  </si>
  <si>
    <t xml:space="preserve">下列何者為消防搶救上之必要設備？</t>
  </si>
  <si>
    <t xml:space="preserve">連結送水管</t>
  </si>
  <si>
    <t xml:space="preserve">消防蓄水池</t>
  </si>
  <si>
    <t xml:space="preserve">緊急電源插座</t>
  </si>
  <si>
    <t xml:space="preserve">下列何者為消防的避難設備？</t>
  </si>
  <si>
    <t xml:space="preserve">消防標示設備包含哪些項目？</t>
  </si>
  <si>
    <t xml:space="preserve">出口標示燈</t>
  </si>
  <si>
    <t xml:space="preserve">避難方向指示燈</t>
  </si>
  <si>
    <t xml:space="preserve">避難方向指鏢</t>
  </si>
  <si>
    <t xml:space="preserve">防災監控系統綜合操作裝置應設置於何處</t>
  </si>
  <si>
    <t xml:space="preserve">防災中心</t>
  </si>
  <si>
    <t xml:space="preserve">中控室</t>
  </si>
  <si>
    <t xml:space="preserve">值日室</t>
  </si>
  <si>
    <t xml:space="preserve">防災監控系統綜合操作裝置連接緊急電源應多久？</t>
  </si>
  <si>
    <r>
      <rPr>
        <sz val="10"/>
        <rFont val="Arial"/>
        <family val="0"/>
        <charset val="1"/>
      </rPr>
      <t xml:space="preserve">0.5</t>
    </r>
    <r>
      <rPr>
        <sz val="10"/>
        <rFont val="Noto Sans CJK SC"/>
        <family val="2"/>
      </rPr>
      <t xml:space="preserve">小時</t>
    </r>
  </si>
  <si>
    <r>
      <rPr>
        <sz val="10"/>
        <rFont val="Arial"/>
        <family val="0"/>
        <charset val="1"/>
      </rPr>
      <t xml:space="preserve">1</t>
    </r>
    <r>
      <rPr>
        <sz val="10"/>
        <rFont val="Noto Sans CJK SC"/>
        <family val="2"/>
      </rPr>
      <t xml:space="preserve">小時</t>
    </r>
  </si>
  <si>
    <r>
      <rPr>
        <sz val="10"/>
        <rFont val="Arial"/>
        <family val="0"/>
        <charset val="1"/>
      </rPr>
      <t xml:space="preserve">2</t>
    </r>
    <r>
      <rPr>
        <sz val="10"/>
        <rFont val="Noto Sans CJK SC"/>
        <family val="2"/>
      </rPr>
      <t xml:space="preserve">小時</t>
    </r>
  </si>
  <si>
    <r>
      <rPr>
        <sz val="10"/>
        <rFont val="Arial"/>
        <family val="0"/>
        <charset val="1"/>
      </rPr>
      <t xml:space="preserve">3</t>
    </r>
    <r>
      <rPr>
        <sz val="10"/>
        <rFont val="Noto Sans CJK SC"/>
        <family val="2"/>
      </rPr>
      <t xml:space="preserve">小時</t>
    </r>
  </si>
  <si>
    <t xml:space="preserve">緩降機於開口部與地面之間需保持以器具中心半徑多少之圓柱形範圍之下降空間</t>
  </si>
  <si>
    <t xml:space="preserve">0.5M</t>
  </si>
  <si>
    <t xml:space="preserve">1M</t>
  </si>
  <si>
    <t xml:space="preserve">2M</t>
  </si>
  <si>
    <t xml:space="preserve">3M</t>
  </si>
  <si>
    <t xml:space="preserve">特別安全梯設置於天花板下1/2高度以上是何種閘口</t>
  </si>
  <si>
    <t xml:space="preserve">排煙閘門</t>
  </si>
  <si>
    <t xml:space="preserve">進氣閘門</t>
  </si>
  <si>
    <t xml:space="preserve">風量調節閘門</t>
  </si>
  <si>
    <t xml:space="preserve">特別安全梯設置於天花板下1/2高度以下是何種閘口</t>
  </si>
  <si>
    <t xml:space="preserve">排煙風管與排煙風機之連接，應採用何種配件？</t>
  </si>
  <si>
    <t xml:space="preserve">採鐵皮風管連接</t>
  </si>
  <si>
    <t xml:space="preserve">以撓性軟管連接</t>
  </si>
  <si>
    <t xml:space="preserve">耐燃可撓性帆布風管</t>
  </si>
  <si>
    <t xml:space="preserve">開放不連接</t>
  </si>
  <si>
    <t xml:space="preserve">消防手動滅火設備有哪些？</t>
  </si>
  <si>
    <t xml:space="preserve">室內消防栓</t>
  </si>
  <si>
    <t xml:space="preserve">戶外消防栓</t>
  </si>
  <si>
    <t xml:space="preserve">下列何者為消防栓太平龍頭水源之來源？</t>
  </si>
  <si>
    <t xml:space="preserve">屋頂重力水箱</t>
  </si>
  <si>
    <t xml:space="preserve">消防送水口</t>
  </si>
  <si>
    <t xml:space="preserve">消防泵</t>
  </si>
  <si>
    <t xml:space="preserve">消防隊油類火災有滅火作用者為何項？</t>
  </si>
  <si>
    <t xml:space="preserve">水霧</t>
  </si>
  <si>
    <t xml:space="preserve">水</t>
  </si>
  <si>
    <t xml:space="preserve">消防系統應採專用的設備為</t>
  </si>
  <si>
    <t xml:space="preserve">消防栓</t>
  </si>
  <si>
    <t xml:space="preserve">消防水池</t>
  </si>
  <si>
    <t xml:space="preserve">發電機排氣</t>
  </si>
  <si>
    <t xml:space="preserve">室內消防栓應能裝設太平龍頭、水帶、瞄子之深度，且箱體面積不得小於</t>
  </si>
  <si>
    <r>
      <rPr>
        <sz val="10"/>
        <rFont val="Arial"/>
        <family val="0"/>
        <charset val="1"/>
      </rPr>
      <t xml:space="preserve">0.6</t>
    </r>
    <r>
      <rPr>
        <sz val="10"/>
        <rFont val="Noto Sans CJK SC"/>
        <family val="2"/>
      </rPr>
      <t xml:space="preserve">㎡</t>
    </r>
  </si>
  <si>
    <r>
      <rPr>
        <sz val="10"/>
        <rFont val="Arial"/>
        <family val="0"/>
        <charset val="1"/>
      </rPr>
      <t xml:space="preserve">0.7</t>
    </r>
    <r>
      <rPr>
        <sz val="10"/>
        <rFont val="Noto Sans CJK SC"/>
        <family val="2"/>
      </rPr>
      <t xml:space="preserve">㎡</t>
    </r>
  </si>
  <si>
    <r>
      <rPr>
        <sz val="10"/>
        <rFont val="Arial"/>
        <family val="0"/>
        <charset val="1"/>
      </rPr>
      <t xml:space="preserve">0.8</t>
    </r>
    <r>
      <rPr>
        <sz val="10"/>
        <rFont val="Noto Sans CJK SC"/>
        <family val="2"/>
      </rPr>
      <t xml:space="preserve">㎡</t>
    </r>
  </si>
  <si>
    <t xml:space="preserve">消防撒水頭裝置其軸心應與裝置面成何種角度？</t>
  </si>
  <si>
    <r>
      <rPr>
        <sz val="10"/>
        <rFont val="Arial"/>
        <family val="0"/>
        <charset val="1"/>
      </rPr>
      <t xml:space="preserve">40</t>
    </r>
    <r>
      <rPr>
        <sz val="10"/>
        <rFont val="Noto Sans CJK SC"/>
        <family val="2"/>
      </rPr>
      <t xml:space="preserve">度</t>
    </r>
  </si>
  <si>
    <r>
      <rPr>
        <sz val="10"/>
        <rFont val="Arial"/>
        <family val="0"/>
        <charset val="1"/>
      </rPr>
      <t xml:space="preserve">50</t>
    </r>
    <r>
      <rPr>
        <sz val="10"/>
        <rFont val="Noto Sans CJK SC"/>
        <family val="2"/>
      </rPr>
      <t xml:space="preserve">度</t>
    </r>
  </si>
  <si>
    <t xml:space="preserve">室外消防栓之位置多少公尺範圍內需保持空曠，不得堆放物品、停車…等</t>
  </si>
  <si>
    <t xml:space="preserve">下列何種為空調熱搬運裝置</t>
  </si>
  <si>
    <t xml:space="preserve">過濾網</t>
  </si>
  <si>
    <t xml:space="preserve">下列何種為空調個別方式？</t>
  </si>
  <si>
    <t xml:space="preserve">中央冰水系統</t>
  </si>
  <si>
    <t xml:space="preserve">空調冷卻水塔之安裝為影響散熱性能最重要的部份為</t>
  </si>
  <si>
    <t xml:space="preserve">散熱空調要足夠，避免短循環</t>
  </si>
  <si>
    <t xml:space="preserve">水塔裝置的美觀</t>
  </si>
  <si>
    <t xml:space="preserve">水塔外觀油漆防護</t>
  </si>
  <si>
    <t xml:space="preserve">冷卻水管油漆防護</t>
  </si>
  <si>
    <t xml:space="preserve">消防水管施工完竣時，應作加壓試驗，試驗壓力不得小於加壓送水裝置全閉揚程之1.5倍，且持續多少時間無漏水始合格</t>
  </si>
  <si>
    <r>
      <rPr>
        <sz val="10"/>
        <rFont val="Arial"/>
        <family val="0"/>
        <charset val="1"/>
      </rPr>
      <t xml:space="preserve">1.5</t>
    </r>
    <r>
      <rPr>
        <sz val="10"/>
        <rFont val="Noto Sans CJK SC"/>
        <family val="2"/>
      </rPr>
      <t xml:space="preserve">小時</t>
    </r>
  </si>
  <si>
    <t xml:space="preserve">多台泵並聯運轉，支管接入主管時，儘量採何種角度彎頭連接？</t>
  </si>
  <si>
    <t xml:space="preserve">90°</t>
  </si>
  <si>
    <t xml:space="preserve">天花板上設有出風口，除火焰式、差動式分布型及光電式分離型探測器外，應距離該出風口</t>
  </si>
  <si>
    <r>
      <rPr>
        <sz val="10"/>
        <rFont val="Arial"/>
        <family val="0"/>
        <charset val="1"/>
      </rPr>
      <t xml:space="preserve">3m</t>
    </r>
    <r>
      <rPr>
        <sz val="10"/>
        <rFont val="Noto Sans CJK SC"/>
        <family val="2"/>
      </rPr>
      <t xml:space="preserve">以上</t>
    </r>
  </si>
  <si>
    <t xml:space="preserve">侷限型探測器之探測區域，係指探測器裝置面之四周以淨高多少公分以上之樑或類似構造體區劃包圍者？</t>
  </si>
  <si>
    <t xml:space="preserve">排煙口位置應在天花板或天花板下方多少公分範圍內？</t>
  </si>
  <si>
    <t xml:space="preserve">密閉式撒水頭裝置面，四周以淨高幾cm以上之樑或類似構造體區劃包圍時，應按各區劃裝置？</t>
  </si>
  <si>
    <t xml:space="preserve">密閉式撒水頭之迴水板裝設於裝置面(指樓版或天花板)下方，其間距不得大於</t>
  </si>
  <si>
    <t xml:space="preserve">室內消防栓設備之消防管管系竣工時，應做加壓試驗。試驗壓力不得小於加壓送水裝置全閉揚程幾倍以上之水壓？</t>
  </si>
  <si>
    <t xml:space="preserve">地面層樓梯間垂直距離每</t>
  </si>
  <si>
    <t xml:space="preserve">以上皆非單獨設定一廣播分區，地下層部份應另設定一廣播分區</t>
  </si>
  <si>
    <t xml:space="preserve">居室排煙口距防煙區劃各部分應在</t>
  </si>
  <si>
    <r>
      <rPr>
        <sz val="10"/>
        <rFont val="Arial"/>
        <family val="0"/>
        <charset val="1"/>
      </rPr>
      <t xml:space="preserve">30m</t>
    </r>
    <r>
      <rPr>
        <sz val="10"/>
        <rFont val="Noto Sans CJK SC"/>
        <family val="2"/>
      </rPr>
      <t xml:space="preserve">以內</t>
    </r>
  </si>
  <si>
    <t xml:space="preserve">冰水管及冷卻水管通常於管路高點加裝</t>
  </si>
  <si>
    <t xml:space="preserve">減壓閥</t>
  </si>
  <si>
    <t xml:space="preserve">調量調整閥</t>
  </si>
  <si>
    <t xml:space="preserve">自動釋氣閥(Auto air Vent)，以免產生氣阻(Air Lock)</t>
  </si>
  <si>
    <r>
      <rPr>
        <sz val="10"/>
        <rFont val="Arial"/>
        <family val="0"/>
        <charset val="1"/>
      </rPr>
      <t xml:space="preserve">SMACNA</t>
    </r>
    <r>
      <rPr>
        <sz val="10"/>
        <rFont val="Noto Sans CJK SC"/>
        <family val="2"/>
      </rPr>
      <t xml:space="preserve">規定，低速風管變徑斜率建議不得大於</t>
    </r>
  </si>
  <si>
    <t xml:space="preserve">風管鐵皮之製造依據之國際標準常用者為</t>
  </si>
  <si>
    <t xml:space="preserve">SMACNA</t>
  </si>
  <si>
    <t xml:space="preserve">火警受信總機應裝置於何處</t>
  </si>
  <si>
    <t xml:space="preserve">值班室</t>
  </si>
  <si>
    <t xml:space="preserve">警衛保全室</t>
  </si>
  <si>
    <t xml:space="preserve">壁掛型總機操作開關距樓地板高度應為</t>
  </si>
  <si>
    <t xml:space="preserve">0.4M~0.8M</t>
  </si>
  <si>
    <t xml:space="preserve">0.8M~1.2M</t>
  </si>
  <si>
    <t xml:space="preserve">0.8M~1.5M</t>
  </si>
  <si>
    <t xml:space="preserve">1.0M~2M</t>
  </si>
  <si>
    <t xml:space="preserve">消防管線埋設屋外或浸水之慮配線，應採電纜並穿於導線管內，且與電力線應保持多少間距以上？</t>
  </si>
  <si>
    <r>
      <rPr>
        <sz val="10"/>
        <rFont val="Arial"/>
        <family val="0"/>
        <charset val="1"/>
      </rPr>
      <t xml:space="preserve">100</t>
    </r>
    <r>
      <rPr>
        <sz val="10"/>
        <rFont val="Noto Sans CJK SC"/>
        <family val="2"/>
      </rPr>
      <t xml:space="preserve">㎝</t>
    </r>
  </si>
  <si>
    <t xml:space="preserve">偵煙探測器探測區域四週樑或類似構造物淨高應大於多少</t>
  </si>
  <si>
    <t xml:space="preserve">40CM</t>
  </si>
  <si>
    <t xml:space="preserve">50CM</t>
  </si>
  <si>
    <t xml:space="preserve">60CM</t>
  </si>
  <si>
    <t xml:space="preserve">差動式探測器下端，應裝設在裝置面下方多少距離範圍內？</t>
  </si>
  <si>
    <r>
      <rPr>
        <sz val="10"/>
        <rFont val="Arial"/>
        <family val="0"/>
        <charset val="1"/>
      </rPr>
      <t xml:space="preserve">80</t>
    </r>
    <r>
      <rPr>
        <sz val="10"/>
        <rFont val="Noto Sans CJK SC"/>
        <family val="2"/>
      </rPr>
      <t xml:space="preserve">㎝</t>
    </r>
  </si>
  <si>
    <t xml:space="preserve">風管彎頭彎曲半徑不可過小，以減少風管之壓損，其彎頭中心半徑應至少能有風管寬度之幾倍</t>
  </si>
  <si>
    <r>
      <rPr>
        <sz val="10"/>
        <rFont val="Arial"/>
        <family val="0"/>
        <charset val="1"/>
      </rPr>
      <t xml:space="preserve">0.8</t>
    </r>
    <r>
      <rPr>
        <sz val="10"/>
        <rFont val="Noto Sans CJK SC"/>
        <family val="2"/>
      </rPr>
      <t xml:space="preserve">倍</t>
    </r>
  </si>
  <si>
    <t xml:space="preserve">風管穿透防火牆防火區劃為確保防火區劃完整應施設</t>
  </si>
  <si>
    <t xml:space="preserve">防火閘門</t>
  </si>
  <si>
    <t xml:space="preserve">防火填塞</t>
  </si>
  <si>
    <t xml:space="preserve">避免穿越</t>
  </si>
  <si>
    <t xml:space="preserve">下列何者不是空調控制之四大要件</t>
  </si>
  <si>
    <t xml:space="preserve">濕度</t>
  </si>
  <si>
    <t xml:space="preserve">清淨度</t>
  </si>
  <si>
    <t xml:space="preserve">噪音</t>
  </si>
  <si>
    <t xml:space="preserve">在管路系統中彎頭有較大之壓降百分率試問多少角度配置之彎頭較90度之彎頭為佳？</t>
  </si>
  <si>
    <t xml:space="preserve">水路系統完成後乙方必須針對系統作必要何種調整？</t>
  </si>
  <si>
    <t xml:space="preserve">TAB</t>
  </si>
  <si>
    <t xml:space="preserve">TAC</t>
  </si>
  <si>
    <t xml:space="preserve">TAD</t>
  </si>
  <si>
    <t xml:space="preserve">TED</t>
  </si>
  <si>
    <t xml:space="preserve">風管於現場實際施作時經常會遇到障礙而需變徑處理，高速風管其變徑斜率建議不得大於1:7，低速風管其變徑斜率建議不得大於？</t>
  </si>
  <si>
    <t xml:space="preserve">1:5</t>
  </si>
  <si>
    <t xml:space="preserve">1:6</t>
  </si>
  <si>
    <t xml:space="preserve">1:7</t>
  </si>
  <si>
    <t xml:space="preserve">風管穿越防火區劃時，須裝設？</t>
  </si>
  <si>
    <t xml:space="preserve">閘門</t>
  </si>
  <si>
    <t xml:space="preserve">驅動器</t>
  </si>
  <si>
    <t xml:space="preserve">開關</t>
  </si>
  <si>
    <r>
      <rPr>
        <sz val="10"/>
        <rFont val="Arial"/>
        <family val="0"/>
        <charset val="1"/>
      </rPr>
      <t xml:space="preserve">120</t>
    </r>
    <r>
      <rPr>
        <sz val="10"/>
        <rFont val="Noto Sans CJK SC"/>
        <family val="2"/>
      </rPr>
      <t xml:space="preserve">秒</t>
    </r>
  </si>
  <si>
    <t xml:space="preserve">侷限型探測器之裝置角度，不得傾斜超過</t>
  </si>
  <si>
    <r>
      <rPr>
        <sz val="10"/>
        <rFont val="Arial"/>
        <family val="0"/>
        <charset val="1"/>
      </rPr>
      <t xml:space="preserve">10</t>
    </r>
    <r>
      <rPr>
        <sz val="10"/>
        <rFont val="Noto Sans CJK SC"/>
        <family val="2"/>
      </rPr>
      <t xml:space="preserve">度</t>
    </r>
  </si>
  <si>
    <r>
      <rPr>
        <sz val="10"/>
        <rFont val="Arial"/>
        <family val="0"/>
        <charset val="1"/>
      </rPr>
      <t xml:space="preserve">20</t>
    </r>
    <r>
      <rPr>
        <sz val="10"/>
        <rFont val="Noto Sans CJK SC"/>
        <family val="2"/>
      </rPr>
      <t xml:space="preserve">度</t>
    </r>
  </si>
  <si>
    <t xml:space="preserve">揚聲器之音壓量測應距離揚聲器多遠的距離</t>
  </si>
  <si>
    <t xml:space="preserve">消防防災監控系統綜合操作裝置連接緊急電源，其供電容量應多久</t>
  </si>
  <si>
    <r>
      <rPr>
        <sz val="10"/>
        <rFont val="Arial"/>
        <family val="0"/>
        <charset val="1"/>
      </rPr>
      <t xml:space="preserve">4</t>
    </r>
    <r>
      <rPr>
        <sz val="10"/>
        <rFont val="Noto Sans CJK SC"/>
        <family val="2"/>
      </rPr>
      <t xml:space="preserve">小時</t>
    </r>
  </si>
  <si>
    <t xml:space="preserve">緊急照明燈所使用的蓄電池設備，其供電容量應多久</t>
  </si>
  <si>
    <t xml:space="preserve">梯廳排煙口其設置高度距離樓地至少應多高</t>
  </si>
  <si>
    <t xml:space="preserve">0.5m</t>
  </si>
  <si>
    <t xml:space="preserve">2.1m</t>
  </si>
  <si>
    <t xml:space="preserve">排煙風管必須貫穿防火區劃時，其貫通部分應設置溫度熔絲式防火閘門，其動作溫度依NFPA參考溫度為</t>
  </si>
  <si>
    <t xml:space="preserve">72°C</t>
  </si>
  <si>
    <t xml:space="preserve">74°C</t>
  </si>
  <si>
    <t xml:space="preserve">120°C</t>
  </si>
  <si>
    <t xml:space="preserve">141°C</t>
  </si>
  <si>
    <t xml:space="preserve">平時管內貯藏水，撒水頭融片受熱熔化即立刻撒水出來，稱之為</t>
  </si>
  <si>
    <t xml:space="preserve">自113年起停車場滅火設備修改為何種系統</t>
  </si>
  <si>
    <t xml:space="preserve">水霧滅火</t>
  </si>
  <si>
    <t xml:space="preserve">海龍替代品因氣候變遷問題，下列何者已開始不採用</t>
  </si>
  <si>
    <t xml:space="preserve">室內消防栓裝設高度應距離樓地板多高</t>
  </si>
  <si>
    <t xml:space="preserve">0.3~0.8M</t>
  </si>
  <si>
    <t xml:space="preserve">0.3~1M</t>
  </si>
  <si>
    <t xml:space="preserve">0.3~1.2M</t>
  </si>
  <si>
    <t xml:space="preserve">0.3~1.5M</t>
  </si>
  <si>
    <t xml:space="preserve">消防末端查驗閥裝置高度，距離樓地板應為多高</t>
  </si>
  <si>
    <r>
      <rPr>
        <sz val="10"/>
        <rFont val="Arial"/>
        <family val="0"/>
        <charset val="1"/>
      </rPr>
      <t xml:space="preserve">1m</t>
    </r>
    <r>
      <rPr>
        <sz val="10"/>
        <rFont val="Noto Sans CJK SC"/>
        <family val="2"/>
      </rPr>
      <t xml:space="preserve">以下</t>
    </r>
  </si>
  <si>
    <r>
      <rPr>
        <sz val="10"/>
        <rFont val="Arial"/>
        <family val="0"/>
        <charset val="1"/>
      </rPr>
      <t xml:space="preserve">1.2m</t>
    </r>
    <r>
      <rPr>
        <sz val="10"/>
        <rFont val="Noto Sans CJK SC"/>
        <family val="2"/>
      </rPr>
      <t xml:space="preserve">以下</t>
    </r>
  </si>
  <si>
    <r>
      <rPr>
        <sz val="10"/>
        <rFont val="Arial"/>
        <family val="0"/>
        <charset val="1"/>
      </rPr>
      <t xml:space="preserve">1.8m</t>
    </r>
    <r>
      <rPr>
        <sz val="10"/>
        <rFont val="Noto Sans CJK SC"/>
        <family val="2"/>
      </rPr>
      <t xml:space="preserve">以下</t>
    </r>
  </si>
  <si>
    <r>
      <rPr>
        <sz val="10"/>
        <rFont val="Arial"/>
        <family val="0"/>
        <charset val="1"/>
      </rPr>
      <t xml:space="preserve">2.1m</t>
    </r>
    <r>
      <rPr>
        <sz val="10"/>
        <rFont val="Noto Sans CJK SC"/>
        <family val="2"/>
      </rPr>
      <t xml:space="preserve">以下</t>
    </r>
  </si>
  <si>
    <t xml:space="preserve">偵煙式探測器，其裝置面之四周淨高應為</t>
  </si>
  <si>
    <r>
      <rPr>
        <sz val="10"/>
        <rFont val="Arial"/>
        <family val="0"/>
        <charset val="1"/>
      </rPr>
      <t xml:space="preserve">70cm</t>
    </r>
    <r>
      <rPr>
        <sz val="10"/>
        <rFont val="Noto Sans CJK SC"/>
        <family val="2"/>
      </rPr>
      <t xml:space="preserve">以上</t>
    </r>
  </si>
  <si>
    <t xml:space="preserve">差動式侷限型、補償式侷限型及定溫室侷限型探測器下端，應裝設在裝置面下方幾公分範圍內？</t>
  </si>
  <si>
    <t xml:space="preserve">首版NFPA750中，細水霧滅火系統功能目標，除撲滅火勢及控制溫度外，尚包括下列何者？</t>
  </si>
  <si>
    <t xml:space="preserve">抑制火勢</t>
  </si>
  <si>
    <t xml:space="preserve">控制火勢</t>
  </si>
  <si>
    <t xml:space="preserve">防止延燒</t>
  </si>
  <si>
    <t xml:space="preserve">冰水管管路試壓，試驗壓力應為系統運轉壓力的1.5倍，試壓時間建議至少應為多久</t>
  </si>
  <si>
    <t xml:space="preserve">&lt;10°</t>
  </si>
  <si>
    <t xml:space="preserve">&lt;15°</t>
  </si>
  <si>
    <t xml:space="preserve">&lt;30°</t>
  </si>
  <si>
    <t xml:space="preserve">&lt;40°</t>
  </si>
  <si>
    <t xml:space="preserve">工業用空調係指下列何種建築？</t>
  </si>
  <si>
    <t xml:space="preserve">空調箱因送風機在運轉情況下，管排下之氣壓會稍低於大氣壓力故其排水管需裝設？形成水封。</t>
  </si>
  <si>
    <r>
      <rPr>
        <sz val="10"/>
        <rFont val="Arial"/>
        <family val="0"/>
        <charset val="1"/>
      </rPr>
      <t xml:space="preserve">U TRAP</t>
    </r>
    <r>
      <rPr>
        <sz val="10"/>
        <rFont val="Noto Sans CJK SC"/>
        <family val="2"/>
      </rPr>
      <t xml:space="preserve">，</t>
    </r>
  </si>
  <si>
    <r>
      <rPr>
        <sz val="10"/>
        <rFont val="Arial"/>
        <family val="0"/>
        <charset val="1"/>
      </rPr>
      <t xml:space="preserve">Y TRAP</t>
    </r>
    <r>
      <rPr>
        <sz val="10"/>
        <rFont val="Noto Sans CJK SC"/>
        <family val="2"/>
      </rPr>
      <t xml:space="preserve">，</t>
    </r>
  </si>
  <si>
    <r>
      <rPr>
        <sz val="10"/>
        <rFont val="Arial"/>
        <family val="0"/>
        <charset val="1"/>
      </rPr>
      <t xml:space="preserve">A TRAP</t>
    </r>
    <r>
      <rPr>
        <sz val="10"/>
        <rFont val="Noto Sans CJK SC"/>
        <family val="2"/>
      </rPr>
      <t xml:space="preserve">，</t>
    </r>
  </si>
  <si>
    <t xml:space="preserve">C TRAP</t>
  </si>
  <si>
    <t xml:space="preserve">座式操作的受信總機操作開關距離樓地板應為</t>
  </si>
  <si>
    <t xml:space="preserve">0.8M</t>
  </si>
  <si>
    <t xml:space="preserve">1.2M</t>
  </si>
  <si>
    <t xml:space="preserve">0.6~1.5M</t>
  </si>
  <si>
    <t xml:space="preserve">探測器裝設位置，牆壁有出風口時，應距離出風口多少距離</t>
  </si>
  <si>
    <t xml:space="preserve">1.5M</t>
  </si>
  <si>
    <t xml:space="preserve">第五章 電梯設備工程品質管理實務</t>
  </si>
  <si>
    <t xml:space="preserve">單元二：第五章 電梯設備工程品質管理實務</t>
  </si>
  <si>
    <t xml:space="preserve">現代化都市大樓建築趨向高層化、大規模化的發展下，以下哪種設備已成為大樓裡維繫上下樓梯交通運輸的動脈？</t>
  </si>
  <si>
    <t xml:space="preserve">汽車</t>
  </si>
  <si>
    <t xml:space="preserve">貨車</t>
  </si>
  <si>
    <t xml:space="preserve">電梯</t>
  </si>
  <si>
    <t xml:space="preserve">電梯設備</t>
  </si>
  <si>
    <t xml:space="preserve">電梯是大樓裡載人的交通工具，故首重其</t>
  </si>
  <si>
    <t xml:space="preserve">安全性</t>
  </si>
  <si>
    <t xml:space="preserve">裝飾性</t>
  </si>
  <si>
    <t xml:space="preserve">美觀性</t>
  </si>
  <si>
    <t xml:space="preserve">電梯設備、電梯</t>
  </si>
  <si>
    <t xml:space="preserve">電梯在長期運轉下必須接受何種型式之保養維修作業，以確保其信賴性和安全機能</t>
  </si>
  <si>
    <t xml:space="preserve">制度化</t>
  </si>
  <si>
    <t xml:space="preserve">專業化</t>
  </si>
  <si>
    <t xml:space="preserve">定期化</t>
  </si>
  <si>
    <t xml:space="preserve">電梯裝置之一般分類有</t>
  </si>
  <si>
    <t xml:space="preserve">依用途別分類</t>
  </si>
  <si>
    <t xml:space="preserve">依運行速度分類</t>
  </si>
  <si>
    <t xml:space="preserve">依捲揚機之型式別分類</t>
  </si>
  <si>
    <t xml:space="preserve">依驅動方式分類</t>
  </si>
  <si>
    <t xml:space="preserve">依機械室位置分類</t>
  </si>
  <si>
    <t xml:space="preserve">電梯依用途別分類有</t>
  </si>
  <si>
    <t xml:space="preserve">載人用電梯</t>
  </si>
  <si>
    <t xml:space="preserve">載貨用電梯</t>
  </si>
  <si>
    <t xml:space="preserve">人貨兩用電梯</t>
  </si>
  <si>
    <t xml:space="preserve">小型載貨電梯</t>
  </si>
  <si>
    <t xml:space="preserve">醫院床用電梯</t>
  </si>
  <si>
    <t xml:space="preserve">汽車專用電梯</t>
  </si>
  <si>
    <t xml:space="preserve">專用於載人的電梯稱為</t>
  </si>
  <si>
    <t xml:space="preserve">專用於載運貨物，不得載人的電梯稱為</t>
  </si>
  <si>
    <t xml:space="preserve">專用於載人、載貨兩用的電梯稱為</t>
  </si>
  <si>
    <t xml:space="preserve">醫院中用以載送病床之電梯稱為</t>
  </si>
  <si>
    <t xml:space="preserve">汽車停車塔專用之電梯稱為</t>
  </si>
  <si>
    <t xml:space="preserve">一般用於工廠載送手推車或圖書館、銀行、大飯店運送文件、資料、餐點等之電梯稱為</t>
  </si>
  <si>
    <t xml:space="preserve">電梯依速度分類分為</t>
  </si>
  <si>
    <t xml:space="preserve">低速電梯</t>
  </si>
  <si>
    <t xml:space="preserve">中速電梯</t>
  </si>
  <si>
    <t xml:space="preserve">高速電梯</t>
  </si>
  <si>
    <t xml:space="preserve">電梯運行之額定速度常用的單位？</t>
  </si>
  <si>
    <t xml:space="preserve">公里/秒</t>
  </si>
  <si>
    <t xml:space="preserve">公里/分鐘</t>
  </si>
  <si>
    <t xml:space="preserve">公尺/分鐘</t>
  </si>
  <si>
    <t xml:space="preserve">公里/小時</t>
  </si>
  <si>
    <t xml:space="preserve">一般所謂低速電梯，其運行之額定速度範圍？</t>
  </si>
  <si>
    <r>
      <rPr>
        <sz val="10"/>
        <rFont val="Arial"/>
        <family val="0"/>
        <charset val="1"/>
      </rPr>
      <t xml:space="preserve">45m/min(</t>
    </r>
    <r>
      <rPr>
        <sz val="10"/>
        <rFont val="Noto Sans CJK SC"/>
        <family val="2"/>
      </rPr>
      <t xml:space="preserve">公尺</t>
    </r>
    <r>
      <rPr>
        <sz val="10"/>
        <rFont val="Arial"/>
        <family val="0"/>
        <charset val="1"/>
      </rPr>
      <t xml:space="preserve">/</t>
    </r>
    <r>
      <rPr>
        <sz val="10"/>
        <rFont val="Noto Sans CJK SC"/>
        <family val="2"/>
      </rPr>
      <t xml:space="preserve">分鐘</t>
    </r>
    <r>
      <rPr>
        <sz val="10"/>
        <rFont val="Arial"/>
        <family val="0"/>
        <charset val="1"/>
      </rPr>
      <t xml:space="preserve">)</t>
    </r>
    <r>
      <rPr>
        <sz val="10"/>
        <rFont val="Noto Sans CJK SC"/>
        <family val="2"/>
      </rPr>
      <t xml:space="preserve">以下</t>
    </r>
  </si>
  <si>
    <r>
      <rPr>
        <sz val="10"/>
        <rFont val="Arial"/>
        <family val="0"/>
        <charset val="1"/>
      </rPr>
      <t xml:space="preserve">90m/min</t>
    </r>
    <r>
      <rPr>
        <sz val="10"/>
        <rFont val="Noto Sans CJK SC"/>
        <family val="2"/>
      </rPr>
      <t xml:space="preserve">以下</t>
    </r>
  </si>
  <si>
    <r>
      <rPr>
        <sz val="10"/>
        <rFont val="Arial"/>
        <family val="0"/>
        <charset val="1"/>
      </rPr>
      <t xml:space="preserve">120m/min</t>
    </r>
    <r>
      <rPr>
        <sz val="10"/>
        <rFont val="Noto Sans CJK SC"/>
        <family val="2"/>
      </rPr>
      <t xml:space="preserve">以下</t>
    </r>
  </si>
  <si>
    <r>
      <rPr>
        <sz val="10"/>
        <rFont val="Arial"/>
        <family val="0"/>
        <charset val="1"/>
      </rPr>
      <t xml:space="preserve">150m/min</t>
    </r>
    <r>
      <rPr>
        <sz val="10"/>
        <rFont val="Noto Sans CJK SC"/>
        <family val="2"/>
      </rPr>
      <t xml:space="preserve">以下</t>
    </r>
  </si>
  <si>
    <t xml:space="preserve">一般所謂中速電梯，其運行之額定速度範圍？</t>
  </si>
  <si>
    <r>
      <rPr>
        <sz val="10"/>
        <rFont val="Arial"/>
        <family val="0"/>
        <charset val="1"/>
      </rPr>
      <t xml:space="preserve">45~90m/min(</t>
    </r>
    <r>
      <rPr>
        <sz val="10"/>
        <rFont val="Noto Sans CJK SC"/>
        <family val="2"/>
      </rPr>
      <t xml:space="preserve">公尺</t>
    </r>
    <r>
      <rPr>
        <sz val="10"/>
        <rFont val="Arial"/>
        <family val="0"/>
        <charset val="1"/>
      </rPr>
      <t xml:space="preserve">/</t>
    </r>
    <r>
      <rPr>
        <sz val="10"/>
        <rFont val="Noto Sans CJK SC"/>
        <family val="2"/>
      </rPr>
      <t xml:space="preserve">分鐘</t>
    </r>
    <r>
      <rPr>
        <sz val="10"/>
        <rFont val="Arial"/>
        <family val="0"/>
        <charset val="1"/>
      </rPr>
      <t xml:space="preserve">)</t>
    </r>
  </si>
  <si>
    <t xml:space="preserve">90~150m/min</t>
  </si>
  <si>
    <t xml:space="preserve">120~180m/min</t>
  </si>
  <si>
    <t xml:space="preserve">150~300m/min</t>
  </si>
  <si>
    <t xml:space="preserve">一般所謂高速電梯，其運行之額定速度範圍？</t>
  </si>
  <si>
    <r>
      <rPr>
        <sz val="10"/>
        <rFont val="Arial"/>
        <family val="0"/>
        <charset val="1"/>
      </rPr>
      <t xml:space="preserve">45m/min(</t>
    </r>
    <r>
      <rPr>
        <sz val="10"/>
        <rFont val="Noto Sans CJK SC"/>
        <family val="2"/>
      </rPr>
      <t xml:space="preserve">公尺</t>
    </r>
    <r>
      <rPr>
        <sz val="10"/>
        <rFont val="Arial"/>
        <family val="0"/>
        <charset val="1"/>
      </rPr>
      <t xml:space="preserve">/</t>
    </r>
    <r>
      <rPr>
        <sz val="10"/>
        <rFont val="Noto Sans CJK SC"/>
        <family val="2"/>
      </rPr>
      <t xml:space="preserve">分鐘</t>
    </r>
    <r>
      <rPr>
        <sz val="10"/>
        <rFont val="Arial"/>
        <family val="0"/>
        <charset val="1"/>
      </rPr>
      <t xml:space="preserve">)</t>
    </r>
    <r>
      <rPr>
        <sz val="10"/>
        <rFont val="Noto Sans CJK SC"/>
        <family val="2"/>
      </rPr>
      <t xml:space="preserve">以上</t>
    </r>
  </si>
  <si>
    <r>
      <rPr>
        <sz val="10"/>
        <rFont val="Arial"/>
        <family val="0"/>
        <charset val="1"/>
      </rPr>
      <t xml:space="preserve">90m/min</t>
    </r>
    <r>
      <rPr>
        <sz val="10"/>
        <rFont val="Noto Sans CJK SC"/>
        <family val="2"/>
      </rPr>
      <t xml:space="preserve">以上</t>
    </r>
  </si>
  <si>
    <r>
      <rPr>
        <sz val="10"/>
        <rFont val="Arial"/>
        <family val="0"/>
        <charset val="1"/>
      </rPr>
      <t xml:space="preserve">120m/min</t>
    </r>
    <r>
      <rPr>
        <sz val="10"/>
        <rFont val="Noto Sans CJK SC"/>
        <family val="2"/>
      </rPr>
      <t xml:space="preserve">以上</t>
    </r>
  </si>
  <si>
    <r>
      <rPr>
        <sz val="10"/>
        <rFont val="Arial"/>
        <family val="0"/>
        <charset val="1"/>
      </rPr>
      <t xml:space="preserve">180m/min</t>
    </r>
    <r>
      <rPr>
        <sz val="10"/>
        <rFont val="Noto Sans CJK SC"/>
        <family val="2"/>
      </rPr>
      <t xml:space="preserve">以上</t>
    </r>
  </si>
  <si>
    <t xml:space="preserve">有機房式電梯的電梯機房通常設置於升降路之</t>
  </si>
  <si>
    <t xml:space="preserve">正上方，</t>
  </si>
  <si>
    <t xml:space="preserve">正下方</t>
  </si>
  <si>
    <t xml:space="preserve">機坑</t>
  </si>
  <si>
    <t xml:space="preserve">有機房式電梯的機械室，其面積原則上需大於升降路投影面積之幾倍？但無礙於保養時不在此限</t>
  </si>
  <si>
    <t xml:space="preserve">有機房式電梯，電梯主機馬達配合交流驅動器(變頻器)，使用變頻專用交流感應馬達及齒輪，以達成</t>
  </si>
  <si>
    <t xml:space="preserve">低速運轉特性平順且最佳化</t>
  </si>
  <si>
    <t xml:space="preserve">使用壽命最大化</t>
  </si>
  <si>
    <t xml:space="preserve">但成本相對一般交流感應馬達會比較高，</t>
  </si>
  <si>
    <t xml:space="preserve">無機房式電梯為了將捲陽主機小型化一般採用</t>
  </si>
  <si>
    <t xml:space="preserve">傳統直流馬達</t>
  </si>
  <si>
    <t xml:space="preserve">交流感應馬達</t>
  </si>
  <si>
    <t xml:space="preserve">永磁同步馬達</t>
  </si>
  <si>
    <t xml:space="preserve">無機房式電梯捲陽主機採用無齒輪式永磁同步馬達，傳動系統效率高於傳統齒輪主機約多少%以上？</t>
  </si>
  <si>
    <r>
      <rPr>
        <sz val="10"/>
        <rFont val="Arial"/>
        <family val="0"/>
        <charset val="1"/>
      </rPr>
      <t xml:space="preserve">10%</t>
    </r>
    <r>
      <rPr>
        <sz val="10"/>
        <rFont val="Noto Sans CJK SC"/>
        <family val="2"/>
      </rPr>
      <t xml:space="preserve">以上</t>
    </r>
  </si>
  <si>
    <r>
      <rPr>
        <sz val="10"/>
        <rFont val="Arial"/>
        <family val="0"/>
        <charset val="1"/>
      </rPr>
      <t xml:space="preserve">30%</t>
    </r>
    <r>
      <rPr>
        <sz val="10"/>
        <rFont val="Noto Sans CJK SC"/>
        <family val="2"/>
      </rPr>
      <t xml:space="preserve">以上</t>
    </r>
  </si>
  <si>
    <t xml:space="preserve">無機房式電梯的優點有哪些？</t>
  </si>
  <si>
    <t xml:space="preserve">不須建置機房</t>
  </si>
  <si>
    <t xml:space="preserve">具有節能、環保、高效率等特色</t>
  </si>
  <si>
    <t xml:space="preserve">節省土建施工日程及建置成本</t>
  </si>
  <si>
    <t xml:space="preserve">無機房式電梯，因電梯捲揚主機較靠近頂樓使用者之辦公室或居室，設置時必須考慮或克服</t>
  </si>
  <si>
    <t xml:space="preserve">噪音問題</t>
  </si>
  <si>
    <t xml:space="preserve">震動問題</t>
  </si>
  <si>
    <t xml:space="preserve">通常較不適用於高速及大載荷之電梯使用</t>
  </si>
  <si>
    <t xml:space="preserve">電梯依驅動方式分類有哪幾種型式？</t>
  </si>
  <si>
    <t xml:space="preserve">鋼纜(索)式電梯</t>
  </si>
  <si>
    <t xml:space="preserve">油壓式電梯</t>
  </si>
  <si>
    <t xml:space="preserve">磁浮電梯</t>
  </si>
  <si>
    <t xml:space="preserve">有關鋼纜(索)式電梯之敘述，何者是正確的？</t>
  </si>
  <si>
    <t xml:space="preserve">鋼纜掛在捲揚機之驅動槽輪上，一端吊掛電梯車廂，另一端則另掛平衡錘配重</t>
  </si>
  <si>
    <t xml:space="preserve">當捲揚機捲上、捲下動作時，車廂便隨之上昇、下降</t>
  </si>
  <si>
    <t xml:space="preserve">利用鋼纜與驅動槽輪之間的摩擦力來傳達馬達的驅動力，使電梯昇降</t>
  </si>
  <si>
    <t xml:space="preserve">磁浮電梯是一種完全不用鋼索、只靠磁力就能移動車廂的電梯系統，主機採用哪一種馬達？</t>
  </si>
  <si>
    <t xml:space="preserve">線性馬達</t>
  </si>
  <si>
    <t xml:space="preserve">電梯系統運用哪種技術，可以透過各種感測器將現場資料即時發送到數位雲端，即時模擬電梯可能遇到的各種情況，大幅提高電梯的可靠度、安全性</t>
  </si>
  <si>
    <t xml:space="preserve">數位孿生</t>
  </si>
  <si>
    <t xml:space="preserve">人臉辨識</t>
  </si>
  <si>
    <t xml:space="preserve">語音系統</t>
  </si>
  <si>
    <t xml:space="preserve">派車管理</t>
  </si>
  <si>
    <t xml:space="preserve">電梯系統運用數位孿生技術，可以透過各種感測器將現場資料即時發送到數位雲端，輔以哪項工具可以即時模擬電梯可能遇到的各種情況，大幅提高電梯的可靠度、安全性</t>
  </si>
  <si>
    <t xml:space="preserve">機器學習</t>
  </si>
  <si>
    <t xml:space="preserve">軟體分析</t>
  </si>
  <si>
    <t xml:space="preserve">一般而言，鋼索式電梯機械室位置位於升降路的</t>
  </si>
  <si>
    <t xml:space="preserve">底部</t>
  </si>
  <si>
    <t xml:space="preserve">頂部</t>
  </si>
  <si>
    <t xml:space="preserve">下側面</t>
  </si>
  <si>
    <t xml:space="preserve">一般而言，油壓式電梯機械室位置位於升降路的</t>
  </si>
  <si>
    <t xml:space="preserve">上側面</t>
  </si>
  <si>
    <t xml:space="preserve">哪一種設備屬於電梯機械方面之安全裝置？</t>
  </si>
  <si>
    <t xml:space="preserve">電磁制動機(剎車)</t>
  </si>
  <si>
    <t xml:space="preserve">停電照明</t>
  </si>
  <si>
    <t xml:space="preserve">枰裝置</t>
  </si>
  <si>
    <t xml:space="preserve">電源異常保護裝置</t>
  </si>
  <si>
    <t xml:space="preserve">調速機</t>
  </si>
  <si>
    <t xml:space="preserve">哪一種設備屬於電梯機械方面之安全裝置</t>
  </si>
  <si>
    <t xml:space="preserve">安全裝置(安全鉗)</t>
  </si>
  <si>
    <t xml:space="preserve">門連鎖裝置</t>
  </si>
  <si>
    <t xml:space="preserve">手動操作把手</t>
  </si>
  <si>
    <t xml:space="preserve">電梯機械方面之安全裝置-電磁制動機(剎車)設置場所在哪裡？</t>
  </si>
  <si>
    <t xml:space="preserve">車廂</t>
  </si>
  <si>
    <t xml:space="preserve">車廂門</t>
  </si>
  <si>
    <t xml:space="preserve">捲揚機(主機)</t>
  </si>
  <si>
    <t xml:space="preserve">電梯機械方面之安全裝置-緩衝器設置場所在哪裡？</t>
  </si>
  <si>
    <t xml:space="preserve">電梯機械方面之安全裝置-安全裝置safetydevice(安全鉗)設置場所在哪裡？</t>
  </si>
  <si>
    <t xml:space="preserve">機械室</t>
  </si>
  <si>
    <t xml:space="preserve">電梯機械方面之安全裝置-門連鎖裝置設置場所在哪裡？</t>
  </si>
  <si>
    <t xml:space="preserve">控制盤</t>
  </si>
  <si>
    <t xml:space="preserve">出入口門</t>
  </si>
  <si>
    <t xml:space="preserve">電梯機械方面之安全裝置-手動操作把手設置場所在哪裡？</t>
  </si>
  <si>
    <t xml:space="preserve">有機房電梯其機械方面之安全裝置-調速機設置場所在哪裡？</t>
  </si>
  <si>
    <t xml:space="preserve">當電梯車廂下降速度異常時，以機械原理檢出，切斷動力使電梯停車的機械安全裝置，為下列哪項設備：</t>
  </si>
  <si>
    <t xml:space="preserve">當電梯發生異常情況時，致使車廂超過極限開關往底坑下降時，下列哪項機械安全裝置可使車廂之衝擊緩和再停車？</t>
  </si>
  <si>
    <t xml:space="preserve">當電梯遇到停電或停車時，利用彈簧張力及剎車來令片將捲揚機驅動軸至柱以防止車廂滑落的機械安全裝置，為下列哪項設備：</t>
  </si>
  <si>
    <t xml:space="preserve">當電梯車廂沒有停在該樓層正確位置時，該樓層的哪項機械安全裝置設備可以避免出入口門被不當之外部開啟？</t>
  </si>
  <si>
    <t xml:space="preserve">照明裝置</t>
  </si>
  <si>
    <t xml:space="preserve">哪一種設備屬於電梯電氣方面之安全裝置</t>
  </si>
  <si>
    <t xml:space="preserve">哪一種設備屬於電梯電氣方面之安全裝置？</t>
  </si>
  <si>
    <t xml:space="preserve">門連鎖開關</t>
  </si>
  <si>
    <t xml:space="preserve">安全鉗</t>
  </si>
  <si>
    <t xml:space="preserve">車廂門開關</t>
  </si>
  <si>
    <t xml:space="preserve">車廂門安全裝置</t>
  </si>
  <si>
    <t xml:space="preserve">電梯電氣方面之安全裝置-電源異常保護裝置設置場所在哪裡？</t>
  </si>
  <si>
    <t xml:space="preserve">電梯電氣方面之安全裝置-枰裝置設置場所在哪裡？</t>
  </si>
  <si>
    <t xml:space="preserve">車廂底部</t>
  </si>
  <si>
    <t xml:space="preserve">電梯電氣方面之安全裝置-門連鎖開關設置場所在哪裡？</t>
  </si>
  <si>
    <t xml:space="preserve">電梯電氣方面之安全裝置-車廂門開關設置場所在哪裡？</t>
  </si>
  <si>
    <t xml:space="preserve">電梯各樓的出入口門如未閉合或上鎖不確實時，哪種裝置之電氣接點無法接通使電梯不能運轉？</t>
  </si>
  <si>
    <t xml:space="preserve">電梯車廂門如未完全閉合時，哪種裝置之電氣接點無法接通使電梯不能運轉？</t>
  </si>
  <si>
    <t xml:space="preserve">電梯車廂門閉合中如碰到人身或物體時，哪種裝置之會讓車廂門即時停止關門並反轉重開？</t>
  </si>
  <si>
    <t xml:space="preserve">當電梯搭載重量超過額定載重時，哪種裝置之會讓系統發出警告信號並使車廂門無法關閉，電梯無法啟動？</t>
  </si>
  <si>
    <t xml:space="preserve">當電梯遇到停電時，哪種裝置之會使車廂內維持三十分鐘以上照明？</t>
  </si>
  <si>
    <t xml:space="preserve">當電梯遇到緊急情況下時，按下哪種裝置之會使電梯停止運轉？</t>
  </si>
  <si>
    <t xml:space="preserve">緊急停止開關</t>
  </si>
  <si>
    <t xml:space="preserve">對講機</t>
  </si>
  <si>
    <t xml:space="preserve">警鈴</t>
  </si>
  <si>
    <t xml:space="preserve">電梯車廂內乘客和外部管理人員連絡之主要通信工具是？</t>
  </si>
  <si>
    <t xml:space="preserve">停電時在電梯車廂內應維持多久時間之照明？</t>
  </si>
  <si>
    <r>
      <rPr>
        <sz val="10"/>
        <rFont val="Arial"/>
        <family val="0"/>
        <charset val="1"/>
      </rPr>
      <t xml:space="preserve">30</t>
    </r>
    <r>
      <rPr>
        <sz val="10"/>
        <rFont val="Noto Sans CJK SC"/>
        <family val="2"/>
      </rPr>
      <t xml:space="preserve">分鐘以上</t>
    </r>
  </si>
  <si>
    <r>
      <rPr>
        <sz val="10"/>
        <rFont val="Arial"/>
        <family val="0"/>
        <charset val="1"/>
      </rPr>
      <t xml:space="preserve">60</t>
    </r>
    <r>
      <rPr>
        <sz val="10"/>
        <rFont val="Noto Sans CJK SC"/>
        <family val="2"/>
      </rPr>
      <t xml:space="preserve">分鐘以上</t>
    </r>
  </si>
  <si>
    <t xml:space="preserve">電梯機種及規格之表示方法：P-15x16-CO105，其中"P"是代表？</t>
  </si>
  <si>
    <t xml:space="preserve">機種別</t>
  </si>
  <si>
    <t xml:space="preserve">積載容量</t>
  </si>
  <si>
    <t xml:space="preserve">停止樓數</t>
  </si>
  <si>
    <t xml:space="preserve">門開閉方式</t>
  </si>
  <si>
    <t xml:space="preserve">電梯機種及規格之表示方法：P-15x16-CO105，其中"15"是代表？</t>
  </si>
  <si>
    <t xml:space="preserve">電梯機種及規格之表示方法：P-15x16-CO105，其中"16"是代表？</t>
  </si>
  <si>
    <t xml:space="preserve">電梯機種及規格之表示方法：P-15x16-CO105，其中"CO"是代表？</t>
  </si>
  <si>
    <t xml:space="preserve">電梯機種及規格之表示方法：P-15x16-CO105，其中"105"是代表？</t>
  </si>
  <si>
    <t xml:space="preserve">昇降速度</t>
  </si>
  <si>
    <t xml:space="preserve">電梯智慧型群管理系統，可以將相同目的樓層或相近樓層的乘客聚集在需要最少的能量的車廂進行服務，可比傳統系統減少多少％的能源消耗？</t>
  </si>
  <si>
    <r>
      <rPr>
        <sz val="10"/>
        <rFont val="Arial"/>
        <family val="0"/>
        <charset val="1"/>
      </rPr>
      <t xml:space="preserve">10</t>
    </r>
    <r>
      <rPr>
        <sz val="10"/>
        <rFont val="Noto Sans CJK SC"/>
        <family val="2"/>
      </rPr>
      <t xml:space="preserve">％</t>
    </r>
  </si>
  <si>
    <t xml:space="preserve">當電梯車廂輕載上行或重載下行時，主機運轉變為發電機模式並產生回生電能，能源回生裝置則將回生電能回饋供應到大樓電網中，大幅降低能耗約多少%以上</t>
  </si>
  <si>
    <r>
      <rPr>
        <sz val="10"/>
        <rFont val="Arial"/>
        <family val="0"/>
        <charset val="1"/>
      </rPr>
      <t xml:space="preserve">35%</t>
    </r>
    <r>
      <rPr>
        <sz val="10"/>
        <rFont val="Noto Sans CJK SC"/>
        <family val="2"/>
      </rPr>
      <t xml:space="preserve">以上</t>
    </r>
  </si>
  <si>
    <r>
      <rPr>
        <sz val="10"/>
        <rFont val="Arial"/>
        <family val="0"/>
        <charset val="1"/>
      </rPr>
      <t xml:space="preserve">100%</t>
    </r>
    <r>
      <rPr>
        <sz val="10"/>
        <rFont val="Noto Sans CJK SC"/>
        <family val="2"/>
      </rPr>
      <t xml:space="preserve">以上</t>
    </r>
  </si>
  <si>
    <t xml:space="preserve">電梯設備、電梯、發電設備</t>
  </si>
  <si>
    <t xml:space="preserve">電梯系統藉由物聯網IoT，全年無休自動蒐集、分析並即時回傳現場數據，即刻掌控電梯運行狀況，達到哪些功能可以大幅提升電梯之妥善率？</t>
  </si>
  <si>
    <t xml:space="preserve">智慧監控</t>
  </si>
  <si>
    <t xml:space="preserve">預防保養</t>
  </si>
  <si>
    <t xml:space="preserve">故障警報、維護監督</t>
  </si>
  <si>
    <t xml:space="preserve">當地震發生時導致安裝之地震感知器啟動，電梯系統將進入地震管制運轉狀態，且即刻於哪個樓層停機疏散乘客以確保安全？</t>
  </si>
  <si>
    <t xml:space="preserve">最近樓層</t>
  </si>
  <si>
    <t xml:space="preserve">最遠樓層</t>
  </si>
  <si>
    <t xml:space="preserve">最低樓層</t>
  </si>
  <si>
    <t xml:space="preserve">當強烈地震發生導致安裝之地震感知器啟動，電梯系統將進入地震管制運轉狀態並於乘客撤離後維持地震管制運轉狀態，需待誰確認升降路內安全無虞後，方可恢復正常運轉？</t>
  </si>
  <si>
    <t xml:space="preserve">警衛</t>
  </si>
  <si>
    <t xml:space="preserve">專業技術人員</t>
  </si>
  <si>
    <t xml:space="preserve">大樓管理員</t>
  </si>
  <si>
    <t xml:space="preserve">電梯昇降路的機坑深度須依據法規規定設置，其深度距離與電梯的額定速度成何種關係？</t>
  </si>
  <si>
    <t xml:space="preserve">成反比、</t>
  </si>
  <si>
    <t xml:space="preserve">成正比</t>
  </si>
  <si>
    <t xml:space="preserve">電梯昇降路的頂部安全距離須依據法規規定設置，其安全距離與電梯的額定速度成何種關係？</t>
  </si>
  <si>
    <t xml:space="preserve">當電梯額定速度達240.1公尺/分鐘以上時，昇降路的頂部安全距離依據法規規定不得少於多少公尺？</t>
  </si>
  <si>
    <r>
      <rPr>
        <sz val="10"/>
        <rFont val="Arial"/>
        <family val="0"/>
        <charset val="1"/>
      </rPr>
      <t xml:space="preserve">4</t>
    </r>
    <r>
      <rPr>
        <sz val="10"/>
        <rFont val="Noto Sans CJK SC"/>
        <family val="2"/>
      </rPr>
      <t xml:space="preserve">公尺</t>
    </r>
  </si>
  <si>
    <t xml:space="preserve">當電梯額定速度達240.1公尺/分鐘以上時，昇降路的機坑深度依據法規規定不得少於？</t>
  </si>
  <si>
    <t xml:space="preserve">依據法規規定，電梯的升降路內得或不得設置與升降機無關之配管及配線？</t>
  </si>
  <si>
    <t xml:space="preserve">得</t>
  </si>
  <si>
    <t xml:space="preserve">沒有規定</t>
  </si>
  <si>
    <t xml:space="preserve">電梯升降路之出入口，週圍之牆壁或其圍護物應以何種材料建造？</t>
  </si>
  <si>
    <t xml:space="preserve">可燃材料</t>
  </si>
  <si>
    <t xml:space="preserve">木材</t>
  </si>
  <si>
    <t xml:space="preserve">不燃材料</t>
  </si>
  <si>
    <t xml:space="preserve">電梯升降路內壁，應平坦光滑得或不得有突出物？</t>
  </si>
  <si>
    <t xml:space="preserve">電梯機坑內壁，應平坦光滑得或不得有突出物？</t>
  </si>
  <si>
    <t xml:space="preserve">電梯的機坑底在地面或地面以下者，應為何種構造，並留有適當空間以保持操作之安全？</t>
  </si>
  <si>
    <t xml:space="preserve">防水構造</t>
  </si>
  <si>
    <t xml:space="preserve">不防水構造</t>
  </si>
  <si>
    <t xml:space="preserve">有機房電梯-機械室的面積，不得少於升降路投影面積的幾倍？但不妨礙保養、檢查及管理者，不在此限，</t>
  </si>
  <si>
    <t xml:space="preserve">有機房電梯的機械室高度，不得低於多少公尺</t>
  </si>
  <si>
    <r>
      <rPr>
        <sz val="10"/>
        <rFont val="Arial"/>
        <family val="0"/>
        <charset val="1"/>
      </rPr>
      <t xml:space="preserve">2.0</t>
    </r>
    <r>
      <rPr>
        <sz val="10"/>
        <rFont val="Noto Sans CJK SC"/>
        <family val="2"/>
      </rPr>
      <t xml:space="preserve">公尺</t>
    </r>
  </si>
  <si>
    <r>
      <rPr>
        <sz val="10"/>
        <rFont val="Arial"/>
        <family val="0"/>
        <charset val="1"/>
      </rPr>
      <t xml:space="preserve">3.0</t>
    </r>
    <r>
      <rPr>
        <sz val="10"/>
        <rFont val="Noto Sans CJK SC"/>
        <family val="2"/>
      </rPr>
      <t xml:space="preserve">公尺</t>
    </r>
  </si>
  <si>
    <r>
      <rPr>
        <sz val="10"/>
        <rFont val="Arial"/>
        <family val="0"/>
        <charset val="1"/>
      </rPr>
      <t xml:space="preserve">5.0</t>
    </r>
    <r>
      <rPr>
        <sz val="10"/>
        <rFont val="Noto Sans CJK SC"/>
        <family val="2"/>
      </rPr>
      <t xml:space="preserve">公尺</t>
    </r>
  </si>
  <si>
    <t xml:space="preserve">有機房電梯的機械室內應設有照明及通風設備，以利管理檢查，照度應在多少lx(米燭光)以上？</t>
  </si>
  <si>
    <r>
      <rPr>
        <sz val="10"/>
        <rFont val="Arial"/>
        <family val="0"/>
        <charset val="1"/>
      </rPr>
      <t xml:space="preserve">10 lx</t>
    </r>
    <r>
      <rPr>
        <sz val="10"/>
        <rFont val="Noto Sans CJK SC"/>
        <family val="2"/>
      </rPr>
      <t xml:space="preserve">以上</t>
    </r>
  </si>
  <si>
    <r>
      <rPr>
        <sz val="10"/>
        <rFont val="Arial"/>
        <family val="0"/>
        <charset val="1"/>
      </rPr>
      <t xml:space="preserve">20 lx</t>
    </r>
    <r>
      <rPr>
        <sz val="10"/>
        <rFont val="Noto Sans CJK SC"/>
        <family val="2"/>
      </rPr>
      <t xml:space="preserve">以上</t>
    </r>
  </si>
  <si>
    <r>
      <rPr>
        <sz val="10"/>
        <rFont val="Arial"/>
        <family val="0"/>
        <charset val="1"/>
      </rPr>
      <t xml:space="preserve">50 lx</t>
    </r>
    <r>
      <rPr>
        <sz val="10"/>
        <rFont val="Noto Sans CJK SC"/>
        <family val="2"/>
      </rPr>
      <t xml:space="preserve">以上</t>
    </r>
  </si>
  <si>
    <r>
      <rPr>
        <sz val="10"/>
        <rFont val="Arial"/>
        <family val="0"/>
        <charset val="1"/>
      </rPr>
      <t xml:space="preserve">100 lx</t>
    </r>
    <r>
      <rPr>
        <sz val="10"/>
        <rFont val="Noto Sans CJK SC"/>
        <family val="2"/>
      </rPr>
      <t xml:space="preserve">以上</t>
    </r>
  </si>
  <si>
    <t xml:space="preserve">有機房電梯的機械室內應設有照明及通風設備，以利管理檢查，通風設備應能使室內溫度保持在多少℃以下？</t>
  </si>
  <si>
    <t xml:space="preserve">10℃</t>
  </si>
  <si>
    <t xml:space="preserve">15℃</t>
  </si>
  <si>
    <t xml:space="preserve">40℃</t>
  </si>
  <si>
    <t xml:space="preserve">有機房電梯的機械室，其機房門寬度不得小於？</t>
  </si>
  <si>
    <r>
      <rPr>
        <sz val="10"/>
        <rFont val="Arial"/>
        <family val="0"/>
        <charset val="1"/>
      </rPr>
      <t xml:space="preserve">70</t>
    </r>
    <r>
      <rPr>
        <sz val="10"/>
        <rFont val="Noto Sans CJK SC"/>
        <family val="2"/>
      </rPr>
      <t xml:space="preserve">公分</t>
    </r>
  </si>
  <si>
    <r>
      <rPr>
        <sz val="10"/>
        <rFont val="Arial"/>
        <family val="0"/>
        <charset val="1"/>
      </rPr>
      <t xml:space="preserve">90</t>
    </r>
    <r>
      <rPr>
        <sz val="10"/>
        <rFont val="Noto Sans CJK SC"/>
        <family val="2"/>
      </rPr>
      <t xml:space="preserve">公分</t>
    </r>
  </si>
  <si>
    <t xml:space="preserve">有機房電梯的機械室，其機房門高度不得小於多少公分？</t>
  </si>
  <si>
    <r>
      <rPr>
        <sz val="10"/>
        <rFont val="Arial"/>
        <family val="0"/>
        <charset val="1"/>
      </rPr>
      <t xml:space="preserve">120</t>
    </r>
    <r>
      <rPr>
        <sz val="10"/>
        <rFont val="Noto Sans CJK SC"/>
        <family val="2"/>
      </rPr>
      <t xml:space="preserve">公分</t>
    </r>
  </si>
  <si>
    <r>
      <rPr>
        <sz val="10"/>
        <rFont val="Arial"/>
        <family val="0"/>
        <charset val="1"/>
      </rPr>
      <t xml:space="preserve">180</t>
    </r>
    <r>
      <rPr>
        <sz val="10"/>
        <rFont val="Noto Sans CJK SC"/>
        <family val="2"/>
      </rPr>
      <t xml:space="preserve">公分</t>
    </r>
  </si>
  <si>
    <t xml:space="preserve">有機房電梯的機械室，其機房門應為附鎖之哪種材質的門？</t>
  </si>
  <si>
    <t xml:space="preserve">鋼製門</t>
  </si>
  <si>
    <t xml:space="preserve">鋁製門</t>
  </si>
  <si>
    <t xml:space="preserve">木製門</t>
  </si>
  <si>
    <t xml:space="preserve">有機房電梯的機械室，可不可以設置與電梯無關之配線、配管等</t>
  </si>
  <si>
    <t xml:space="preserve">可以設置</t>
  </si>
  <si>
    <t xml:space="preserve">請勿設置</t>
  </si>
  <si>
    <t xml:space="preserve">有機房電梯的機械室為電梯專用，可不可以做為往其他房間的通路？</t>
  </si>
  <si>
    <t xml:space="preserve">不可以</t>
  </si>
  <si>
    <t xml:space="preserve">有機房電梯通往機械室有設置樓梯之必要時，其樓梯的階高230mm以下，踏面需要多少mm以上？</t>
  </si>
  <si>
    <t xml:space="preserve">100mm</t>
  </si>
  <si>
    <t xml:space="preserve">150mm</t>
  </si>
  <si>
    <t xml:space="preserve">200mm</t>
  </si>
  <si>
    <t xml:space="preserve">有機房電梯通往機械室有設置樓梯之必要時，其樓梯的踏面需150mm以上，階高需要多少mm以下？</t>
  </si>
  <si>
    <t xml:space="preserve">230mm</t>
  </si>
  <si>
    <t xml:space="preserve">昇降機出入口處之樓地板面，應與機廂地板面保持平整，其與機廂地板面邊緣之間隙，不得大於多少公分？</t>
  </si>
  <si>
    <r>
      <rPr>
        <sz val="10"/>
        <rFont val="Arial"/>
        <family val="0"/>
        <charset val="1"/>
      </rPr>
      <t xml:space="preserve">4</t>
    </r>
    <r>
      <rPr>
        <sz val="10"/>
        <rFont val="Noto Sans CJK SC"/>
        <family val="2"/>
      </rPr>
      <t xml:space="preserve">公分</t>
    </r>
  </si>
  <si>
    <t xml:space="preserve">電梯機械室之設置，下列敘述者是正確的？</t>
  </si>
  <si>
    <t xml:space="preserve">應有足夠的保養、檢查空間</t>
  </si>
  <si>
    <t xml:space="preserve">為電梯專用</t>
  </si>
  <si>
    <t xml:space="preserve">應設有照明及通風設備</t>
  </si>
  <si>
    <t xml:space="preserve">有關電梯之電源系統，下列敘述何者是正確的？</t>
  </si>
  <si>
    <t xml:space="preserve">應有足夠的動力電源容量</t>
  </si>
  <si>
    <t xml:space="preserve">應有照明電源</t>
  </si>
  <si>
    <r>
      <rPr>
        <sz val="10"/>
        <rFont val="Arial"/>
        <family val="0"/>
        <charset val="1"/>
      </rPr>
      <t xml:space="preserve">)</t>
    </r>
    <r>
      <rPr>
        <sz val="10"/>
        <rFont val="Noto Sans CJK SC"/>
        <family val="2"/>
      </rPr>
      <t xml:space="preserve">應有換氣設備、保養用電源</t>
    </r>
  </si>
  <si>
    <t xml:space="preserve">電梯之機械室應維持室溫在多少℃以下所需之換氣設備？</t>
  </si>
  <si>
    <t xml:space="preserve">50℃</t>
  </si>
  <si>
    <t xml:space="preserve">有關電梯之機坑，下列敘述何者錯誤？</t>
  </si>
  <si>
    <t xml:space="preserve">可以設置無關之配管及配線</t>
  </si>
  <si>
    <t xml:space="preserve">應有AC單相110V/10A雙插</t>
  </si>
  <si>
    <t xml:space="preserve">必要的防水工事</t>
  </si>
  <si>
    <t xml:space="preserve">插座請設於出入口門檻下方位置</t>
  </si>
  <si>
    <t xml:space="preserve">電梯機械室應於適當位置裝設充分的照明設備，照度應在多少Lux(米燭光)以上？</t>
  </si>
  <si>
    <t xml:space="preserve">10 Lux</t>
  </si>
  <si>
    <t xml:space="preserve">50 Lux</t>
  </si>
  <si>
    <t xml:space="preserve">100 Lux</t>
  </si>
  <si>
    <t xml:space="preserve">有關電梯機械室之照明設備，下列敘述何者是正確的？</t>
  </si>
  <si>
    <t xml:space="preserve">應於適當位置裝設充分的照明設備</t>
  </si>
  <si>
    <t xml:space="preserve">電燈開關請設於出入口門附近</t>
  </si>
  <si>
    <t xml:space="preserve">需設採光窗</t>
  </si>
  <si>
    <t xml:space="preserve">有關電梯之動力電源設備的設置，下列敘述何者是正確的？</t>
  </si>
  <si>
    <t xml:space="preserve">應有足夠的電源設備容量</t>
  </si>
  <si>
    <t xml:space="preserve">與電梯之規格有關</t>
  </si>
  <si>
    <t xml:space="preserve">與電梯之電源電壓等級有關</t>
  </si>
  <si>
    <t xml:space="preserve">同一升降路有一部以上電梯，而機坑底板，水平高低相差30cm以上時，下列敘述何者是正確的？</t>
  </si>
  <si>
    <t xml:space="preserve">應設適當之隔欄</t>
  </si>
  <si>
    <t xml:space="preserve">隔欄高度以距底板30cm至180cm</t>
  </si>
  <si>
    <t xml:space="preserve">如有補償索、鏈者，得不設隔欄</t>
  </si>
  <si>
    <t xml:space="preserve">電梯的機坑深度，依規定在多少公尺以上時，應裝設有固定之爬梯方便維護人員進入機坑？</t>
  </si>
  <si>
    <r>
      <rPr>
        <sz val="10"/>
        <rFont val="Arial"/>
        <family val="0"/>
        <charset val="1"/>
      </rPr>
      <t xml:space="preserve">1.4</t>
    </r>
    <r>
      <rPr>
        <sz val="10"/>
        <rFont val="Noto Sans CJK SC"/>
        <family val="2"/>
      </rPr>
      <t xml:space="preserve">公尺</t>
    </r>
  </si>
  <si>
    <r>
      <rPr>
        <sz val="10"/>
        <rFont val="Arial"/>
        <family val="0"/>
        <charset val="1"/>
      </rPr>
      <t xml:space="preserve">4.0</t>
    </r>
    <r>
      <rPr>
        <sz val="10"/>
        <rFont val="Noto Sans CJK SC"/>
        <family val="2"/>
      </rPr>
      <t xml:space="preserve">公尺</t>
    </r>
  </si>
  <si>
    <t xml:space="preserve">有關電梯施工流程圖，施工項目包括？</t>
  </si>
  <si>
    <t xml:space="preserve">定芯</t>
  </si>
  <si>
    <t xml:space="preserve">乘場組立</t>
  </si>
  <si>
    <t xml:space="preserve">車廂組立</t>
  </si>
  <si>
    <t xml:space="preserve">導軌組立</t>
  </si>
  <si>
    <t xml:space="preserve">機房組立</t>
  </si>
  <si>
    <t xml:space="preserve">有關電梯施工流程圖之施工項目，不包括下列哪一項？</t>
  </si>
  <si>
    <t xml:space="preserve">板模</t>
  </si>
  <si>
    <t xml:space="preserve">有關電梯施工要領的項目，下列工作項目何者不屬於電梯的施工範圍？</t>
  </si>
  <si>
    <t xml:space="preserve">大樓廣告看板</t>
  </si>
  <si>
    <t xml:space="preserve">有關電梯施工要領-試車運轉，高速運轉的額定載重測試百分比包括</t>
  </si>
  <si>
    <r>
      <rPr>
        <sz val="10"/>
        <rFont val="Arial"/>
        <family val="0"/>
        <charset val="1"/>
      </rPr>
      <t xml:space="preserve">0</t>
    </r>
    <r>
      <rPr>
        <sz val="10"/>
        <rFont val="Noto Sans CJK SC"/>
        <family val="2"/>
      </rPr>
      <t xml:space="preserve">％</t>
    </r>
  </si>
  <si>
    <r>
      <rPr>
        <sz val="10"/>
        <rFont val="Arial"/>
        <family val="0"/>
        <charset val="1"/>
      </rPr>
      <t xml:space="preserve">100</t>
    </r>
    <r>
      <rPr>
        <sz val="10"/>
        <rFont val="Noto Sans CJK SC"/>
        <family val="2"/>
      </rPr>
      <t xml:space="preserve">％</t>
    </r>
  </si>
  <si>
    <r>
      <rPr>
        <sz val="10"/>
        <rFont val="Arial"/>
        <family val="0"/>
        <charset val="1"/>
      </rPr>
      <t xml:space="preserve">75</t>
    </r>
    <r>
      <rPr>
        <sz val="10"/>
        <rFont val="Noto Sans CJK SC"/>
        <family val="2"/>
      </rPr>
      <t xml:space="preserve">％</t>
    </r>
  </si>
  <si>
    <r>
      <rPr>
        <sz val="10"/>
        <rFont val="Arial"/>
        <family val="0"/>
        <charset val="1"/>
      </rPr>
      <t xml:space="preserve">110</t>
    </r>
    <r>
      <rPr>
        <sz val="10"/>
        <rFont val="Noto Sans CJK SC"/>
        <family val="2"/>
      </rPr>
      <t xml:space="preserve">％</t>
    </r>
  </si>
  <si>
    <t xml:space="preserve">有關電梯施工要領-試車運轉，高速運轉的額定載重測試百分比中不包括</t>
  </si>
  <si>
    <t xml:space="preserve">300%</t>
  </si>
  <si>
    <t xml:space="preserve">有關電梯施工要領-試車運轉，高速運轉的額定載重測試其最高百分比是多少？</t>
  </si>
  <si>
    <r>
      <rPr>
        <sz val="10"/>
        <rFont val="Arial"/>
        <family val="0"/>
        <charset val="1"/>
      </rPr>
      <t xml:space="preserve">150</t>
    </r>
    <r>
      <rPr>
        <sz val="10"/>
        <rFont val="Noto Sans CJK SC"/>
        <family val="2"/>
      </rPr>
      <t xml:space="preserve">％</t>
    </r>
  </si>
  <si>
    <r>
      <rPr>
        <sz val="10"/>
        <rFont val="Arial"/>
        <family val="0"/>
        <charset val="1"/>
      </rPr>
      <t xml:space="preserve">200</t>
    </r>
    <r>
      <rPr>
        <sz val="10"/>
        <rFont val="Noto Sans CJK SC"/>
        <family val="2"/>
      </rPr>
      <t xml:space="preserve">％</t>
    </r>
  </si>
  <si>
    <r>
      <rPr>
        <sz val="10"/>
        <rFont val="Arial"/>
        <family val="0"/>
        <charset val="1"/>
      </rPr>
      <t xml:space="preserve">300</t>
    </r>
    <r>
      <rPr>
        <sz val="10"/>
        <rFont val="Noto Sans CJK SC"/>
        <family val="2"/>
      </rPr>
      <t xml:space="preserve">％</t>
    </r>
  </si>
  <si>
    <t xml:space="preserve">電梯機械室之機械室門應為防火門且時效至少多少小時？</t>
  </si>
  <si>
    <r>
      <rPr>
        <sz val="10"/>
        <rFont val="Arial"/>
        <family val="0"/>
        <charset val="1"/>
      </rPr>
      <t xml:space="preserve">10</t>
    </r>
    <r>
      <rPr>
        <sz val="10"/>
        <rFont val="Noto Sans CJK SC"/>
        <family val="2"/>
      </rPr>
      <t xml:space="preserve">小時</t>
    </r>
  </si>
  <si>
    <t xml:space="preserve">電梯機械室之電源開關，下列敘述何者是正確的？</t>
  </si>
  <si>
    <t xml:space="preserve">設置於出入口附近</t>
  </si>
  <si>
    <t xml:space="preserve">動力與照明開關要分開</t>
  </si>
  <si>
    <t xml:space="preserve">開關容量須配合電梯規格容量</t>
  </si>
  <si>
    <t xml:space="preserve">電梯的電動機電路依「用戶用電設備裝置規則」第19條規定，600V以下新設時絕緣電阻，建議在多少MΩ以上？</t>
  </si>
  <si>
    <t xml:space="preserve">1MΩ</t>
  </si>
  <si>
    <t xml:space="preserve">50MΩ</t>
  </si>
  <si>
    <t xml:space="preserve">100MΩ</t>
  </si>
  <si>
    <t xml:space="preserve">500MΩ</t>
  </si>
  <si>
    <t xml:space="preserve">電梯設備、電梯、電氣安全</t>
  </si>
  <si>
    <t xml:space="preserve">電梯的控制電路絕緣測試，當電壓在150V以下時絕緣電阻為多少MΩ以上？</t>
  </si>
  <si>
    <t xml:space="preserve">0.1MΩ</t>
  </si>
  <si>
    <t xml:space="preserve">5MΩ</t>
  </si>
  <si>
    <t xml:space="preserve">電梯的控制電路絕緣測試，當電壓超過150V至300V以下時絕緣電阻為多少MΩ以上？</t>
  </si>
  <si>
    <t xml:space="preserve">0.2MΩ</t>
  </si>
  <si>
    <t xml:space="preserve">電梯的超速保護設備-調速機，電氣測試時需在不超過額定運轉速度之多少倍需動作？</t>
  </si>
  <si>
    <r>
      <rPr>
        <sz val="10"/>
        <rFont val="Arial"/>
        <family val="0"/>
        <charset val="1"/>
      </rPr>
      <t xml:space="preserve">1.3</t>
    </r>
    <r>
      <rPr>
        <sz val="10"/>
        <rFont val="Noto Sans CJK SC"/>
        <family val="2"/>
      </rPr>
      <t xml:space="preserve">倍</t>
    </r>
  </si>
  <si>
    <t xml:space="preserve">電梯的超速保護設備-調速機，機械測試時需在不超過額定運轉速度之多少倍需動作？</t>
  </si>
  <si>
    <r>
      <rPr>
        <sz val="10"/>
        <rFont val="Arial"/>
        <family val="0"/>
        <charset val="1"/>
      </rPr>
      <t xml:space="preserve">1.4</t>
    </r>
    <r>
      <rPr>
        <sz val="10"/>
        <rFont val="Noto Sans CJK SC"/>
        <family val="2"/>
      </rPr>
      <t xml:space="preserve">倍</t>
    </r>
  </si>
  <si>
    <t xml:space="preserve">電梯工程常與建築土木及水電工程產生的介面問題有</t>
  </si>
  <si>
    <t xml:space="preserve">使用電源之相數、電壓、頻率及配線</t>
  </si>
  <si>
    <t xml:space="preserve">電梯機房內未設有通風設備</t>
  </si>
  <si>
    <t xml:space="preserve">電梯機坑深度不足</t>
  </si>
  <si>
    <t xml:space="preserve">配電箱施設於升降路之牆壁</t>
  </si>
  <si>
    <t xml:space="preserve">升降路之牆壁內埋有水管</t>
  </si>
  <si>
    <t xml:space="preserve">電梯車廂至頂部安全距離TC不足</t>
  </si>
  <si>
    <t xml:space="preserve">哪一項不是電梯工程常與建築土木及水電工程產生的介面問題有</t>
  </si>
  <si>
    <t xml:space="preserve">哪一項不是電梯工程常與建築土木及水電工程產生的介面問題？</t>
  </si>
  <si>
    <t xml:space="preserve">電梯車廂內手機通訊信號不良</t>
  </si>
  <si>
    <t xml:space="preserve">地梁凸出於電梯機坑內</t>
  </si>
  <si>
    <t xml:space="preserve">有關緊急升降梯設備之要求，在CNS 2866相關規定有</t>
  </si>
  <si>
    <t xml:space="preserve">應設有預備電源</t>
  </si>
  <si>
    <t xml:space="preserve">供緊急使用時，應不受其他升降機之影響</t>
  </si>
  <si>
    <t xml:space="preserve">其車廂上部之各電氣裝置需裝置除水蓋及排水孔</t>
  </si>
  <si>
    <t xml:space="preserve">哪一項不是CNS 2866有關緊急升降梯設備之要求？</t>
  </si>
  <si>
    <t xml:space="preserve">車廂影音顯示器</t>
  </si>
  <si>
    <t xml:space="preserve">緊急用升降梯其電線管、盒類等須為不積水之構造</t>
  </si>
  <si>
    <t xml:space="preserve">哪一項是CNS 2866有關緊急升降梯設備之要求？</t>
  </si>
  <si>
    <t xml:space="preserve">大樓佈告欄</t>
  </si>
  <si>
    <t xml:space="preserve">其電線管、盒類等須為不積水之構造</t>
  </si>
  <si>
    <t xml:space="preserve">依建築技術規則建築設計施工編規定，當建築物高度超過10層樓以上部分之最大一層樓地板面積，在多少平方公尺以下者，至少應設置一座緊急用升降機？</t>
  </si>
  <si>
    <r>
      <rPr>
        <sz val="10"/>
        <rFont val="Arial"/>
        <family val="0"/>
        <charset val="1"/>
      </rPr>
      <t xml:space="preserve">1,500</t>
    </r>
    <r>
      <rPr>
        <sz val="10"/>
        <rFont val="Noto Sans CJK SC"/>
        <family val="2"/>
      </rPr>
      <t xml:space="preserve">平方公尺</t>
    </r>
  </si>
  <si>
    <r>
      <rPr>
        <sz val="10"/>
        <rFont val="Arial"/>
        <family val="0"/>
        <charset val="1"/>
      </rPr>
      <t xml:space="preserve">2,500</t>
    </r>
    <r>
      <rPr>
        <sz val="10"/>
        <rFont val="Noto Sans CJK SC"/>
        <family val="2"/>
      </rPr>
      <t xml:space="preserve">平方公尺</t>
    </r>
  </si>
  <si>
    <r>
      <rPr>
        <sz val="10"/>
        <rFont val="Arial"/>
        <family val="0"/>
        <charset val="1"/>
      </rPr>
      <t xml:space="preserve">3,500</t>
    </r>
    <r>
      <rPr>
        <sz val="10"/>
        <rFont val="Noto Sans CJK SC"/>
        <family val="2"/>
      </rPr>
      <t xml:space="preserve">平方公尺</t>
    </r>
  </si>
  <si>
    <r>
      <rPr>
        <sz val="10"/>
        <rFont val="Arial"/>
        <family val="0"/>
        <charset val="1"/>
      </rPr>
      <t xml:space="preserve">4,500</t>
    </r>
    <r>
      <rPr>
        <sz val="10"/>
        <rFont val="Noto Sans CJK SC"/>
        <family val="2"/>
      </rPr>
      <t xml:space="preserve">平方公尺</t>
    </r>
  </si>
  <si>
    <t xml:space="preserve">依建築技術規則建築設計施工編規定，當建築物高度超過10層樓以上部分之最大一層樓地板面積，在1,500平方公尺以下者，至少應設置一座緊急用升降機：超過1,500平方公尺時，每達多少平方公尺，增設一座緊急用升降機？</t>
  </si>
  <si>
    <r>
      <rPr>
        <sz val="10"/>
        <rFont val="Arial"/>
        <family val="0"/>
        <charset val="1"/>
      </rPr>
      <t xml:space="preserve">3,000</t>
    </r>
    <r>
      <rPr>
        <sz val="10"/>
        <rFont val="Noto Sans CJK SC"/>
        <family val="2"/>
      </rPr>
      <t xml:space="preserve">平方公尺</t>
    </r>
  </si>
  <si>
    <r>
      <rPr>
        <sz val="10"/>
        <rFont val="Arial"/>
        <family val="0"/>
        <charset val="1"/>
      </rPr>
      <t xml:space="preserve">4,000</t>
    </r>
    <r>
      <rPr>
        <sz val="10"/>
        <rFont val="Noto Sans CJK SC"/>
        <family val="2"/>
      </rPr>
      <t xml:space="preserve">平方公尺</t>
    </r>
  </si>
  <si>
    <r>
      <rPr>
        <sz val="10"/>
        <rFont val="Arial"/>
        <family val="0"/>
        <charset val="1"/>
      </rPr>
      <t xml:space="preserve">5,000</t>
    </r>
    <r>
      <rPr>
        <sz val="10"/>
        <rFont val="Noto Sans CJK SC"/>
        <family val="2"/>
      </rPr>
      <t xml:space="preserve">平方公尺</t>
    </r>
  </si>
  <si>
    <t xml:space="preserve">依建築技術規則建築設計施工編規定，當建築物超過十層樓之各層樓地板面積之和未達多少平方公尺者可免設緊急昇降機？</t>
  </si>
  <si>
    <r>
      <rPr>
        <sz val="10"/>
        <rFont val="Arial"/>
        <family val="0"/>
        <charset val="1"/>
      </rPr>
      <t xml:space="preserve">100</t>
    </r>
    <r>
      <rPr>
        <sz val="10"/>
        <rFont val="Noto Sans CJK SC"/>
        <family val="2"/>
      </rPr>
      <t xml:space="preserve">平方公尺</t>
    </r>
  </si>
  <si>
    <r>
      <rPr>
        <sz val="10"/>
        <rFont val="Arial"/>
        <family val="0"/>
        <charset val="1"/>
      </rPr>
      <t xml:space="preserve">500</t>
    </r>
    <r>
      <rPr>
        <sz val="10"/>
        <rFont val="Noto Sans CJK SC"/>
        <family val="2"/>
      </rPr>
      <t xml:space="preserve">平方公尺</t>
    </r>
  </si>
  <si>
    <r>
      <rPr>
        <sz val="10"/>
        <rFont val="Arial"/>
        <family val="0"/>
        <charset val="1"/>
      </rPr>
      <t xml:space="preserve">1,000</t>
    </r>
    <r>
      <rPr>
        <sz val="10"/>
        <rFont val="Noto Sans CJK SC"/>
        <family val="2"/>
      </rPr>
      <t xml:space="preserve">平方公尺</t>
    </r>
  </si>
  <si>
    <t xml:space="preserve">依建築技術規則建築設計施工編規定，緊急昇降機機間四周應為具有幾小時以上防火時效之牆壁及樓板？</t>
  </si>
  <si>
    <t xml:space="preserve">一小時，</t>
  </si>
  <si>
    <t xml:space="preserve">二小時</t>
  </si>
  <si>
    <t xml:space="preserve">三小時</t>
  </si>
  <si>
    <t xml:space="preserve">四小時</t>
  </si>
  <si>
    <t xml:space="preserve">依建築技術規則建築設計施工編規定，緊急昇降機機間之天花板及牆裝修，應使用耐燃第幾級材料？</t>
  </si>
  <si>
    <t xml:space="preserve">一級，</t>
  </si>
  <si>
    <t xml:space="preserve">二級</t>
  </si>
  <si>
    <t xml:space="preserve">三級</t>
  </si>
  <si>
    <t xml:space="preserve">依建築技術規則建築設計施工編規定，緊急昇降機機間之出入口應為具有幾小時以上防火時效之防火門？</t>
  </si>
  <si>
    <t xml:space="preserve">依建築技術規則建築設計施工編規定，每座緊急昇降機間之樓地板面積不得小於多少平方公尺？</t>
  </si>
  <si>
    <r>
      <rPr>
        <sz val="10"/>
        <rFont val="Arial"/>
        <family val="0"/>
        <charset val="1"/>
      </rPr>
      <t xml:space="preserve">5</t>
    </r>
    <r>
      <rPr>
        <sz val="10"/>
        <rFont val="Noto Sans CJK SC"/>
        <family val="2"/>
      </rPr>
      <t xml:space="preserve">平方公尺</t>
    </r>
  </si>
  <si>
    <r>
      <rPr>
        <sz val="10"/>
        <rFont val="Arial"/>
        <family val="0"/>
        <charset val="1"/>
      </rPr>
      <t xml:space="preserve">10</t>
    </r>
    <r>
      <rPr>
        <sz val="10"/>
        <rFont val="Noto Sans CJK SC"/>
        <family val="2"/>
      </rPr>
      <t xml:space="preserve">平方公尺</t>
    </r>
  </si>
  <si>
    <r>
      <rPr>
        <sz val="10"/>
        <rFont val="Arial"/>
        <family val="0"/>
        <charset val="1"/>
      </rPr>
      <t xml:space="preserve">20</t>
    </r>
    <r>
      <rPr>
        <sz val="10"/>
        <rFont val="Noto Sans CJK SC"/>
        <family val="2"/>
      </rPr>
      <t xml:space="preserve">平方公尺</t>
    </r>
  </si>
  <si>
    <r>
      <rPr>
        <sz val="10"/>
        <rFont val="Arial"/>
        <family val="0"/>
        <charset val="1"/>
      </rPr>
      <t xml:space="preserve">30</t>
    </r>
    <r>
      <rPr>
        <sz val="10"/>
        <rFont val="Noto Sans CJK SC"/>
        <family val="2"/>
      </rPr>
      <t xml:space="preserve">平方公尺</t>
    </r>
  </si>
  <si>
    <t xml:space="preserve">依建築技術規則建築設計施工編規定，緊急昇降機機間應遵守的規定有？</t>
  </si>
  <si>
    <t xml:space="preserve">應設置排煙設備</t>
  </si>
  <si>
    <t xml:space="preserve">應有緊急電源之照明設備</t>
  </si>
  <si>
    <t xml:space="preserve">應於明顯處所標示昇降機之活載重</t>
  </si>
  <si>
    <t xml:space="preserve">四周應為具有一小時以上防火時效之牆壁及樓板</t>
  </si>
  <si>
    <t xml:space="preserve">出入口應為具有一小時以上防火時效之防火門</t>
  </si>
  <si>
    <t xml:space="preserve">應有緊急電源之照明設備並設置消防設備</t>
  </si>
  <si>
    <t xml:space="preserve">依建築技術規則建築設計施工編規定，哪一項不是緊急昇降機機間應遵守的規定？</t>
  </si>
  <si>
    <t xml:space="preserve">應設置空調系統</t>
  </si>
  <si>
    <t xml:space="preserve">依建築技術規則建築設計施工編規定，緊急昇降機應於明顯處所標示</t>
  </si>
  <si>
    <t xml:space="preserve">活載重及最大容許乘座人數</t>
  </si>
  <si>
    <t xml:space="preserve">避難層之避難方向、通道等有關避難事項</t>
  </si>
  <si>
    <t xml:space="preserve">應有可照明此等標示以及緊急電源之標示燈</t>
  </si>
  <si>
    <t xml:space="preserve">電梯機種及規格之表示方法：P-15x16-CO105，其中"P"是代表機種別；以電梯之用途別區分，記號"P"表示何種用途之電梯？</t>
  </si>
  <si>
    <t xml:space="preserve">載人用</t>
  </si>
  <si>
    <t xml:space="preserve">載貨用</t>
  </si>
  <si>
    <t xml:space="preserve">人貨兩用</t>
  </si>
  <si>
    <t xml:space="preserve">醫院病床用</t>
  </si>
  <si>
    <t xml:space="preserve">電梯機種及規格之表示方法：P-15x16-CO105，其中"F"是代表機種別；以電梯之用途別區分，記號"F"表示何種用途之電梯？</t>
  </si>
  <si>
    <t xml:space="preserve">電梯機種及規格之表示方法：P-15x16-CO105，其中"P"是代表機種別；以電梯之用途別區分，記號"PF"表示何種用途之電梯？</t>
  </si>
  <si>
    <t xml:space="preserve">電梯機種及規格之表示方法：P-15x16-CO105，其中"P"是代表機種別；以電梯之用途別區分，記號"B"表示何種用途之電梯？</t>
  </si>
  <si>
    <t xml:space="preserve">電梯機種及規格之表示方法：P-15x16-CO105，其中"15"是代表積載容量，若以額定搭乘人數表示時，每人以多少公斤重計算？</t>
  </si>
  <si>
    <r>
      <rPr>
        <sz val="10"/>
        <rFont val="Arial"/>
        <family val="0"/>
        <charset val="1"/>
      </rPr>
      <t xml:space="preserve">30</t>
    </r>
    <r>
      <rPr>
        <sz val="10"/>
        <rFont val="Noto Sans CJK SC"/>
        <family val="2"/>
      </rPr>
      <t xml:space="preserve">公斤</t>
    </r>
  </si>
  <si>
    <r>
      <rPr>
        <sz val="10"/>
        <rFont val="Arial"/>
        <family val="0"/>
        <charset val="1"/>
      </rPr>
      <t xml:space="preserve">50</t>
    </r>
    <r>
      <rPr>
        <sz val="10"/>
        <rFont val="Noto Sans CJK SC"/>
        <family val="2"/>
      </rPr>
      <t xml:space="preserve">公斤</t>
    </r>
  </si>
  <si>
    <r>
      <rPr>
        <sz val="10"/>
        <rFont val="Arial"/>
        <family val="0"/>
        <charset val="1"/>
      </rPr>
      <t xml:space="preserve">65</t>
    </r>
    <r>
      <rPr>
        <sz val="10"/>
        <rFont val="Noto Sans CJK SC"/>
        <family val="2"/>
      </rPr>
      <t xml:space="preserve">公斤</t>
    </r>
  </si>
  <si>
    <r>
      <rPr>
        <sz val="10"/>
        <rFont val="Arial"/>
        <family val="0"/>
        <charset val="1"/>
      </rPr>
      <t xml:space="preserve">100</t>
    </r>
    <r>
      <rPr>
        <sz val="10"/>
        <rFont val="Noto Sans CJK SC"/>
        <family val="2"/>
      </rPr>
      <t xml:space="preserve">公斤</t>
    </r>
  </si>
  <si>
    <t xml:space="preserve">電梯機種及規格之表示方法：P-15x16-CO105，其中"CO"是代表門開閉方式；記號"CO"表示下列何種門開閉方式？</t>
  </si>
  <si>
    <t xml:space="preserve">二門中間對開式</t>
  </si>
  <si>
    <t xml:space="preserve">二門雙速側開式</t>
  </si>
  <si>
    <t xml:space="preserve">二門上開式</t>
  </si>
  <si>
    <t xml:space="preserve">電梯機種及規格之表示方法：P-15x16-CO105，其中"CO"是代表門開閉方式；記號"2S"表示下列何種門開閉方式？</t>
  </si>
  <si>
    <t xml:space="preserve">電梯設備計畫之計畫諸元及輸送能力檢討，應考量以下哪項要素？</t>
  </si>
  <si>
    <t xml:space="preserve">規模大小</t>
  </si>
  <si>
    <t xml:space="preserve">目的用途</t>
  </si>
  <si>
    <t xml:space="preserve">位置條件</t>
  </si>
  <si>
    <t xml:space="preserve">一般大樓電梯的配置需考慮</t>
  </si>
  <si>
    <t xml:space="preserve">主道路應與乘場分開設置</t>
  </si>
  <si>
    <t xml:space="preserve">電梯集中於建築物之一處</t>
  </si>
  <si>
    <t xml:space="preserve">凹型配置或集中於建築物中心</t>
  </si>
  <si>
    <t xml:space="preserve">一般大樓電梯的配置，不需考慮哪一項配置？</t>
  </si>
  <si>
    <t xml:space="preserve">一般大樓電梯的配置，良好的配置方式包括</t>
  </si>
  <si>
    <r>
      <rPr>
        <sz val="10"/>
        <rFont val="Arial"/>
        <family val="0"/>
        <charset val="1"/>
      </rPr>
      <t xml:space="preserve">1</t>
    </r>
    <r>
      <rPr>
        <sz val="10"/>
        <rFont val="Noto Sans CJK SC"/>
        <family val="2"/>
      </rPr>
      <t xml:space="preserve">群</t>
    </r>
    <r>
      <rPr>
        <sz val="10"/>
        <rFont val="Arial"/>
        <family val="0"/>
        <charset val="1"/>
      </rPr>
      <t xml:space="preserve">4</t>
    </r>
    <r>
      <rPr>
        <sz val="10"/>
        <rFont val="Noto Sans CJK SC"/>
        <family val="2"/>
      </rPr>
      <t xml:space="preserve">台以下直線設置</t>
    </r>
  </si>
  <si>
    <r>
      <rPr>
        <sz val="10"/>
        <rFont val="Arial"/>
        <family val="0"/>
        <charset val="1"/>
      </rPr>
      <t xml:space="preserve">1</t>
    </r>
    <r>
      <rPr>
        <sz val="10"/>
        <rFont val="Noto Sans CJK SC"/>
        <family val="2"/>
      </rPr>
      <t xml:space="preserve">群</t>
    </r>
    <r>
      <rPr>
        <sz val="10"/>
        <rFont val="Arial"/>
        <family val="0"/>
        <charset val="1"/>
      </rPr>
      <t xml:space="preserve">4~6</t>
    </r>
    <r>
      <rPr>
        <sz val="10"/>
        <rFont val="Noto Sans CJK SC"/>
        <family val="2"/>
      </rPr>
      <t xml:space="preserve">台凹型設置</t>
    </r>
  </si>
  <si>
    <r>
      <rPr>
        <sz val="10"/>
        <rFont val="Arial"/>
        <family val="0"/>
        <charset val="1"/>
      </rPr>
      <t xml:space="preserve">1</t>
    </r>
    <r>
      <rPr>
        <sz val="10"/>
        <rFont val="Noto Sans CJK SC"/>
        <family val="2"/>
      </rPr>
      <t xml:space="preserve">群</t>
    </r>
    <r>
      <rPr>
        <sz val="10"/>
        <rFont val="Arial"/>
        <family val="0"/>
        <charset val="1"/>
      </rPr>
      <t xml:space="preserve">4~8</t>
    </r>
    <r>
      <rPr>
        <sz val="10"/>
        <rFont val="Noto Sans CJK SC"/>
        <family val="2"/>
      </rPr>
      <t xml:space="preserve">台相對設置</t>
    </r>
  </si>
  <si>
    <t xml:space="preserve">一般大樓電梯的配置，不良配置方式包括</t>
  </si>
  <si>
    <t xml:space="preserve">同1群5台以下直線設置</t>
  </si>
  <si>
    <t xml:space="preserve">同1群對面6公尺以上的凹型配置</t>
  </si>
  <si>
    <r>
      <rPr>
        <sz val="10"/>
        <rFont val="Arial"/>
        <family val="0"/>
        <charset val="1"/>
      </rPr>
      <t xml:space="preserve">2</t>
    </r>
    <r>
      <rPr>
        <sz val="10"/>
        <rFont val="Noto Sans CJK SC"/>
        <family val="2"/>
      </rPr>
      <t xml:space="preserve">群的分界不明</t>
    </r>
  </si>
  <si>
    <t xml:space="preserve">電梯智慧型群管理系統的目地？</t>
  </si>
  <si>
    <t xml:space="preserve">大幅縮短等車時間</t>
  </si>
  <si>
    <t xml:space="preserve">大幅縮短到達目的樓層時間</t>
  </si>
  <si>
    <t xml:space="preserve">提高電梯服務效能</t>
  </si>
  <si>
    <t xml:space="preserve">哪一項敘述不是電梯智慧型群管理系統的目地？</t>
  </si>
  <si>
    <t xml:space="preserve">提供最佳乘場呼叫服務</t>
  </si>
  <si>
    <t xml:space="preserve">車廂內商品廣告服務</t>
  </si>
  <si>
    <t xml:space="preserve">依建築技術規則建築設計施工編規定，哪一項不是緊急昇降機應於明顯處所標示之項目？</t>
  </si>
  <si>
    <t xml:space="preserve">各樓層用途</t>
  </si>
  <si>
    <t xml:space="preserve">最大容許乘座人數</t>
  </si>
  <si>
    <t xml:space="preserve">緊急電源之標示燈</t>
  </si>
  <si>
    <t xml:space="preserve">依建築技術規則建築設計施工編規定，機間在避難層之位置，自昇降機出口或昇降機間之出入口至通往戶外出入口之步行距離不得大於多少公尺？</t>
  </si>
  <si>
    <r>
      <rPr>
        <sz val="10"/>
        <rFont val="Arial"/>
        <family val="0"/>
        <charset val="1"/>
      </rPr>
      <t xml:space="preserve">30</t>
    </r>
    <r>
      <rPr>
        <sz val="10"/>
        <rFont val="Noto Sans CJK SC"/>
        <family val="2"/>
      </rPr>
      <t xml:space="preserve">公尺</t>
    </r>
  </si>
  <si>
    <r>
      <rPr>
        <sz val="10"/>
        <rFont val="Arial"/>
        <family val="0"/>
        <charset val="1"/>
      </rPr>
      <t xml:space="preserve">50</t>
    </r>
    <r>
      <rPr>
        <sz val="10"/>
        <rFont val="Noto Sans CJK SC"/>
        <family val="2"/>
      </rPr>
      <t xml:space="preserve">公尺</t>
    </r>
  </si>
  <si>
    <r>
      <rPr>
        <sz val="10"/>
        <rFont val="Arial"/>
        <family val="0"/>
        <charset val="1"/>
      </rPr>
      <t xml:space="preserve">60</t>
    </r>
    <r>
      <rPr>
        <sz val="10"/>
        <rFont val="Noto Sans CJK SC"/>
        <family val="2"/>
      </rPr>
      <t xml:space="preserve">公尺</t>
    </r>
  </si>
  <si>
    <t xml:space="preserve">依建築技術規則建築設計施工編規定，緊急昇降機道應每二部昇降機以具有幾小時以上防火時效之牆壁隔閉？</t>
  </si>
  <si>
    <t xml:space="preserve">依建築技術規則建築設計施工編規定，緊急昇降機應遵守的規定有？</t>
  </si>
  <si>
    <t xml:space="preserve">應設有連絡機廂與管理室間之電話系統裝置，</t>
  </si>
  <si>
    <t xml:space="preserve">應設有使機廂門維持開敔狀態仍能昇降之裝置</t>
  </si>
  <si>
    <t xml:space="preserve">整座電梯應連接至緊急電源</t>
  </si>
  <si>
    <t xml:space="preserve">依建築技術規則建築設計施工編規定，緊急昇降機昇降速度不得小於幾公尺/分鐘？</t>
  </si>
  <si>
    <r>
      <rPr>
        <sz val="10"/>
        <rFont val="Arial"/>
        <family val="0"/>
        <charset val="1"/>
      </rPr>
      <t xml:space="preserve">10</t>
    </r>
    <r>
      <rPr>
        <sz val="10"/>
        <rFont val="Noto Sans CJK SC"/>
        <family val="2"/>
      </rPr>
      <t xml:space="preserve">公尺</t>
    </r>
    <r>
      <rPr>
        <sz val="10"/>
        <rFont val="Arial"/>
        <family val="0"/>
        <charset val="1"/>
      </rPr>
      <t xml:space="preserve">/</t>
    </r>
    <r>
      <rPr>
        <sz val="10"/>
        <rFont val="Noto Sans CJK SC"/>
        <family val="2"/>
      </rPr>
      <t xml:space="preserve">分鐘</t>
    </r>
  </si>
  <si>
    <r>
      <rPr>
        <sz val="10"/>
        <rFont val="Arial"/>
        <family val="0"/>
        <charset val="1"/>
      </rPr>
      <t xml:space="preserve">20</t>
    </r>
    <r>
      <rPr>
        <sz val="10"/>
        <rFont val="Noto Sans CJK SC"/>
        <family val="2"/>
      </rPr>
      <t xml:space="preserve">公尺</t>
    </r>
    <r>
      <rPr>
        <sz val="10"/>
        <rFont val="Arial"/>
        <family val="0"/>
        <charset val="1"/>
      </rPr>
      <t xml:space="preserve">/</t>
    </r>
    <r>
      <rPr>
        <sz val="10"/>
        <rFont val="Noto Sans CJK SC"/>
        <family val="2"/>
      </rPr>
      <t xml:space="preserve">分鐘</t>
    </r>
  </si>
  <si>
    <r>
      <rPr>
        <sz val="10"/>
        <rFont val="Arial"/>
        <family val="0"/>
        <charset val="1"/>
      </rPr>
      <t xml:space="preserve">30</t>
    </r>
    <r>
      <rPr>
        <sz val="10"/>
        <rFont val="Noto Sans CJK SC"/>
        <family val="2"/>
      </rPr>
      <t xml:space="preserve">公尺</t>
    </r>
    <r>
      <rPr>
        <sz val="10"/>
        <rFont val="Arial"/>
        <family val="0"/>
        <charset val="1"/>
      </rPr>
      <t xml:space="preserve">/</t>
    </r>
    <r>
      <rPr>
        <sz val="10"/>
        <rFont val="Noto Sans CJK SC"/>
        <family val="2"/>
      </rPr>
      <t xml:space="preserve">分鐘</t>
    </r>
  </si>
  <si>
    <r>
      <rPr>
        <sz val="10"/>
        <rFont val="Arial"/>
        <family val="0"/>
        <charset val="1"/>
      </rPr>
      <t xml:space="preserve">120</t>
    </r>
    <r>
      <rPr>
        <sz val="10"/>
        <rFont val="Noto Sans CJK SC"/>
        <family val="2"/>
      </rPr>
      <t xml:space="preserve">公尺</t>
    </r>
    <r>
      <rPr>
        <sz val="10"/>
        <rFont val="Arial"/>
        <family val="0"/>
        <charset val="1"/>
      </rPr>
      <t xml:space="preserve">/</t>
    </r>
    <r>
      <rPr>
        <sz val="10"/>
        <rFont val="Noto Sans CJK SC"/>
        <family val="2"/>
      </rPr>
      <t xml:space="preserve">分鐘</t>
    </r>
  </si>
  <si>
    <t xml:space="preserve">第六章 建築工程之界面整合</t>
  </si>
  <si>
    <t xml:space="preserve">單元二：第六章 建築工程之界面整合</t>
  </si>
  <si>
    <t xml:space="preserve">各工種及承包商之介面協調會議，應由</t>
  </si>
  <si>
    <t xml:space="preserve">以上皆可，提出召開協調會，並予以公平處置</t>
  </si>
  <si>
    <t xml:space="preserve">目前實務界施工圖套繪方式，計有</t>
  </si>
  <si>
    <t xml:space="preserve">口頭協商現場套繪</t>
  </si>
  <si>
    <r>
      <rPr>
        <sz val="10"/>
        <rFont val="Arial"/>
        <family val="0"/>
        <charset val="1"/>
      </rPr>
      <t xml:space="preserve">2D</t>
    </r>
    <r>
      <rPr>
        <sz val="10"/>
        <rFont val="Noto Sans CJK SC"/>
        <family val="2"/>
      </rPr>
      <t xml:space="preserve">平面套繪</t>
    </r>
  </si>
  <si>
    <r>
      <rPr>
        <sz val="10"/>
        <rFont val="Arial"/>
        <family val="0"/>
        <charset val="1"/>
      </rPr>
      <t xml:space="preserve">3D</t>
    </r>
    <r>
      <rPr>
        <sz val="10"/>
        <rFont val="Noto Sans CJK SC"/>
        <family val="2"/>
      </rPr>
      <t xml:space="preserve">立體套繪</t>
    </r>
  </si>
  <si>
    <t xml:space="preserve">管路高程配置原則，為何汙排水管需優先套繪？</t>
  </si>
  <si>
    <t xml:space="preserve">汙水最臭</t>
  </si>
  <si>
    <t xml:space="preserve">汙水安全最重要</t>
  </si>
  <si>
    <t xml:space="preserve">汙水配置同斷面最上方</t>
  </si>
  <si>
    <t xml:space="preserve">樓層高度受限必須重力排水</t>
  </si>
  <si>
    <t xml:space="preserve">界面整合、給排水</t>
  </si>
  <si>
    <t xml:space="preserve">下列何者非為管路高程配置原則</t>
  </si>
  <si>
    <t xml:space="preserve">汙水優先</t>
  </si>
  <si>
    <t xml:space="preserve">大管徑優先</t>
  </si>
  <si>
    <t xml:space="preserve">電管在上水管在下</t>
  </si>
  <si>
    <t xml:space="preserve">消防管路優先</t>
  </si>
  <si>
    <t xml:space="preserve">基礎開挖大底RC澆置前，所有接地系統均須完成且為檢驗停留點，應檢驗項目為</t>
  </si>
  <si>
    <r>
      <rPr>
        <sz val="10"/>
        <rFont val="Arial"/>
        <family val="0"/>
        <charset val="1"/>
      </rPr>
      <t xml:space="preserve">R</t>
    </r>
    <r>
      <rPr>
        <sz val="10"/>
        <rFont val="Noto Sans CJK SC"/>
        <family val="2"/>
      </rPr>
      <t xml:space="preserve">值≦設計值</t>
    </r>
  </si>
  <si>
    <r>
      <rPr>
        <sz val="10"/>
        <rFont val="Arial"/>
        <family val="0"/>
        <charset val="1"/>
      </rPr>
      <t xml:space="preserve">E.P.C</t>
    </r>
    <r>
      <rPr>
        <sz val="10"/>
        <rFont val="Noto Sans CJK SC"/>
        <family val="2"/>
      </rPr>
      <t xml:space="preserve">依序排列</t>
    </r>
  </si>
  <si>
    <t xml:space="preserve">接地連接線採絕緣導線並預留套管</t>
  </si>
  <si>
    <t xml:space="preserve">界面整合、電氣安全</t>
  </si>
  <si>
    <t xml:space="preserve">管路穿越外牆施作，下列何者有誤？</t>
  </si>
  <si>
    <t xml:space="preserve">採附止水環套管</t>
  </si>
  <si>
    <t xml:space="preserve">屋外部分採S形向下</t>
  </si>
  <si>
    <t xml:space="preserve">屋內接管處增設固定支持</t>
  </si>
  <si>
    <t xml:space="preserve">採一般套管</t>
  </si>
  <si>
    <t xml:space="preserve">所有運轉設備機房均需設置下列何者設施？</t>
  </si>
  <si>
    <t xml:space="preserve">牆面貼消音棉</t>
  </si>
  <si>
    <t xml:space="preserve">基礎座預埋螺栓安裝避震器</t>
  </si>
  <si>
    <t xml:space="preserve">下列何者應設排水溝？</t>
  </si>
  <si>
    <t xml:space="preserve">中央監控室</t>
  </si>
  <si>
    <r>
      <rPr>
        <sz val="10"/>
        <rFont val="Arial"/>
        <family val="0"/>
        <charset val="1"/>
      </rPr>
      <t xml:space="preserve">UPS</t>
    </r>
    <r>
      <rPr>
        <sz val="10"/>
        <rFont val="Noto Sans CJK SC"/>
        <family val="2"/>
      </rPr>
      <t xml:space="preserve">室</t>
    </r>
  </si>
  <si>
    <t xml:space="preserve">電梯機房</t>
  </si>
  <si>
    <t xml:space="preserve">中央空調冰水主機房</t>
  </si>
  <si>
    <t xml:space="preserve">樓板內埋管最大管徑為樓板厚之比例為何？</t>
  </si>
  <si>
    <t xml:space="preserve">柱內埋設最大管徑為多少尺寸？</t>
  </si>
  <si>
    <t xml:space="preserve">4"</t>
  </si>
  <si>
    <t xml:space="preserve">3"</t>
  </si>
  <si>
    <t xml:space="preserve">2"</t>
  </si>
  <si>
    <t xml:space="preserve">電梯機房應依規定設置</t>
  </si>
  <si>
    <t xml:space="preserve">防塵地板</t>
  </si>
  <si>
    <t xml:space="preserve">空調或通風換氣設備</t>
  </si>
  <si>
    <t xml:space="preserve">偵煙探測器</t>
  </si>
  <si>
    <t xml:space="preserve">界面整合、電梯</t>
  </si>
  <si>
    <t xml:space="preserve">屋頂層機水電設備設置時，應注意事項包括：</t>
  </si>
  <si>
    <t xml:space="preserve">不得破壞屋頂樓板防水隔熱</t>
  </si>
  <si>
    <t xml:space="preserve">樑柱結構承載荷重</t>
  </si>
  <si>
    <t xml:space="preserve">設備管路防震施工</t>
  </si>
  <si>
    <t xml:space="preserve">高層建築物管路應使用不燃材料，下列何者不是不燃材料？</t>
  </si>
  <si>
    <t xml:space="preserve">金屬管槽</t>
  </si>
  <si>
    <t xml:space="preserve">金屬纜架</t>
  </si>
  <si>
    <r>
      <rPr>
        <sz val="10"/>
        <rFont val="Arial"/>
        <family val="0"/>
        <charset val="1"/>
      </rPr>
      <t xml:space="preserve">FRP</t>
    </r>
    <r>
      <rPr>
        <sz val="10"/>
        <rFont val="Noto Sans CJK SC"/>
        <family val="2"/>
      </rPr>
      <t xml:space="preserve">管槽</t>
    </r>
  </si>
  <si>
    <r>
      <rPr>
        <sz val="10"/>
        <rFont val="Arial"/>
        <family val="0"/>
        <charset val="1"/>
      </rPr>
      <t xml:space="preserve">PVC</t>
    </r>
    <r>
      <rPr>
        <sz val="10"/>
        <rFont val="Noto Sans CJK SC"/>
        <family val="2"/>
      </rPr>
      <t xml:space="preserve">管槽</t>
    </r>
  </si>
  <si>
    <r>
      <rPr>
        <sz val="10"/>
        <rFont val="Arial"/>
        <family val="0"/>
        <charset val="1"/>
      </rPr>
      <t xml:space="preserve">RC</t>
    </r>
    <r>
      <rPr>
        <sz val="10"/>
        <rFont val="Noto Sans CJK SC"/>
        <family val="2"/>
      </rPr>
      <t xml:space="preserve">樓板澆置，需維修或變更擴充之管線，其施工方式以何種方式最佳</t>
    </r>
  </si>
  <si>
    <t xml:space="preserve">採暗管埋設</t>
  </si>
  <si>
    <t xml:space="preserve">採明管施配</t>
  </si>
  <si>
    <t xml:space="preserve">只要美觀就可</t>
  </si>
  <si>
    <t xml:space="preserve">台電配電場所之隔牆厚度，下列敘述何者正確？</t>
  </si>
  <si>
    <r>
      <rPr>
        <sz val="10"/>
        <rFont val="Arial"/>
        <family val="0"/>
        <charset val="1"/>
      </rPr>
      <t xml:space="preserve">1/2B</t>
    </r>
    <r>
      <rPr>
        <sz val="10"/>
        <rFont val="Noto Sans CJK SC"/>
        <family val="2"/>
      </rPr>
      <t xml:space="preserve">磚疊砌</t>
    </r>
  </si>
  <si>
    <t xml:space="preserve">厚度8cmRC</t>
  </si>
  <si>
    <t xml:space="preserve">厚度10cmRC</t>
  </si>
  <si>
    <t xml:space="preserve">厚度12cmRC</t>
  </si>
  <si>
    <t xml:space="preserve">台電配電場所室內淨高不得低於</t>
  </si>
  <si>
    <t xml:space="preserve">2.2m</t>
  </si>
  <si>
    <t xml:space="preserve">2.5m</t>
  </si>
  <si>
    <t xml:space="preserve">2.3m</t>
  </si>
  <si>
    <t xml:space="preserve">發電機室設置要領,下列敘述何者不正確？</t>
  </si>
  <si>
    <t xml:space="preserve">發電機室應為防火構造之牆壁、地板所區劃之專用空間，門為防火門構造</t>
  </si>
  <si>
    <t xml:space="preserve">可設置與一般空調共用之通風設備</t>
  </si>
  <si>
    <t xml:space="preserve">發電機之安裝，應設置於基礎台上，並採預埋螺絲，配合避震安裝施作</t>
  </si>
  <si>
    <t xml:space="preserve">配置機房時需預留足夠維護保養空間，並規劃搬運動線</t>
  </si>
  <si>
    <t xml:space="preserve">界面整合、發電設備</t>
  </si>
  <si>
    <t xml:space="preserve">消防泵室設置要領，下列敘述何者不正確？</t>
  </si>
  <si>
    <t xml:space="preserve">採用一般隔間材料區隔</t>
  </si>
  <si>
    <t xml:space="preserve">設置通風換氣設備</t>
  </si>
  <si>
    <t xml:space="preserve">消防泵應設置於基礎台上，並採預埋螺絲，配合防震安裝施作</t>
  </si>
  <si>
    <t xml:space="preserve">基礎四週應留設直接排水溝或間接排水孔</t>
  </si>
  <si>
    <t xml:space="preserve">界面整合、消防</t>
  </si>
  <si>
    <t xml:space="preserve">防災中心樓地板面積不得小於</t>
  </si>
  <si>
    <r>
      <rPr>
        <sz val="10"/>
        <rFont val="Arial"/>
        <family val="0"/>
        <charset val="1"/>
      </rPr>
      <t xml:space="preserve">40</t>
    </r>
    <r>
      <rPr>
        <sz val="10"/>
        <rFont val="Noto Sans CJK SC"/>
        <family val="2"/>
      </rPr>
      <t xml:space="preserve">㎡</t>
    </r>
  </si>
  <si>
    <r>
      <rPr>
        <sz val="10"/>
        <rFont val="Arial"/>
        <family val="0"/>
        <charset val="1"/>
      </rPr>
      <t xml:space="preserve">30</t>
    </r>
    <r>
      <rPr>
        <sz val="10"/>
        <rFont val="Noto Sans CJK SC"/>
        <family val="2"/>
      </rPr>
      <t xml:space="preserve">㎡</t>
    </r>
  </si>
  <si>
    <r>
      <rPr>
        <sz val="10"/>
        <rFont val="Arial"/>
        <family val="0"/>
        <charset val="1"/>
      </rPr>
      <t xml:space="preserve">20</t>
    </r>
    <r>
      <rPr>
        <sz val="10"/>
        <rFont val="Noto Sans CJK SC"/>
        <family val="2"/>
      </rPr>
      <t xml:space="preserve">㎡</t>
    </r>
  </si>
  <si>
    <r>
      <rPr>
        <sz val="10"/>
        <rFont val="Arial"/>
        <family val="0"/>
        <charset val="1"/>
      </rPr>
      <t xml:space="preserve">15</t>
    </r>
    <r>
      <rPr>
        <sz val="10"/>
        <rFont val="Noto Sans CJK SC"/>
        <family val="2"/>
      </rPr>
      <t xml:space="preserve">㎡</t>
    </r>
  </si>
  <si>
    <t xml:space="preserve">防災中心應具有</t>
  </si>
  <si>
    <r>
      <rPr>
        <sz val="10"/>
        <rFont val="Arial"/>
        <family val="0"/>
        <charset val="1"/>
      </rPr>
      <t xml:space="preserve">45</t>
    </r>
    <r>
      <rPr>
        <sz val="10"/>
        <rFont val="Noto Sans CJK SC"/>
        <family val="2"/>
      </rPr>
      <t xml:space="preserve">分鐘以上防火時效之防火牆，防火樓板及甲種防火門</t>
    </r>
  </si>
  <si>
    <t xml:space="preserve">用戶側光纜總數超過多少蕊之建築物，應設置電信室？</t>
  </si>
  <si>
    <r>
      <rPr>
        <sz val="10"/>
        <rFont val="Arial"/>
        <family val="0"/>
        <charset val="1"/>
      </rPr>
      <t xml:space="preserve">6</t>
    </r>
    <r>
      <rPr>
        <sz val="10"/>
        <rFont val="Noto Sans CJK SC"/>
        <family val="2"/>
      </rPr>
      <t xml:space="preserve">蕊</t>
    </r>
  </si>
  <si>
    <r>
      <rPr>
        <sz val="10"/>
        <rFont val="Arial"/>
        <family val="0"/>
        <charset val="1"/>
      </rPr>
      <t xml:space="preserve">8</t>
    </r>
    <r>
      <rPr>
        <sz val="10"/>
        <rFont val="Noto Sans CJK SC"/>
        <family val="2"/>
      </rPr>
      <t xml:space="preserve">蕊</t>
    </r>
  </si>
  <si>
    <r>
      <rPr>
        <sz val="10"/>
        <rFont val="Arial"/>
        <family val="0"/>
        <charset val="1"/>
      </rPr>
      <t xml:space="preserve">10</t>
    </r>
    <r>
      <rPr>
        <sz val="10"/>
        <rFont val="Noto Sans CJK SC"/>
        <family val="2"/>
      </rPr>
      <t xml:space="preserve">蕊</t>
    </r>
  </si>
  <si>
    <r>
      <rPr>
        <sz val="10"/>
        <rFont val="Arial"/>
        <family val="0"/>
        <charset val="1"/>
      </rPr>
      <t xml:space="preserve">48</t>
    </r>
    <r>
      <rPr>
        <sz val="10"/>
        <rFont val="Noto Sans CJK SC"/>
        <family val="2"/>
      </rPr>
      <t xml:space="preserve">蕊</t>
    </r>
  </si>
  <si>
    <t xml:space="preserve">自來水蓄水池與水塔應為水密性構造物，且應設置適當之人孔、通氣管及溢排水設備；池底並應設坡度為：</t>
  </si>
  <si>
    <r>
      <rPr>
        <sz val="10"/>
        <rFont val="Arial"/>
        <family val="0"/>
        <charset val="1"/>
      </rPr>
      <t xml:space="preserve">1/200</t>
    </r>
    <r>
      <rPr>
        <sz val="10"/>
        <rFont val="Noto Sans CJK SC"/>
        <family val="2"/>
      </rPr>
      <t xml:space="preserve">以上</t>
    </r>
  </si>
  <si>
    <r>
      <rPr>
        <sz val="10"/>
        <rFont val="Arial"/>
        <family val="0"/>
        <charset val="1"/>
      </rPr>
      <t xml:space="preserve">1/150</t>
    </r>
    <r>
      <rPr>
        <sz val="10"/>
        <rFont val="Noto Sans CJK SC"/>
        <family val="2"/>
      </rPr>
      <t xml:space="preserve">以上</t>
    </r>
  </si>
  <si>
    <r>
      <rPr>
        <sz val="10"/>
        <rFont val="Arial"/>
        <family val="0"/>
        <charset val="1"/>
      </rPr>
      <t xml:space="preserve">1/50</t>
    </r>
    <r>
      <rPr>
        <sz val="10"/>
        <rFont val="Noto Sans CJK SC"/>
        <family val="2"/>
      </rPr>
      <t xml:space="preserve">以上</t>
    </r>
  </si>
  <si>
    <r>
      <rPr>
        <sz val="10"/>
        <rFont val="Arial"/>
        <family val="0"/>
        <charset val="1"/>
      </rPr>
      <t xml:space="preserve">1/100</t>
    </r>
    <r>
      <rPr>
        <sz val="10"/>
        <rFont val="Noto Sans CJK SC"/>
        <family val="2"/>
      </rPr>
      <t xml:space="preserve">以上</t>
    </r>
  </si>
  <si>
    <t xml:space="preserve">地下蓄水池與屋頂水塔合計容量，原則上不超過幾日用水量？</t>
  </si>
  <si>
    <t xml:space="preserve">蓄水池之四週應與其他結構物分開，並應保持多少公分以上之距離？</t>
  </si>
  <si>
    <r>
      <rPr>
        <sz val="10"/>
        <rFont val="Arial"/>
        <family val="0"/>
        <charset val="1"/>
      </rPr>
      <t xml:space="preserve">45</t>
    </r>
    <r>
      <rPr>
        <sz val="10"/>
        <rFont val="Noto Sans CJK SC"/>
        <family val="2"/>
      </rPr>
      <t xml:space="preserve">公分以上</t>
    </r>
  </si>
  <si>
    <r>
      <rPr>
        <sz val="10"/>
        <rFont val="Arial"/>
        <family val="0"/>
        <charset val="1"/>
      </rPr>
      <t xml:space="preserve">35</t>
    </r>
    <r>
      <rPr>
        <sz val="10"/>
        <rFont val="Noto Sans CJK SC"/>
        <family val="2"/>
      </rPr>
      <t xml:space="preserve">公分以上</t>
    </r>
  </si>
  <si>
    <r>
      <rPr>
        <sz val="10"/>
        <rFont val="Arial"/>
        <family val="0"/>
        <charset val="1"/>
      </rPr>
      <t xml:space="preserve">25</t>
    </r>
    <r>
      <rPr>
        <sz val="10"/>
        <rFont val="Noto Sans CJK SC"/>
        <family val="2"/>
      </rPr>
      <t xml:space="preserve">公分以上</t>
    </r>
  </si>
  <si>
    <t xml:space="preserve">自來水蓄水池應設置長、寬各多少公分以上之集水坑？</t>
  </si>
  <si>
    <r>
      <rPr>
        <sz val="10"/>
        <rFont val="Arial"/>
        <family val="0"/>
        <charset val="1"/>
      </rPr>
      <t xml:space="preserve">5</t>
    </r>
    <r>
      <rPr>
        <sz val="10"/>
        <rFont val="Noto Sans CJK SC"/>
        <family val="2"/>
      </rPr>
      <t xml:space="preserve">公分以上</t>
    </r>
  </si>
  <si>
    <r>
      <rPr>
        <sz val="10"/>
        <rFont val="Arial"/>
        <family val="0"/>
        <charset val="1"/>
      </rPr>
      <t xml:space="preserve">20</t>
    </r>
    <r>
      <rPr>
        <sz val="10"/>
        <rFont val="Noto Sans CJK SC"/>
        <family val="2"/>
      </rPr>
      <t xml:space="preserve">公分以上</t>
    </r>
  </si>
  <si>
    <r>
      <rPr>
        <sz val="10"/>
        <rFont val="Arial"/>
        <family val="0"/>
        <charset val="1"/>
      </rPr>
      <t xml:space="preserve">15</t>
    </r>
    <r>
      <rPr>
        <sz val="10"/>
        <rFont val="Noto Sans CJK SC"/>
        <family val="2"/>
      </rPr>
      <t xml:space="preserve">公分以上</t>
    </r>
  </si>
  <si>
    <t xml:space="preserve">中央空調冰水主機房設置，下列何者錯誤？</t>
  </si>
  <si>
    <t xml:space="preserve">機器設備基礎尺寸可於設備安裝於現場後再確定</t>
  </si>
  <si>
    <t xml:space="preserve">設備基礎及避震器(含防地震抑制器)之固定，應以預埋之方式預留固定</t>
  </si>
  <si>
    <t xml:space="preserve">基礎座四週應留設直接排水溝或間接排水孔</t>
  </si>
  <si>
    <t xml:space="preserve">設備週圍應預留維修通路通道，並留意配管側及維修側有足夠之維修空間</t>
  </si>
  <si>
    <t xml:space="preserve">界面整合、空調</t>
  </si>
  <si>
    <t xml:space="preserve">天花板上之機水電設備施工介面及注意事項,下列敘述何者不正確。</t>
  </si>
  <si>
    <t xml:space="preserve">天花板上所有器具設備(燈具、出回風口、喇叭、灑水頭等)應整齊美觀配置</t>
  </si>
  <si>
    <t xml:space="preserve">暗架天花之開口，可以由水電包商自行切割天花板處理</t>
  </si>
  <si>
    <t xml:space="preserve">較重之器具設備，應獨立設置吊架支撐架固定</t>
  </si>
  <si>
    <t xml:space="preserve">暗架天花之開口，儘量協調裝修包處理，避免破壞美觀</t>
  </si>
  <si>
    <t xml:space="preserve">昇降機工程設置要領及施工注意事項，下列敘述何者不正確？</t>
  </si>
  <si>
    <t xml:space="preserve">機道內除機廂及附屬器械裝置，其餘所有機水電之管線設施都不應設置於機道內</t>
  </si>
  <si>
    <t xml:space="preserve">出入口之樓地板應與機廂地板保持平整，其與機廂地板面邊緣之間隙應控制在4CM內</t>
  </si>
  <si>
    <t xml:space="preserve">機道非為防火構造物</t>
  </si>
  <si>
    <t xml:space="preserve">機房應依規定設置空調或通風換氣設備</t>
  </si>
  <si>
    <t xml:space="preserve">地上幾層樓以上且有地下室之建築物，應設置電信室？</t>
  </si>
  <si>
    <r>
      <rPr>
        <sz val="10"/>
        <rFont val="Arial"/>
        <family val="0"/>
        <charset val="1"/>
      </rPr>
      <t xml:space="preserve">2</t>
    </r>
    <r>
      <rPr>
        <sz val="10"/>
        <rFont val="Noto Sans CJK SC"/>
        <family val="2"/>
      </rPr>
      <t xml:space="preserve">層以上</t>
    </r>
  </si>
  <si>
    <r>
      <rPr>
        <sz val="10"/>
        <rFont val="Arial"/>
        <family val="0"/>
        <charset val="1"/>
      </rPr>
      <t xml:space="preserve">3</t>
    </r>
    <r>
      <rPr>
        <sz val="10"/>
        <rFont val="Noto Sans CJK SC"/>
        <family val="2"/>
      </rPr>
      <t xml:space="preserve">層以上</t>
    </r>
  </si>
  <si>
    <r>
      <rPr>
        <sz val="10"/>
        <rFont val="Arial"/>
        <family val="0"/>
        <charset val="1"/>
      </rPr>
      <t xml:space="preserve">4</t>
    </r>
    <r>
      <rPr>
        <sz val="10"/>
        <rFont val="Noto Sans CJK SC"/>
        <family val="2"/>
      </rPr>
      <t xml:space="preserve">層以上</t>
    </r>
  </si>
  <si>
    <r>
      <rPr>
        <sz val="10"/>
        <rFont val="Arial"/>
        <family val="0"/>
        <charset val="1"/>
      </rPr>
      <t xml:space="preserve">5</t>
    </r>
    <r>
      <rPr>
        <sz val="10"/>
        <rFont val="Noto Sans CJK SC"/>
        <family val="2"/>
      </rPr>
      <t xml:space="preserve">層以上</t>
    </r>
  </si>
  <si>
    <t xml:space="preserve">廚房為多少小時以上之防火牆及防火門窗構造，所有管線穿越並應施予防火填塞。</t>
  </si>
  <si>
    <r>
      <rPr>
        <sz val="10"/>
        <rFont val="Arial"/>
        <family val="0"/>
        <charset val="1"/>
      </rPr>
      <t xml:space="preserve">0.7</t>
    </r>
    <r>
      <rPr>
        <sz val="10"/>
        <rFont val="Noto Sans CJK SC"/>
        <family val="2"/>
      </rPr>
      <t xml:space="preserve">小時以上</t>
    </r>
  </si>
  <si>
    <r>
      <rPr>
        <sz val="10"/>
        <rFont val="Arial"/>
        <family val="0"/>
        <charset val="1"/>
      </rPr>
      <t xml:space="preserve">0.8</t>
    </r>
    <r>
      <rPr>
        <sz val="10"/>
        <rFont val="Noto Sans CJK SC"/>
        <family val="2"/>
      </rPr>
      <t xml:space="preserve">小時以上</t>
    </r>
  </si>
  <si>
    <r>
      <rPr>
        <sz val="10"/>
        <rFont val="Arial"/>
        <family val="0"/>
        <charset val="1"/>
      </rPr>
      <t xml:space="preserve">UPS</t>
    </r>
    <r>
      <rPr>
        <sz val="10"/>
        <rFont val="Noto Sans CJK SC"/>
        <family val="2"/>
      </rPr>
      <t xml:space="preserve">系統是在停電時，取代市電供應重要避難逃生或受停電保護之設備，並彌補發電機未並聯發電之中斷時間，同時經由良好的系統設計，同時能提高供電品質，無法防止下列何種現象？</t>
    </r>
  </si>
  <si>
    <t xml:space="preserve">電壓下陷(Sags)</t>
  </si>
  <si>
    <t xml:space="preserve">電池過熱</t>
  </si>
  <si>
    <t xml:space="preserve">尖波(Spikes)</t>
  </si>
  <si>
    <t xml:space="preserve">干擾(Noise)</t>
  </si>
  <si>
    <t xml:space="preserve">界面整合、發電設備、不斷電系統</t>
  </si>
  <si>
    <r>
      <rPr>
        <sz val="10"/>
        <rFont val="Arial"/>
        <family val="0"/>
        <charset val="1"/>
      </rPr>
      <t xml:space="preserve">UPS</t>
    </r>
    <r>
      <rPr>
        <sz val="10"/>
        <rFont val="Noto Sans CJK SC"/>
        <family val="2"/>
      </rPr>
      <t xml:space="preserve">設置要領</t>
    </r>
    <r>
      <rPr>
        <sz val="10"/>
        <rFont val="Arial"/>
        <family val="0"/>
        <charset val="1"/>
      </rPr>
      <t xml:space="preserve">,</t>
    </r>
    <r>
      <rPr>
        <sz val="10"/>
        <rFont val="Noto Sans CJK SC"/>
        <family val="2"/>
      </rPr>
      <t xml:space="preserve">下列敘述何者不正確。</t>
    </r>
  </si>
  <si>
    <r>
      <rPr>
        <sz val="10"/>
        <rFont val="Arial"/>
        <family val="0"/>
        <charset val="1"/>
      </rPr>
      <t xml:space="preserve">UPS</t>
    </r>
    <r>
      <rPr>
        <sz val="10"/>
        <rFont val="Noto Sans CJK SC"/>
        <family val="2"/>
      </rPr>
      <t xml:space="preserve">機房設置依設計需儘量靠近電源供應中心，如發電機室、電氣室，並避免陽光直射、雨水侵入之場所</t>
    </r>
  </si>
  <si>
    <r>
      <rPr>
        <sz val="10"/>
        <rFont val="Arial"/>
        <family val="0"/>
        <charset val="1"/>
      </rPr>
      <t xml:space="preserve">UPS</t>
    </r>
    <r>
      <rPr>
        <sz val="10"/>
        <rFont val="Noto Sans CJK SC"/>
        <family val="2"/>
      </rPr>
      <t xml:space="preserve">需配置空調或良好通風系統，使散熱良好</t>
    </r>
  </si>
  <si>
    <r>
      <rPr>
        <sz val="10"/>
        <rFont val="Arial"/>
        <family val="0"/>
        <charset val="1"/>
      </rPr>
      <t xml:space="preserve">UPS</t>
    </r>
    <r>
      <rPr>
        <sz val="10"/>
        <rFont val="Noto Sans CJK SC"/>
        <family val="2"/>
      </rPr>
      <t xml:space="preserve">設備機房之擺放，可以不必考慮四週及頂部均應有足夠維護保養空間</t>
    </r>
  </si>
  <si>
    <t xml:space="preserve">機房宜採防火區劃之設計，所有管線穿越應施予防火填塞</t>
  </si>
  <si>
    <t xml:space="preserve">界面整合、不斷電系統</t>
  </si>
  <si>
    <t xml:space="preserve">配電場所應為防火構造施工法施作，若採RC牆其厚度應為</t>
  </si>
  <si>
    <t xml:space="preserve">10CM</t>
  </si>
  <si>
    <t xml:space="preserve">12CM</t>
  </si>
  <si>
    <t xml:space="preserve">15CM</t>
  </si>
  <si>
    <t xml:space="preserve">20CM</t>
  </si>
  <si>
    <t xml:space="preserve">台電配電場所空間，室內最窄處不得少於</t>
  </si>
  <si>
    <t xml:space="preserve">2.5M</t>
  </si>
  <si>
    <t xml:space="preserve">3.5M</t>
  </si>
  <si>
    <t xml:space="preserve">用戶契約容量超過多少KW應採高壓供電，並自行設置變電站？</t>
  </si>
  <si>
    <t xml:space="preserve">200KW</t>
  </si>
  <si>
    <t xml:space="preserve">300KW</t>
  </si>
  <si>
    <t xml:space="preserve">500KW</t>
  </si>
  <si>
    <t xml:space="preserve">1000KW</t>
  </si>
  <si>
    <t xml:space="preserve">界面整合、契約管理</t>
  </si>
  <si>
    <t xml:space="preserve">電信機房保安系統接地，應小於多少Ω</t>
  </si>
  <si>
    <t xml:space="preserve">5Ω</t>
  </si>
  <si>
    <t xml:space="preserve">15Ω</t>
  </si>
  <si>
    <t xml:space="preserve">廚房排油煙管之材質厚度若採不銹鋼板製造其厚度應為多少以上？</t>
  </si>
  <si>
    <t xml:space="preserve">0.6mmt</t>
  </si>
  <si>
    <t xml:space="preserve">0.8mmt</t>
  </si>
  <si>
    <t xml:space="preserve">1.0mmt</t>
  </si>
  <si>
    <t xml:space="preserve">1.2mmt</t>
  </si>
  <si>
    <t xml:space="preserve">排煙管應伸出屋面至少1M，出口距離鄰地境界線，或進風口，不得小於多少距離</t>
  </si>
  <si>
    <t xml:space="preserve">4M</t>
  </si>
  <si>
    <t xml:space="preserve">機電採預埋管線施工，管線不得超過多少口徑</t>
  </si>
  <si>
    <r>
      <rPr>
        <sz val="10"/>
        <rFont val="Arial"/>
        <family val="0"/>
        <charset val="1"/>
      </rPr>
      <t xml:space="preserve">11/2</t>
    </r>
    <r>
      <rPr>
        <sz val="10"/>
        <rFont val="Noto Sans CJK SC"/>
        <family val="2"/>
      </rPr>
      <t xml:space="preserve">〞∮</t>
    </r>
  </si>
  <si>
    <r>
      <rPr>
        <sz val="10"/>
        <rFont val="Arial"/>
        <family val="0"/>
        <charset val="1"/>
      </rPr>
      <t xml:space="preserve">2</t>
    </r>
    <r>
      <rPr>
        <sz val="10"/>
        <rFont val="Noto Sans CJK SC"/>
        <family val="2"/>
      </rPr>
      <t xml:space="preserve">〞∮</t>
    </r>
  </si>
  <si>
    <r>
      <rPr>
        <sz val="10"/>
        <rFont val="Arial"/>
        <family val="0"/>
        <charset val="1"/>
      </rPr>
      <t xml:space="preserve">21/2</t>
    </r>
    <r>
      <rPr>
        <sz val="10"/>
        <rFont val="Noto Sans CJK SC"/>
        <family val="2"/>
      </rPr>
      <t xml:space="preserve">〞∮</t>
    </r>
  </si>
  <si>
    <r>
      <rPr>
        <sz val="10"/>
        <rFont val="Arial"/>
        <family val="0"/>
        <charset val="1"/>
      </rPr>
      <t xml:space="preserve">3</t>
    </r>
    <r>
      <rPr>
        <sz val="10"/>
        <rFont val="Noto Sans CJK SC"/>
        <family val="2"/>
      </rPr>
      <t xml:space="preserve">〞∮</t>
    </r>
  </si>
  <si>
    <t xml:space="preserve">昇降機出入口之樓地板應與機廂地板保持平整，其與機廂地板面邊緣之間隙應控制在幾公分內？</t>
  </si>
  <si>
    <t xml:space="preserve">接地電阻之測試方式E.P.C若無法成一直線電壓輔助極之角度其內角角度不得小於</t>
  </si>
  <si>
    <t xml:space="preserve">40°</t>
  </si>
  <si>
    <t xml:space="preserve">80°</t>
  </si>
  <si>
    <t xml:space="preserve">100°</t>
  </si>
  <si>
    <t xml:space="preserve">接地電阻測試方式E.P.C應成一直線，且EPC之間距需為多少公尺以上？</t>
  </si>
  <si>
    <t xml:space="preserve">5M</t>
  </si>
  <si>
    <t xml:space="preserve">現今時代潮流趨勢，現場介面處理最重要最有效的套繪圖方式是為何種</t>
  </si>
  <si>
    <t xml:space="preserve">口頭套繪</t>
  </si>
  <si>
    <r>
      <rPr>
        <sz val="10"/>
        <rFont val="Arial"/>
        <family val="0"/>
        <charset val="1"/>
      </rPr>
      <t xml:space="preserve">2D</t>
    </r>
    <r>
      <rPr>
        <sz val="10"/>
        <rFont val="Noto Sans CJK SC"/>
        <family val="2"/>
      </rPr>
      <t xml:space="preserve">電腦套繪</t>
    </r>
  </si>
  <si>
    <r>
      <rPr>
        <sz val="10"/>
        <rFont val="Arial"/>
        <family val="0"/>
        <charset val="1"/>
      </rPr>
      <t xml:space="preserve">BIM</t>
    </r>
    <r>
      <rPr>
        <sz val="10"/>
        <rFont val="Noto Sans CJK SC"/>
        <family val="2"/>
      </rPr>
      <t xml:space="preserve">電腦立體施工套繪</t>
    </r>
  </si>
  <si>
    <t xml:space="preserve">現場協商</t>
  </si>
  <si>
    <t xml:space="preserve">管路高程配置由上而下之原則何者為最佳？</t>
  </si>
  <si>
    <t xml:space="preserve">汙排水管→風管、消防排煙管→電氣及電信管→消防、泡沫及冰水管</t>
  </si>
  <si>
    <t xml:space="preserve">風管、消防排煙管→汙排水管→電氣及電信管→消防、泡沫及冰水管</t>
  </si>
  <si>
    <t xml:space="preserve">電氣及電信管→風管、消防排煙管→汙排水管→消防、泡沫及冰水管</t>
  </si>
  <si>
    <t xml:space="preserve">汙排水管→風管、消防排煙管→消防、泡沫及冰水管→電氣及電信管</t>
  </si>
  <si>
    <t xml:space="preserve">排水管之洩水坡度：管徑小於75mm(含)時，其坡度不得小於多少？</t>
  </si>
  <si>
    <t xml:space="preserve">排水管之洩水坡度：管徑超過75mm時，其坡度不得小於多少</t>
  </si>
  <si>
    <t xml:space="preserve">配電變壓器之二次側低壓線或中性線之接地，稱為下列何種接地？</t>
  </si>
  <si>
    <t xml:space="preserve">設備與系統共同接地</t>
  </si>
  <si>
    <t xml:space="preserve">內線系統接地與設備接地共用一接地線或同一接地電極稱為何種接地</t>
  </si>
  <si>
    <t xml:space="preserve">台電配電場所所有穿越本區牆面或樓板之管線，為了安全防火均應依規定施作何種措施</t>
  </si>
  <si>
    <t xml:space="preserve">自設變電站配置位置儘量靠近何處</t>
  </si>
  <si>
    <t xml:space="preserve">台電配電場所</t>
  </si>
  <si>
    <t xml:space="preserve">發電機室</t>
  </si>
  <si>
    <t xml:space="preserve">不斷電室</t>
  </si>
  <si>
    <t xml:space="preserve">發電機室應為防火構造之牆壁、區劃並需為何種方式？</t>
  </si>
  <si>
    <t xml:space="preserve">專用空間</t>
  </si>
  <si>
    <t xml:space="preserve">可與電氣機房共用</t>
  </si>
  <si>
    <t xml:space="preserve">可與防災中心共用</t>
  </si>
  <si>
    <t xml:space="preserve">發電機室所有穿越發電機房之管線均應以何種方式施作</t>
  </si>
  <si>
    <t xml:space="preserve">防火填充材填充</t>
  </si>
  <si>
    <t xml:space="preserve">防水施工</t>
  </si>
  <si>
    <t xml:space="preserve">預留套管</t>
  </si>
  <si>
    <t xml:space="preserve">防災中心之環境應如何處理為佳</t>
  </si>
  <si>
    <t xml:space="preserve">空調系統</t>
  </si>
  <si>
    <t xml:space="preserve">專用設備</t>
  </si>
  <si>
    <t xml:space="preserve">不斷電設計</t>
  </si>
  <si>
    <t xml:space="preserve">依規定電信室，機房淨高不得小於多少</t>
  </si>
  <si>
    <t xml:space="preserve">1.8M</t>
  </si>
  <si>
    <t xml:space="preserve">2.0M</t>
  </si>
  <si>
    <t xml:space="preserve">2.1M</t>
  </si>
  <si>
    <t xml:space="preserve">電信機房一般經由一獨立電力分表，機房內之環境應為何種方式</t>
  </si>
  <si>
    <r>
      <rPr>
        <sz val="10"/>
        <rFont val="Arial"/>
        <family val="0"/>
        <charset val="1"/>
      </rPr>
      <t xml:space="preserve">24HR</t>
    </r>
    <r>
      <rPr>
        <sz val="10"/>
        <rFont val="Noto Sans CJK SC"/>
        <family val="2"/>
      </rPr>
      <t xml:space="preserve">空調系統</t>
    </r>
  </si>
  <si>
    <t xml:space="preserve">良好通風系統</t>
  </si>
  <si>
    <t xml:space="preserve">室溫降至40℃</t>
  </si>
  <si>
    <t xml:space="preserve">地下受水池容量應為設計一日用水量的多少水量</t>
  </si>
  <si>
    <t xml:space="preserve">1/10</t>
  </si>
  <si>
    <t xml:space="preserve">2/10</t>
  </si>
  <si>
    <t xml:space="preserve">3/10</t>
  </si>
  <si>
    <t xml:space="preserve">4/10</t>
  </si>
  <si>
    <t xml:space="preserve">消防水池依法規規定，下列何種為正確</t>
  </si>
  <si>
    <t xml:space="preserve">專用</t>
  </si>
  <si>
    <t xml:space="preserve">可與自來水池共用</t>
  </si>
  <si>
    <t xml:space="preserve">可與一般水池共用</t>
  </si>
  <si>
    <t xml:space="preserve">中央監控室環境條件一般應為下列何種方式？</t>
  </si>
  <si>
    <r>
      <rPr>
        <sz val="10"/>
        <rFont val="Arial"/>
        <family val="0"/>
        <charset val="1"/>
      </rPr>
      <t xml:space="preserve">24HR</t>
    </r>
    <r>
      <rPr>
        <sz val="10"/>
        <rFont val="Noto Sans CJK SC"/>
        <family val="2"/>
      </rPr>
      <t xml:space="preserve">空調</t>
    </r>
  </si>
  <si>
    <t xml:space="preserve">空調</t>
  </si>
  <si>
    <t xml:space="preserve">通風</t>
  </si>
  <si>
    <t xml:space="preserve">控制在40℃以下</t>
  </si>
  <si>
    <t xml:space="preserve">停車場節能運轉目前最好的方法是採用何種控制方式？</t>
  </si>
  <si>
    <t xml:space="preserve">定時控制</t>
  </si>
  <si>
    <r>
      <rPr>
        <sz val="10"/>
        <rFont val="Arial"/>
        <family val="0"/>
        <charset val="1"/>
      </rPr>
      <t xml:space="preserve">CO</t>
    </r>
    <r>
      <rPr>
        <sz val="10"/>
        <rFont val="Noto Sans CJK SC"/>
        <family val="2"/>
      </rPr>
      <t xml:space="preserve">感測控制</t>
    </r>
  </si>
  <si>
    <r>
      <rPr>
        <sz val="10"/>
        <rFont val="Arial"/>
        <family val="0"/>
        <charset val="1"/>
      </rPr>
      <t xml:space="preserve">CO2</t>
    </r>
    <r>
      <rPr>
        <sz val="10"/>
        <rFont val="Noto Sans CJK SC"/>
        <family val="2"/>
      </rPr>
      <t xml:space="preserve">控制</t>
    </r>
  </si>
  <si>
    <t xml:space="preserve">甲醛控制</t>
  </si>
  <si>
    <t xml:space="preserve">昇降機機房之環境條件應如何配置為佳</t>
  </si>
  <si>
    <t xml:space="preserve">良好通風</t>
  </si>
  <si>
    <t xml:space="preserve">維持40℃以下</t>
  </si>
  <si>
    <t xml:space="preserve">接地電阻測試方法：被測接地極導線接於Ｅ(綠色)接線端補助極Ｐ(黃色)與Ｃ(紅色)相距建議距離應為多少？</t>
  </si>
  <si>
    <t xml:space="preserve">4m</t>
  </si>
  <si>
    <t xml:space="preserve">5~10m</t>
  </si>
  <si>
    <t xml:space="preserve">工程施工前要套繪施工圖其意義在於</t>
  </si>
  <si>
    <t xml:space="preserve">防患未然</t>
  </si>
  <si>
    <t xml:space="preserve">好看</t>
  </si>
  <si>
    <t xml:space="preserve">給施工查核看的</t>
  </si>
  <si>
    <t xml:space="preserve">何謂工程上的特許制度，以承裝業來說，下列何者為正確</t>
  </si>
  <si>
    <t xml:space="preserve">甲級</t>
  </si>
  <si>
    <t xml:space="preserve">乙級</t>
  </si>
  <si>
    <t xml:space="preserve">丙級</t>
  </si>
  <si>
    <t xml:space="preserve">工程施工界面可分別哪幾項</t>
  </si>
  <si>
    <t xml:space="preserve">各工種、各承包商間之界面</t>
  </si>
  <si>
    <t xml:space="preserve">施工安裝界面</t>
  </si>
  <si>
    <t xml:space="preserve">設備性能測試與運轉界面</t>
  </si>
  <si>
    <t xml:space="preserve">下列何種為套繪施工圖的原則</t>
  </si>
  <si>
    <t xml:space="preserve">檢討標示管路高程</t>
  </si>
  <si>
    <t xml:space="preserve">避免穿梁原則</t>
  </si>
  <si>
    <t xml:space="preserve">機器設備安裝，其基礎位置、保養空間之確定</t>
  </si>
  <si>
    <r>
      <rPr>
        <sz val="10"/>
        <rFont val="Arial"/>
        <family val="0"/>
        <charset val="1"/>
      </rPr>
      <t xml:space="preserve">BIM</t>
    </r>
    <r>
      <rPr>
        <sz val="10"/>
        <rFont val="Noto Sans CJK SC"/>
        <family val="2"/>
      </rPr>
      <t xml:space="preserve">裡所談的</t>
    </r>
    <r>
      <rPr>
        <sz val="10"/>
        <rFont val="Arial"/>
        <family val="0"/>
        <charset val="1"/>
      </rPr>
      <t xml:space="preserve">4D</t>
    </r>
    <r>
      <rPr>
        <sz val="10"/>
        <rFont val="Noto Sans CJK SC"/>
        <family val="2"/>
      </rPr>
      <t xml:space="preserve">是指什麼概念</t>
    </r>
  </si>
  <si>
    <t xml:space="preserve">平面</t>
  </si>
  <si>
    <t xml:space="preserve">立面</t>
  </si>
  <si>
    <t xml:space="preserve">剖面</t>
  </si>
  <si>
    <r>
      <rPr>
        <sz val="10"/>
        <rFont val="Arial"/>
        <family val="0"/>
        <charset val="1"/>
      </rPr>
      <t xml:space="preserve">BIM</t>
    </r>
    <r>
      <rPr>
        <sz val="10"/>
        <rFont val="Noto Sans CJK SC"/>
        <family val="2"/>
      </rPr>
      <t xml:space="preserve">裡所談的</t>
    </r>
    <r>
      <rPr>
        <sz val="10"/>
        <rFont val="Arial"/>
        <family val="0"/>
        <charset val="1"/>
      </rPr>
      <t xml:space="preserve">5D</t>
    </r>
    <r>
      <rPr>
        <sz val="10"/>
        <rFont val="Noto Sans CJK SC"/>
        <family val="2"/>
      </rPr>
      <t xml:space="preserve">是指什麼概念</t>
    </r>
  </si>
  <si>
    <t xml:space="preserve">維修保養</t>
  </si>
  <si>
    <t xml:space="preserve">機水電管線套繪配置，其應注意的優先原則為</t>
  </si>
  <si>
    <t xml:space="preserve">機能</t>
  </si>
  <si>
    <t xml:space="preserve">方便施工</t>
  </si>
  <si>
    <t xml:space="preserve">管路高程為了用電安全，下列何者為正確</t>
  </si>
  <si>
    <t xml:space="preserve">電管配在水管下方</t>
  </si>
  <si>
    <t xml:space="preserve">水管配在電管下方</t>
  </si>
  <si>
    <t xml:space="preserve">水管第一優先</t>
  </si>
  <si>
    <t xml:space="preserve">排水管其口徑之決定方式，下列何者為正確</t>
  </si>
  <si>
    <t xml:space="preserve">排水管盡量採水平配量較美觀</t>
  </si>
  <si>
    <t xml:space="preserve">排水管內水流速不得低於60cm/sec</t>
  </si>
  <si>
    <t xml:space="preserve">排水管應施配與水流的方向向上斜</t>
  </si>
  <si>
    <t xml:space="preserve">基礎大底要澆置之前，對所有大底下的接地應訂定何種品管措施</t>
  </si>
  <si>
    <t xml:space="preserve">訂定見證檢驗點</t>
  </si>
  <si>
    <t xml:space="preserve">訂定檢驗停留點</t>
  </si>
  <si>
    <t xml:space="preserve">檢查是否會浪費成本</t>
  </si>
  <si>
    <t xml:space="preserve">接地系統內在用電設備非帶電金屬之接地，稱之為</t>
  </si>
  <si>
    <t xml:space="preserve">用戶用電線路屬被接地導線之再行接地，稱之為</t>
  </si>
  <si>
    <t xml:space="preserve">接地電阻量測方法，下列何者為正確</t>
  </si>
  <si>
    <r>
      <rPr>
        <sz val="10"/>
        <rFont val="Arial"/>
        <family val="0"/>
        <charset val="1"/>
      </rPr>
      <t xml:space="preserve">EPC</t>
    </r>
    <r>
      <rPr>
        <sz val="10"/>
        <rFont val="Noto Sans CJK SC"/>
        <family val="2"/>
      </rPr>
      <t xml:space="preserve">按順序</t>
    </r>
  </si>
  <si>
    <r>
      <rPr>
        <sz val="10"/>
        <rFont val="Arial"/>
        <family val="0"/>
        <charset val="1"/>
      </rPr>
      <t xml:space="preserve">EPC</t>
    </r>
    <r>
      <rPr>
        <sz val="10"/>
        <rFont val="Noto Sans CJK SC"/>
        <family val="2"/>
      </rPr>
      <t xml:space="preserve">成一直線</t>
    </r>
  </si>
  <si>
    <r>
      <rPr>
        <sz val="10"/>
        <rFont val="Arial"/>
        <family val="0"/>
        <charset val="1"/>
      </rPr>
      <t xml:space="preserve">EPC</t>
    </r>
    <r>
      <rPr>
        <sz val="10"/>
        <rFont val="Noto Sans CJK SC"/>
        <family val="2"/>
      </rPr>
      <t xml:space="preserve">間距</t>
    </r>
    <r>
      <rPr>
        <sz val="10"/>
        <rFont val="Arial"/>
        <family val="0"/>
        <charset val="1"/>
      </rPr>
      <t xml:space="preserve">5M</t>
    </r>
    <r>
      <rPr>
        <sz val="10"/>
        <rFont val="Noto Sans CJK SC"/>
        <family val="2"/>
      </rPr>
      <t xml:space="preserve">以上</t>
    </r>
  </si>
  <si>
    <t xml:space="preserve">台電外管線進到建築物第一個空間，送完電就鎖起來的空間叫做什麼？</t>
  </si>
  <si>
    <t xml:space="preserve">分電室</t>
  </si>
  <si>
    <t xml:space="preserve">電錶箱</t>
  </si>
  <si>
    <t xml:space="preserve">台電受電室</t>
  </si>
  <si>
    <t xml:space="preserve">台電配電場所其隔間分間牆若砌磚，其規格應為多少</t>
  </si>
  <si>
    <r>
      <rPr>
        <sz val="10"/>
        <rFont val="Arial"/>
        <family val="0"/>
        <charset val="1"/>
      </rPr>
      <t xml:space="preserve">1B</t>
    </r>
    <r>
      <rPr>
        <sz val="10"/>
        <rFont val="Noto Sans CJK SC"/>
        <family val="2"/>
      </rPr>
      <t xml:space="preserve">磚疊砌</t>
    </r>
  </si>
  <si>
    <r>
      <rPr>
        <sz val="10"/>
        <rFont val="Arial"/>
        <family val="0"/>
        <charset val="1"/>
      </rPr>
      <t xml:space="preserve">11/2B</t>
    </r>
    <r>
      <rPr>
        <sz val="10"/>
        <rFont val="Noto Sans CJK SC"/>
        <family val="2"/>
      </rPr>
      <t xml:space="preserve">磚疊砌</t>
    </r>
  </si>
  <si>
    <r>
      <rPr>
        <sz val="10"/>
        <rFont val="Arial"/>
        <family val="0"/>
        <charset val="1"/>
      </rPr>
      <t xml:space="preserve">2B</t>
    </r>
    <r>
      <rPr>
        <sz val="10"/>
        <rFont val="Noto Sans CJK SC"/>
        <family val="2"/>
      </rPr>
      <t xml:space="preserve">磚疊砌</t>
    </r>
  </si>
  <si>
    <t xml:space="preserve">台電配電場所其進入之走道，寬度最少應為多少</t>
  </si>
  <si>
    <t xml:space="preserve">1.6M</t>
  </si>
  <si>
    <t xml:space="preserve">台電配電場所其進入之門，尺寸高度至少應為</t>
  </si>
  <si>
    <t xml:space="preserve">台電配電場所其通風窗，均應裝設熔絲鏈或感溫裝置之防火閘門或不鏽鋼網，其防火時效至少應為多少</t>
  </si>
  <si>
    <t xml:space="preserve">0.5HR</t>
  </si>
  <si>
    <t xml:space="preserve">1HR</t>
  </si>
  <si>
    <t xml:space="preserve">1.5HR</t>
  </si>
  <si>
    <t xml:space="preserve">3HR</t>
  </si>
  <si>
    <t xml:space="preserve">台電配電場所為了安全應施做接地，其接地應</t>
  </si>
  <si>
    <r>
      <rPr>
        <sz val="10"/>
        <rFont val="Arial"/>
        <family val="0"/>
        <charset val="1"/>
      </rPr>
      <t xml:space="preserve">1</t>
    </r>
    <r>
      <rPr>
        <sz val="10"/>
        <rFont val="Noto Sans CJK SC"/>
        <family val="2"/>
      </rPr>
      <t xml:space="preserve">處</t>
    </r>
  </si>
  <si>
    <r>
      <rPr>
        <sz val="10"/>
        <rFont val="Arial"/>
        <family val="0"/>
        <charset val="1"/>
      </rPr>
      <t xml:space="preserve">2</t>
    </r>
    <r>
      <rPr>
        <sz val="10"/>
        <rFont val="Noto Sans CJK SC"/>
        <family val="2"/>
      </rPr>
      <t xml:space="preserve">處</t>
    </r>
  </si>
  <si>
    <r>
      <rPr>
        <sz val="10"/>
        <rFont val="Arial"/>
        <family val="0"/>
        <charset val="1"/>
      </rPr>
      <t xml:space="preserve">3</t>
    </r>
    <r>
      <rPr>
        <sz val="10"/>
        <rFont val="Noto Sans CJK SC"/>
        <family val="2"/>
      </rPr>
      <t xml:space="preserve">處</t>
    </r>
  </si>
  <si>
    <r>
      <rPr>
        <sz val="10"/>
        <rFont val="Arial"/>
        <family val="0"/>
        <charset val="1"/>
      </rPr>
      <t xml:space="preserve">4</t>
    </r>
    <r>
      <rPr>
        <sz val="10"/>
        <rFont val="Noto Sans CJK SC"/>
        <family val="2"/>
      </rPr>
      <t xml:space="preserve">處</t>
    </r>
  </si>
  <si>
    <t xml:space="preserve">台電配電場所設計規劃時應留意</t>
  </si>
  <si>
    <t xml:space="preserve">靠近自設變電站</t>
  </si>
  <si>
    <t xml:space="preserve">遠離水系統管線</t>
  </si>
  <si>
    <t xml:space="preserve">管線穿越防火牆應予防火填塞</t>
  </si>
  <si>
    <t xml:space="preserve">台電配電場所採用高壓供電時，高壓應如何轉變為低壓供用戶使用</t>
  </si>
  <si>
    <t xml:space="preserve">台電提供變壓器</t>
  </si>
  <si>
    <t xml:space="preserve">用戶自設變壓器</t>
  </si>
  <si>
    <t xml:space="preserve">從馬路旁變壓器引入</t>
  </si>
  <si>
    <t xml:space="preserve">自電線桿變壓器引入</t>
  </si>
  <si>
    <t xml:space="preserve">供電用戶採用低壓供電時，台電高壓應如何轉變為低壓供用戶使用</t>
  </si>
  <si>
    <t xml:space="preserve">自設發電機引入</t>
  </si>
  <si>
    <t xml:space="preserve">用戶契約容量如果在499KW以下，依台電規定應採用何種供電為宜</t>
  </si>
  <si>
    <t xml:space="preserve">高壓供電</t>
  </si>
  <si>
    <t xml:space="preserve">低壓供電</t>
  </si>
  <si>
    <t xml:space="preserve">下列何者可不接緊急發電機</t>
  </si>
  <si>
    <t xml:space="preserve">緊急升降機</t>
  </si>
  <si>
    <t xml:space="preserve">辦公室插座</t>
  </si>
  <si>
    <t xml:space="preserve">發電機煙囪安裝應留意何種規定</t>
  </si>
  <si>
    <t xml:space="preserve">設置獨立煙囪</t>
  </si>
  <si>
    <t xml:space="preserve">煙囪要保溫</t>
  </si>
  <si>
    <t xml:space="preserve">降低壓損</t>
  </si>
  <si>
    <t xml:space="preserve">發電機機房設置應依下列何種規定</t>
  </si>
  <si>
    <t xml:space="preserve">設置獨立的進氣及排氣系統</t>
  </si>
  <si>
    <t xml:space="preserve">設置通風換氣系統</t>
  </si>
  <si>
    <t xml:space="preserve">設置獨立的進氣系統</t>
  </si>
  <si>
    <t xml:space="preserve">設置獨立的排氣系統</t>
  </si>
  <si>
    <t xml:space="preserve">消防防災中心依設置於何處</t>
  </si>
  <si>
    <t xml:space="preserve">避難層</t>
  </si>
  <si>
    <t xml:space="preserve">避難層直上層</t>
  </si>
  <si>
    <t xml:space="preserve">避難層直下層</t>
  </si>
  <si>
    <t xml:space="preserve">防災中心室內牆面及天花板應以何種材質裝設</t>
  </si>
  <si>
    <t xml:space="preserve">下列何者為電信弱電的主管機關</t>
  </si>
  <si>
    <t xml:space="preserve">NCC</t>
  </si>
  <si>
    <t xml:space="preserve">建管處</t>
  </si>
  <si>
    <t xml:space="preserve">能源署</t>
  </si>
  <si>
    <t xml:space="preserve">電信室機房設置應依下列何規定</t>
  </si>
  <si>
    <t xml:space="preserve">避免水管穿越</t>
  </si>
  <si>
    <t xml:space="preserve">不得緊臨浴室</t>
  </si>
  <si>
    <t xml:space="preserve">不得緊臨水地</t>
  </si>
  <si>
    <t xml:space="preserve">蓄水池容量設置地下受水池蓄水量，應為一天用水量的多少</t>
  </si>
  <si>
    <t xml:space="preserve">廚房抽煙管若伸出屋面，距屋面至少應有多少高度？</t>
  </si>
  <si>
    <t xml:space="preserve">廚房依供應之電源，應以何種方式供應為宜</t>
  </si>
  <si>
    <t xml:space="preserve">一般電源</t>
  </si>
  <si>
    <r>
      <rPr>
        <sz val="10"/>
        <rFont val="Arial"/>
        <family val="0"/>
        <charset val="1"/>
      </rPr>
      <t xml:space="preserve">24HR</t>
    </r>
    <r>
      <rPr>
        <sz val="10"/>
        <rFont val="Noto Sans CJK SC"/>
        <family val="2"/>
      </rPr>
      <t xml:space="preserve">緊急電源</t>
    </r>
  </si>
  <si>
    <t xml:space="preserve">空調小型分離式主機室外機安裝應特重</t>
  </si>
  <si>
    <t xml:space="preserve">足夠散熱空間</t>
  </si>
  <si>
    <t xml:space="preserve">防止噪音擾鄰</t>
  </si>
  <si>
    <t xml:space="preserve">必須牢靠固定</t>
  </si>
  <si>
    <r>
      <rPr>
        <sz val="10"/>
        <rFont val="Arial"/>
        <family val="0"/>
        <charset val="1"/>
      </rPr>
      <t xml:space="preserve">UPS</t>
    </r>
    <r>
      <rPr>
        <sz val="10"/>
        <rFont val="Noto Sans CJK SC"/>
        <family val="2"/>
      </rPr>
      <t xml:space="preserve">機房設置應靠近何處</t>
    </r>
  </si>
  <si>
    <t xml:space="preserve">電源供應中心</t>
  </si>
  <si>
    <t xml:space="preserve">發電機</t>
  </si>
  <si>
    <t xml:space="preserve">管線埋設於柱牆內，其管線加總截面積不得超過結構截面積的多少</t>
  </si>
  <si>
    <t xml:space="preserve">管線埋設於樓板牆壁，管線應錯開，管與管中心間距應大於</t>
  </si>
  <si>
    <t xml:space="preserve">2D</t>
  </si>
  <si>
    <t xml:space="preserve">3D</t>
  </si>
  <si>
    <t xml:space="preserve">4D</t>
  </si>
  <si>
    <t xml:space="preserve">5D</t>
  </si>
  <si>
    <t xml:space="preserve">欄位與匯入說明</t>
  </si>
  <si>
    <t xml:space="preserve">本表為「可匯入系統的結構化題庫範本」。深藍欄位為既有資料；黃色欄位為未來需人工補齊的欄位。</t>
  </si>
  <si>
    <t xml:space="preserve">欄位</t>
  </si>
  <si>
    <t xml:space="preserve">說明</t>
  </si>
  <si>
    <t xml:space="preserve">允許值 / 範例</t>
  </si>
  <si>
    <t xml:space="preserve">必填</t>
  </si>
  <si>
    <t xml:space="preserve">原始題庫序號，保留供追溯</t>
  </si>
  <si>
    <t xml:space="preserve">1 ~ 2538</t>
  </si>
  <si>
    <t xml:space="preserve">是</t>
  </si>
  <si>
    <t xml:space="preserve">既有</t>
  </si>
  <si>
    <t xml:space="preserve">由課程名稱「：」前段解析</t>
  </si>
  <si>
    <t xml:space="preserve">單元一 / 單元二 / (概論類為空白)</t>
  </si>
  <si>
    <t xml:space="preserve">由課程名稱「：」後段解析，為分類主鍵</t>
  </si>
  <si>
    <t xml:space="preserve">原始未拆解之完整分類字串，供對照</t>
  </si>
  <si>
    <t xml:space="preserve">目前全部為單選題</t>
  </si>
  <si>
    <t xml:space="preserve">單選題 / 複選題 / 是非題</t>
  </si>
  <si>
    <t xml:space="preserve">題幹（已移除內嵌選項）</t>
  </si>
  <si>
    <t xml:space="preserve">純題幹文字</t>
  </si>
  <si>
    <t xml:space="preserve">選項A~D</t>
  </si>
  <si>
    <t xml:space="preserve">四個選項，已由題目文字拆出</t>
  </si>
  <si>
    <t xml:space="preserve">純選項文字</t>
  </si>
  <si>
    <t xml:space="preserve">保留欄位，供未來5選項題使用</t>
  </si>
  <si>
    <t xml:space="preserve">（目前皆空白）</t>
  </si>
  <si>
    <t xml:space="preserve">否</t>
  </si>
  <si>
    <t xml:space="preserve">正確選項代號</t>
  </si>
  <si>
    <t xml:space="preserve">A / B / C / D</t>
  </si>
  <si>
    <t xml:space="preserve">題目難度，供智慧複習與模擬考配比</t>
  </si>
  <si>
    <t xml:space="preserve">易 / 中 / 難</t>
  </si>
  <si>
    <t xml:space="preserve">待填</t>
  </si>
  <si>
    <t xml:space="preserve">主題標籤，可多個以頓號分隔</t>
  </si>
  <si>
    <t xml:space="preserve">契約管理、物價指數</t>
  </si>
  <si>
    <t xml:space="preserve">答案說明（正式答案仍需人工審核）</t>
  </si>
  <si>
    <t xml:space="preserve">文字</t>
  </si>
  <si>
    <t xml:space="preserve">對應法規條文或教材出處</t>
  </si>
  <si>
    <t xml:space="preserve">政府採購法第X條</t>
  </si>
  <si>
    <t xml:space="preserve">題目出處</t>
  </si>
  <si>
    <t xml:space="preserve">題庫生效版本</t>
  </si>
  <si>
    <t xml:space="preserve">審核／發布狀態</t>
  </si>
  <si>
    <t xml:space="preserve">草稿/待審核/已發布/有疑義/已修訂/已停用</t>
  </si>
  <si>
    <t xml:space="preserve">題目附圖檔名或連結</t>
  </si>
  <si>
    <t xml:space="preserve">範例（已補齊待填欄位的樣貌）</t>
  </si>
  <si>
    <t xml:space="preserve">依政府公共工程計畫與經費審議作業要點…應辦理替選方案評估之門檻為？</t>
  </si>
  <si>
    <t xml:space="preserve">經費審議、替選方案</t>
  </si>
  <si>
    <t xml:space="preserve">依審議作業要點，基本設計送審經費達10億元應辦理替選方案評估。（範例，須人工審核）</t>
  </si>
  <si>
    <t xml:space="preserve">政府公共工程計畫與經費審議作業要點</t>
  </si>
  <si>
    <t xml:space="preserve">資料注意事項</t>
  </si>
  <si>
    <r>
      <rPr>
        <sz val="10"/>
        <rFont val="Arial"/>
        <family val="0"/>
        <charset val="1"/>
      </rPr>
      <t xml:space="preserve">1. </t>
    </r>
    <r>
      <rPr>
        <sz val="10"/>
        <rFont val="Noto Sans CJK SC"/>
        <family val="2"/>
      </rPr>
      <t xml:space="preserve">「單元二」出現兩組章節序：第一組為品管通用章節（監造計畫、統計分析、品質分析、進料檢驗、施工管制、品質稽核），第二組為機電專業章節（電氣、弱電、給排水、消防空調、電梯、界面整合）。因此請以「章節（完整名稱）」或「課程名稱（原始）」作為分類主鍵，勿僅用「單元＋章節序號」，否則會相互覆蓋。</t>
    </r>
  </si>
  <si>
    <r>
      <rPr>
        <sz val="10"/>
        <rFont val="Arial"/>
        <family val="0"/>
        <charset val="1"/>
      </rPr>
      <t xml:space="preserve">2. </t>
    </r>
    <r>
      <rPr>
        <sz val="10"/>
        <rFont val="Noto Sans CJK SC"/>
        <family val="2"/>
      </rPr>
      <t xml:space="preserve">少數題目選項中含「</t>
    </r>
    <r>
      <rPr>
        <sz val="10"/>
        <rFont val="Arial"/>
        <family val="0"/>
        <charset val="1"/>
      </rPr>
      <t xml:space="preserve">dB (A)</t>
    </r>
    <r>
      <rPr>
        <sz val="10"/>
        <rFont val="Noto Sans CJK SC"/>
        <family val="2"/>
      </rPr>
      <t xml:space="preserve">」為分貝</t>
    </r>
    <r>
      <rPr>
        <sz val="10"/>
        <rFont val="Arial"/>
        <family val="0"/>
        <charset val="1"/>
      </rPr>
      <t xml:space="preserve">A</t>
    </r>
    <r>
      <rPr>
        <sz val="10"/>
        <rFont val="Noto Sans CJK SC"/>
        <family val="2"/>
      </rPr>
      <t xml:space="preserve">權單位，非選項代號；拆解時已依 </t>
    </r>
    <r>
      <rPr>
        <sz val="10"/>
        <rFont val="Arial"/>
        <family val="0"/>
        <charset val="1"/>
      </rPr>
      <t xml:space="preserve">A→B→C→D </t>
    </r>
    <r>
      <rPr>
        <sz val="10"/>
        <rFont val="Noto Sans CJK SC"/>
        <family val="2"/>
      </rPr>
      <t xml:space="preserve">順序處理，該記號正確保留於選項內文。</t>
    </r>
  </si>
  <si>
    <r>
      <rPr>
        <sz val="10"/>
        <rFont val="Arial"/>
        <family val="0"/>
        <charset val="1"/>
      </rPr>
      <t xml:space="preserve">3. </t>
    </r>
    <r>
      <rPr>
        <sz val="10"/>
        <rFont val="Noto Sans CJK SC"/>
        <family val="2"/>
      </rPr>
      <t xml:space="preserve">選項</t>
    </r>
    <r>
      <rPr>
        <sz val="10"/>
        <rFont val="Arial"/>
        <family val="0"/>
        <charset val="1"/>
      </rPr>
      <t xml:space="preserve">E</t>
    </r>
    <r>
      <rPr>
        <sz val="10"/>
        <rFont val="Noto Sans CJK SC"/>
        <family val="2"/>
      </rPr>
      <t xml:space="preserve">、難度、標籤、解析、法規依據、圖片目前為空白，為刻意保留之擴充欄位，待人工或</t>
    </r>
    <r>
      <rPr>
        <sz val="10"/>
        <rFont val="Arial"/>
        <family val="0"/>
        <charset val="1"/>
      </rPr>
      <t xml:space="preserve">AI</t>
    </r>
    <r>
      <rPr>
        <sz val="10"/>
        <rFont val="Noto Sans CJK SC"/>
        <family val="2"/>
      </rPr>
      <t xml:space="preserve">補齊後再經審核發布。</t>
    </r>
  </si>
  <si>
    <r>
      <rPr>
        <sz val="10"/>
        <rFont val="Arial"/>
        <family val="0"/>
        <charset val="1"/>
      </rPr>
      <t xml:space="preserve">4. </t>
    </r>
    <r>
      <rPr>
        <sz val="10"/>
        <rFont val="Noto Sans CJK SC"/>
        <family val="2"/>
      </rPr>
      <t xml:space="preserve">全部題目均為單選題，正確答案分布：</t>
    </r>
    <r>
      <rPr>
        <sz val="10"/>
        <rFont val="Arial"/>
        <family val="0"/>
        <charset val="1"/>
      </rPr>
      <t xml:space="preserve">A=579</t>
    </r>
    <r>
      <rPr>
        <sz val="10"/>
        <rFont val="Noto Sans CJK SC"/>
        <family val="2"/>
      </rPr>
      <t xml:space="preserve">、</t>
    </r>
    <r>
      <rPr>
        <sz val="10"/>
        <rFont val="Arial"/>
        <family val="0"/>
        <charset val="1"/>
      </rPr>
      <t xml:space="preserve">B=572</t>
    </r>
    <r>
      <rPr>
        <sz val="10"/>
        <rFont val="Noto Sans CJK SC"/>
        <family val="2"/>
      </rPr>
      <t xml:space="preserve">、</t>
    </r>
    <r>
      <rPr>
        <sz val="10"/>
        <rFont val="Arial"/>
        <family val="0"/>
        <charset val="1"/>
      </rPr>
      <t xml:space="preserve">C=630</t>
    </r>
    <r>
      <rPr>
        <sz val="10"/>
        <rFont val="Noto Sans CJK SC"/>
        <family val="2"/>
      </rPr>
      <t xml:space="preserve">、</t>
    </r>
    <r>
      <rPr>
        <sz val="10"/>
        <rFont val="Arial"/>
        <family val="0"/>
        <charset val="1"/>
      </rPr>
      <t xml:space="preserve">D=757</t>
    </r>
    <r>
      <rPr>
        <sz val="10"/>
        <rFont val="Noto Sans CJK SC"/>
        <family val="2"/>
      </rPr>
      <t xml:space="preserve">。</t>
    </r>
  </si>
  <si>
    <t xml:space="preserve">章節統計（公式連動題庫分頁）</t>
  </si>
  <si>
    <t xml:space="preserve">章節（課程名稱原始）</t>
  </si>
  <si>
    <t xml:space="preserve">題數</t>
  </si>
  <si>
    <t xml:space="preserve">總計</t>
  </si>
  <si>
    <t xml:space="preserve">答案分布</t>
  </si>
  <si>
    <t xml:space="preserve">答案</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</si>
</sst>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Noto Sans CJK SC"/>
      <family val="2"/>
      <charset val="1"/>
    </font>
    <font>
      <b val="true"/>
      <sz val="11"/>
      <color rgb="FF7F6000"/>
      <name val="Noto Sans CJK SC"/>
      <family val="2"/>
      <charset val="1"/>
    </font>
    <font>
      <sz val="10"/>
      <name val="Arial"/>
      <family val="0"/>
      <charset val="1"/>
    </font>
    <font>
      <sz val="10"/>
      <name val="Noto Sans CJK SC"/>
      <family val="2"/>
      <charset val="1"/>
    </font>
    <font>
      <sz val="10"/>
      <name val="Noto Sans CJK SC"/>
      <family val="2"/>
    </font>
    <font>
      <b val="true"/>
      <sz val="14"/>
      <color rgb="FF1F4E79"/>
      <name val="Noto Sans CJK SC"/>
      <family val="2"/>
      <charset val="1"/>
    </font>
    <font>
      <i val="true"/>
      <sz val="10"/>
      <color rgb="FF555555"/>
      <name val="Noto Sans CJK SC"/>
      <family val="2"/>
      <charset val="1"/>
    </font>
    <font>
      <b val="true"/>
      <sz val="10"/>
      <name val="Noto Sans CJK SC"/>
      <family val="2"/>
      <charset val="1"/>
    </font>
    <font>
      <b val="true"/>
      <sz val="10"/>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FF2CC"/>
        <bgColor rgb="FFFFFFFF"/>
      </patternFill>
    </fill>
    <fill>
      <patternFill patternType="solid">
        <fgColor rgb="FFD6E4F0"/>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5" fontId="12"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9"/>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5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
    <col collapsed="false" customWidth="true" hidden="false" outlineLevel="0" max="3" min="3" style="1" width="26"/>
    <col collapsed="false" customWidth="true" hidden="false" outlineLevel="0" max="4" min="4" style="1" width="30"/>
    <col collapsed="false" customWidth="true" hidden="false" outlineLevel="0" max="5" min="5" style="1" width="8"/>
    <col collapsed="false" customWidth="true" hidden="false" outlineLevel="0" max="6" min="6" style="1" width="60"/>
    <col collapsed="false" customWidth="true" hidden="false" outlineLevel="0" max="10" min="7" style="1" width="22"/>
    <col collapsed="false" customWidth="true" hidden="false" outlineLevel="0" max="11" min="11" style="1" width="10"/>
    <col collapsed="false" customWidth="true" hidden="false" outlineLevel="0" max="12" min="12" style="1" width="8"/>
    <col collapsed="false" customWidth="true" hidden="false" outlineLevel="0" max="13" min="13" style="1" width="7"/>
    <col collapsed="false" customWidth="true" hidden="false" outlineLevel="0" max="14" min="14" style="1" width="14"/>
    <col collapsed="false" customWidth="true" hidden="false" outlineLevel="0" max="15" min="15" style="1" width="30"/>
    <col collapsed="false" customWidth="true" hidden="false" outlineLevel="0" max="16" min="16" style="1" width="20"/>
    <col collapsed="false" customWidth="true" hidden="false" outlineLevel="0" max="17" min="17" style="1" width="18"/>
    <col collapsed="false" customWidth="true" hidden="false" outlineLevel="0" max="18" min="18" style="1" width="14"/>
    <col collapsed="false" customWidth="true" hidden="false" outlineLevel="0" max="19" min="19" style="1" width="9"/>
    <col collapsed="false" customWidth="true" hidden="false" outlineLevel="0" max="20" min="20" style="1" width="12"/>
  </cols>
  <sheetData>
    <row r="1" customFormat="false" ht="32.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3" t="s">
        <v>12</v>
      </c>
      <c r="N1" s="3" t="s">
        <v>13</v>
      </c>
      <c r="O1" s="3" t="s">
        <v>14</v>
      </c>
      <c r="P1" s="3" t="s">
        <v>15</v>
      </c>
      <c r="Q1" s="2" t="s">
        <v>16</v>
      </c>
      <c r="R1" s="2" t="s">
        <v>17</v>
      </c>
      <c r="S1" s="2" t="s">
        <v>18</v>
      </c>
      <c r="T1" s="3" t="s">
        <v>19</v>
      </c>
    </row>
    <row r="2" customFormat="false" ht="29.25" hidden="false" customHeight="true" outlineLevel="0" collapsed="false">
      <c r="A2" s="4" t="n">
        <v>1</v>
      </c>
      <c r="B2" s="5"/>
      <c r="C2" s="6" t="s">
        <v>20</v>
      </c>
      <c r="D2" s="6" t="s">
        <v>20</v>
      </c>
      <c r="E2" s="7" t="s">
        <v>21</v>
      </c>
      <c r="F2" s="6" t="s">
        <v>22</v>
      </c>
      <c r="G2" s="6" t="s">
        <v>23</v>
      </c>
      <c r="H2" s="6" t="s">
        <v>24</v>
      </c>
      <c r="I2" s="6" t="s">
        <v>25</v>
      </c>
      <c r="J2" s="6" t="s">
        <v>26</v>
      </c>
      <c r="K2" s="5"/>
      <c r="L2" s="4" t="s">
        <v>27</v>
      </c>
      <c r="M2" s="8" t="s">
        <v>28</v>
      </c>
      <c r="N2" s="9" t="s">
        <v>29</v>
      </c>
      <c r="O2" s="5"/>
      <c r="P2" s="5"/>
      <c r="Q2" s="6" t="s">
        <v>30</v>
      </c>
      <c r="R2" s="4" t="s">
        <v>31</v>
      </c>
      <c r="S2" s="7" t="s">
        <v>32</v>
      </c>
      <c r="T2" s="5"/>
    </row>
    <row r="3" customFormat="false" ht="43.5" hidden="false" customHeight="true" outlineLevel="0" collapsed="false">
      <c r="A3" s="4" t="n">
        <v>2</v>
      </c>
      <c r="B3" s="5"/>
      <c r="C3" s="6" t="s">
        <v>20</v>
      </c>
      <c r="D3" s="6" t="s">
        <v>20</v>
      </c>
      <c r="E3" s="7" t="s">
        <v>21</v>
      </c>
      <c r="F3" s="6" t="s">
        <v>33</v>
      </c>
      <c r="G3" s="6" t="s">
        <v>34</v>
      </c>
      <c r="H3" s="6" t="s">
        <v>35</v>
      </c>
      <c r="I3" s="6" t="s">
        <v>36</v>
      </c>
      <c r="J3" s="6" t="s">
        <v>37</v>
      </c>
      <c r="K3" s="5"/>
      <c r="L3" s="4" t="s">
        <v>27</v>
      </c>
      <c r="M3" s="8" t="s">
        <v>28</v>
      </c>
      <c r="N3" s="9" t="s">
        <v>38</v>
      </c>
      <c r="O3" s="5"/>
      <c r="P3" s="5"/>
      <c r="Q3" s="6" t="s">
        <v>30</v>
      </c>
      <c r="R3" s="4" t="s">
        <v>31</v>
      </c>
      <c r="S3" s="7" t="s">
        <v>32</v>
      </c>
      <c r="T3" s="5"/>
    </row>
    <row r="4" customFormat="false" ht="15" hidden="false" customHeight="true" outlineLevel="0" collapsed="false">
      <c r="A4" s="4" t="n">
        <v>3</v>
      </c>
      <c r="B4" s="5"/>
      <c r="C4" s="6" t="s">
        <v>20</v>
      </c>
      <c r="D4" s="6" t="s">
        <v>20</v>
      </c>
      <c r="E4" s="7" t="s">
        <v>21</v>
      </c>
      <c r="F4" s="6" t="s">
        <v>39</v>
      </c>
      <c r="G4" s="6" t="s">
        <v>40</v>
      </c>
      <c r="H4" s="6" t="s">
        <v>41</v>
      </c>
      <c r="I4" s="6" t="s">
        <v>42</v>
      </c>
      <c r="J4" s="6" t="s">
        <v>43</v>
      </c>
      <c r="K4" s="5"/>
      <c r="L4" s="4" t="s">
        <v>44</v>
      </c>
      <c r="M4" s="8" t="s">
        <v>28</v>
      </c>
      <c r="N4" s="9" t="s">
        <v>45</v>
      </c>
      <c r="O4" s="5"/>
      <c r="P4" s="5"/>
      <c r="Q4" s="6" t="s">
        <v>30</v>
      </c>
      <c r="R4" s="4" t="s">
        <v>31</v>
      </c>
      <c r="S4" s="7" t="s">
        <v>32</v>
      </c>
      <c r="T4" s="5"/>
    </row>
    <row r="5" customFormat="false" ht="43.5" hidden="false" customHeight="true" outlineLevel="0" collapsed="false">
      <c r="A5" s="4" t="n">
        <v>4</v>
      </c>
      <c r="B5" s="5"/>
      <c r="C5" s="6" t="s">
        <v>20</v>
      </c>
      <c r="D5" s="6" t="s">
        <v>20</v>
      </c>
      <c r="E5" s="7" t="s">
        <v>21</v>
      </c>
      <c r="F5" s="6" t="s">
        <v>46</v>
      </c>
      <c r="G5" s="5" t="s">
        <v>47</v>
      </c>
      <c r="H5" s="5" t="s">
        <v>48</v>
      </c>
      <c r="I5" s="5" t="s">
        <v>49</v>
      </c>
      <c r="J5" s="5" t="s">
        <v>50</v>
      </c>
      <c r="K5" s="5"/>
      <c r="L5" s="4" t="s">
        <v>51</v>
      </c>
      <c r="M5" s="8" t="s">
        <v>28</v>
      </c>
      <c r="N5" s="9" t="s">
        <v>29</v>
      </c>
      <c r="O5" s="5"/>
      <c r="P5" s="5"/>
      <c r="Q5" s="6" t="s">
        <v>30</v>
      </c>
      <c r="R5" s="4" t="s">
        <v>31</v>
      </c>
      <c r="S5" s="7" t="s">
        <v>32</v>
      </c>
      <c r="T5" s="5"/>
    </row>
    <row r="6" customFormat="false" ht="15" hidden="false" customHeight="true" outlineLevel="0" collapsed="false">
      <c r="A6" s="4" t="n">
        <v>5</v>
      </c>
      <c r="B6" s="5"/>
      <c r="C6" s="6" t="s">
        <v>20</v>
      </c>
      <c r="D6" s="6" t="s">
        <v>20</v>
      </c>
      <c r="E6" s="7" t="s">
        <v>21</v>
      </c>
      <c r="F6" s="6" t="s">
        <v>52</v>
      </c>
      <c r="G6" s="6" t="s">
        <v>53</v>
      </c>
      <c r="H6" s="6" t="s">
        <v>54</v>
      </c>
      <c r="I6" s="6" t="s">
        <v>55</v>
      </c>
      <c r="J6" s="6" t="s">
        <v>56</v>
      </c>
      <c r="K6" s="5"/>
      <c r="L6" s="4" t="s">
        <v>51</v>
      </c>
      <c r="M6" s="8" t="s">
        <v>28</v>
      </c>
      <c r="N6" s="9" t="s">
        <v>29</v>
      </c>
      <c r="O6" s="5"/>
      <c r="P6" s="5"/>
      <c r="Q6" s="6" t="s">
        <v>30</v>
      </c>
      <c r="R6" s="4" t="s">
        <v>31</v>
      </c>
      <c r="S6" s="7" t="s">
        <v>32</v>
      </c>
      <c r="T6" s="5"/>
    </row>
    <row r="7" customFormat="false" ht="57.75" hidden="false" customHeight="true" outlineLevel="0" collapsed="false">
      <c r="A7" s="4" t="n">
        <v>6</v>
      </c>
      <c r="B7" s="5"/>
      <c r="C7" s="6" t="s">
        <v>20</v>
      </c>
      <c r="D7" s="6" t="s">
        <v>20</v>
      </c>
      <c r="E7" s="7" t="s">
        <v>21</v>
      </c>
      <c r="F7" s="6" t="s">
        <v>57</v>
      </c>
      <c r="G7" s="6" t="s">
        <v>58</v>
      </c>
      <c r="H7" s="6" t="s">
        <v>59</v>
      </c>
      <c r="I7" s="6" t="s">
        <v>60</v>
      </c>
      <c r="J7" s="6" t="s">
        <v>61</v>
      </c>
      <c r="K7" s="5"/>
      <c r="L7" s="4" t="s">
        <v>62</v>
      </c>
      <c r="M7" s="8" t="s">
        <v>28</v>
      </c>
      <c r="N7" s="9" t="s">
        <v>63</v>
      </c>
      <c r="O7" s="5"/>
      <c r="P7" s="5"/>
      <c r="Q7" s="6" t="s">
        <v>30</v>
      </c>
      <c r="R7" s="4" t="s">
        <v>31</v>
      </c>
      <c r="S7" s="7" t="s">
        <v>32</v>
      </c>
      <c r="T7" s="5"/>
    </row>
    <row r="8" customFormat="false" ht="43.5" hidden="false" customHeight="true" outlineLevel="0" collapsed="false">
      <c r="A8" s="4" t="n">
        <v>7</v>
      </c>
      <c r="B8" s="5"/>
      <c r="C8" s="6" t="s">
        <v>20</v>
      </c>
      <c r="D8" s="6" t="s">
        <v>20</v>
      </c>
      <c r="E8" s="7" t="s">
        <v>21</v>
      </c>
      <c r="F8" s="6" t="s">
        <v>64</v>
      </c>
      <c r="G8" s="5" t="s">
        <v>65</v>
      </c>
      <c r="H8" s="5" t="s">
        <v>66</v>
      </c>
      <c r="I8" s="5" t="s">
        <v>67</v>
      </c>
      <c r="J8" s="5" t="s">
        <v>68</v>
      </c>
      <c r="K8" s="5"/>
      <c r="L8" s="4" t="s">
        <v>62</v>
      </c>
      <c r="M8" s="8" t="s">
        <v>28</v>
      </c>
      <c r="N8" s="9" t="s">
        <v>63</v>
      </c>
      <c r="O8" s="5"/>
      <c r="P8" s="5"/>
      <c r="Q8" s="6" t="s">
        <v>30</v>
      </c>
      <c r="R8" s="4" t="s">
        <v>31</v>
      </c>
      <c r="S8" s="7" t="s">
        <v>32</v>
      </c>
      <c r="T8" s="5"/>
    </row>
    <row r="9" customFormat="false" ht="29.25" hidden="false" customHeight="true" outlineLevel="0" collapsed="false">
      <c r="A9" s="4" t="n">
        <v>8</v>
      </c>
      <c r="B9" s="5"/>
      <c r="C9" s="6" t="s">
        <v>20</v>
      </c>
      <c r="D9" s="6" t="s">
        <v>20</v>
      </c>
      <c r="E9" s="7" t="s">
        <v>21</v>
      </c>
      <c r="F9" s="6" t="s">
        <v>69</v>
      </c>
      <c r="G9" s="6" t="s">
        <v>70</v>
      </c>
      <c r="H9" s="6" t="s">
        <v>71</v>
      </c>
      <c r="I9" s="6" t="s">
        <v>72</v>
      </c>
      <c r="J9" s="6" t="s">
        <v>73</v>
      </c>
      <c r="K9" s="5"/>
      <c r="L9" s="4" t="s">
        <v>27</v>
      </c>
      <c r="M9" s="8" t="s">
        <v>28</v>
      </c>
      <c r="N9" s="9" t="s">
        <v>29</v>
      </c>
      <c r="O9" s="5"/>
      <c r="P9" s="5"/>
      <c r="Q9" s="6" t="s">
        <v>30</v>
      </c>
      <c r="R9" s="4" t="s">
        <v>31</v>
      </c>
      <c r="S9" s="7" t="s">
        <v>32</v>
      </c>
      <c r="T9" s="5"/>
    </row>
    <row r="10" customFormat="false" ht="29.25" hidden="false" customHeight="true" outlineLevel="0" collapsed="false">
      <c r="A10" s="4" t="n">
        <v>9</v>
      </c>
      <c r="B10" s="5"/>
      <c r="C10" s="6" t="s">
        <v>20</v>
      </c>
      <c r="D10" s="6" t="s">
        <v>20</v>
      </c>
      <c r="E10" s="7" t="s">
        <v>21</v>
      </c>
      <c r="F10" s="6" t="s">
        <v>74</v>
      </c>
      <c r="G10" s="6" t="s">
        <v>75</v>
      </c>
      <c r="H10" s="6" t="s">
        <v>76</v>
      </c>
      <c r="I10" s="6" t="s">
        <v>77</v>
      </c>
      <c r="J10" s="6" t="s">
        <v>78</v>
      </c>
      <c r="K10" s="5"/>
      <c r="L10" s="4" t="s">
        <v>44</v>
      </c>
      <c r="M10" s="8" t="s">
        <v>79</v>
      </c>
      <c r="N10" s="9" t="s">
        <v>63</v>
      </c>
      <c r="O10" s="5"/>
      <c r="P10" s="5"/>
      <c r="Q10" s="6" t="s">
        <v>30</v>
      </c>
      <c r="R10" s="4" t="s">
        <v>31</v>
      </c>
      <c r="S10" s="7" t="s">
        <v>32</v>
      </c>
      <c r="T10" s="5"/>
    </row>
    <row r="11" customFormat="false" ht="29.25" hidden="false" customHeight="true" outlineLevel="0" collapsed="false">
      <c r="A11" s="4" t="n">
        <v>10</v>
      </c>
      <c r="B11" s="5"/>
      <c r="C11" s="6" t="s">
        <v>20</v>
      </c>
      <c r="D11" s="6" t="s">
        <v>20</v>
      </c>
      <c r="E11" s="7" t="s">
        <v>21</v>
      </c>
      <c r="F11" s="6" t="s">
        <v>80</v>
      </c>
      <c r="G11" s="5" t="s">
        <v>81</v>
      </c>
      <c r="H11" s="5" t="s">
        <v>82</v>
      </c>
      <c r="I11" s="5" t="s">
        <v>83</v>
      </c>
      <c r="J11" s="5" t="s">
        <v>84</v>
      </c>
      <c r="K11" s="5"/>
      <c r="L11" s="4" t="s">
        <v>62</v>
      </c>
      <c r="M11" s="8" t="s">
        <v>79</v>
      </c>
      <c r="N11" s="9" t="s">
        <v>63</v>
      </c>
      <c r="O11" s="5"/>
      <c r="P11" s="5"/>
      <c r="Q11" s="6" t="s">
        <v>30</v>
      </c>
      <c r="R11" s="4" t="s">
        <v>31</v>
      </c>
      <c r="S11" s="7" t="s">
        <v>32</v>
      </c>
      <c r="T11" s="5"/>
    </row>
    <row r="12" customFormat="false" ht="43.5" hidden="false" customHeight="true" outlineLevel="0" collapsed="false">
      <c r="A12" s="4" t="n">
        <v>11</v>
      </c>
      <c r="B12" s="5"/>
      <c r="C12" s="6" t="s">
        <v>20</v>
      </c>
      <c r="D12" s="6" t="s">
        <v>20</v>
      </c>
      <c r="E12" s="7" t="s">
        <v>21</v>
      </c>
      <c r="F12" s="6" t="s">
        <v>85</v>
      </c>
      <c r="G12" s="6" t="s">
        <v>86</v>
      </c>
      <c r="H12" s="6" t="s">
        <v>87</v>
      </c>
      <c r="I12" s="5" t="s">
        <v>88</v>
      </c>
      <c r="J12" s="6" t="s">
        <v>89</v>
      </c>
      <c r="K12" s="5"/>
      <c r="L12" s="4" t="s">
        <v>44</v>
      </c>
      <c r="M12" s="8" t="s">
        <v>28</v>
      </c>
      <c r="N12" s="9" t="s">
        <v>29</v>
      </c>
      <c r="O12" s="5"/>
      <c r="P12" s="5"/>
      <c r="Q12" s="6" t="s">
        <v>30</v>
      </c>
      <c r="R12" s="4" t="s">
        <v>31</v>
      </c>
      <c r="S12" s="7" t="s">
        <v>32</v>
      </c>
      <c r="T12" s="5"/>
    </row>
    <row r="13" customFormat="false" ht="15" hidden="false" customHeight="true" outlineLevel="0" collapsed="false">
      <c r="A13" s="4" t="n">
        <v>12</v>
      </c>
      <c r="B13" s="5"/>
      <c r="C13" s="6" t="s">
        <v>20</v>
      </c>
      <c r="D13" s="6" t="s">
        <v>20</v>
      </c>
      <c r="E13" s="7" t="s">
        <v>21</v>
      </c>
      <c r="F13" s="6" t="s">
        <v>90</v>
      </c>
      <c r="G13" s="6" t="s">
        <v>91</v>
      </c>
      <c r="H13" s="6" t="s">
        <v>92</v>
      </c>
      <c r="I13" s="6" t="s">
        <v>93</v>
      </c>
      <c r="J13" s="6" t="s">
        <v>94</v>
      </c>
      <c r="K13" s="5"/>
      <c r="L13" s="4" t="s">
        <v>51</v>
      </c>
      <c r="M13" s="8" t="s">
        <v>79</v>
      </c>
      <c r="N13" s="9" t="s">
        <v>29</v>
      </c>
      <c r="O13" s="5"/>
      <c r="P13" s="5"/>
      <c r="Q13" s="6" t="s">
        <v>30</v>
      </c>
      <c r="R13" s="4" t="s">
        <v>31</v>
      </c>
      <c r="S13" s="7" t="s">
        <v>32</v>
      </c>
      <c r="T13" s="5"/>
    </row>
    <row r="14" customFormat="false" ht="57.75" hidden="false" customHeight="true" outlineLevel="0" collapsed="false">
      <c r="A14" s="4" t="n">
        <v>13</v>
      </c>
      <c r="B14" s="6" t="s">
        <v>95</v>
      </c>
      <c r="C14" s="6" t="s">
        <v>96</v>
      </c>
      <c r="D14" s="6" t="s">
        <v>97</v>
      </c>
      <c r="E14" s="7" t="s">
        <v>21</v>
      </c>
      <c r="F14" s="6" t="s">
        <v>98</v>
      </c>
      <c r="G14" s="6" t="s">
        <v>99</v>
      </c>
      <c r="H14" s="6" t="s">
        <v>100</v>
      </c>
      <c r="I14" s="6" t="s">
        <v>101</v>
      </c>
      <c r="J14" s="6" t="s">
        <v>102</v>
      </c>
      <c r="K14" s="5"/>
      <c r="L14" s="4" t="s">
        <v>44</v>
      </c>
      <c r="M14" s="8" t="s">
        <v>28</v>
      </c>
      <c r="N14" s="9" t="s">
        <v>103</v>
      </c>
      <c r="O14" s="5"/>
      <c r="P14" s="5"/>
      <c r="Q14" s="6" t="s">
        <v>30</v>
      </c>
      <c r="R14" s="4" t="s">
        <v>31</v>
      </c>
      <c r="S14" s="7" t="s">
        <v>32</v>
      </c>
      <c r="T14" s="5"/>
    </row>
    <row r="15" customFormat="false" ht="29.25" hidden="false" customHeight="true" outlineLevel="0" collapsed="false">
      <c r="A15" s="4" t="n">
        <v>14</v>
      </c>
      <c r="B15" s="6" t="s">
        <v>95</v>
      </c>
      <c r="C15" s="6" t="s">
        <v>96</v>
      </c>
      <c r="D15" s="6" t="s">
        <v>97</v>
      </c>
      <c r="E15" s="7" t="s">
        <v>21</v>
      </c>
      <c r="F15" s="6" t="s">
        <v>104</v>
      </c>
      <c r="G15" s="6" t="s">
        <v>105</v>
      </c>
      <c r="H15" s="6" t="s">
        <v>106</v>
      </c>
      <c r="I15" s="6" t="s">
        <v>107</v>
      </c>
      <c r="J15" s="6" t="s">
        <v>108</v>
      </c>
      <c r="K15" s="5"/>
      <c r="L15" s="4" t="s">
        <v>27</v>
      </c>
      <c r="M15" s="8" t="s">
        <v>79</v>
      </c>
      <c r="N15" s="9" t="s">
        <v>103</v>
      </c>
      <c r="O15" s="5"/>
      <c r="P15" s="5"/>
      <c r="Q15" s="6" t="s">
        <v>30</v>
      </c>
      <c r="R15" s="4" t="s">
        <v>31</v>
      </c>
      <c r="S15" s="7" t="s">
        <v>32</v>
      </c>
      <c r="T15" s="5"/>
    </row>
    <row r="16" customFormat="false" ht="29.25" hidden="false" customHeight="true" outlineLevel="0" collapsed="false">
      <c r="A16" s="4" t="n">
        <v>15</v>
      </c>
      <c r="B16" s="6" t="s">
        <v>95</v>
      </c>
      <c r="C16" s="6" t="s">
        <v>96</v>
      </c>
      <c r="D16" s="6" t="s">
        <v>97</v>
      </c>
      <c r="E16" s="7" t="s">
        <v>21</v>
      </c>
      <c r="F16" s="6" t="s">
        <v>109</v>
      </c>
      <c r="G16" s="6" t="s">
        <v>110</v>
      </c>
      <c r="H16" s="6" t="s">
        <v>111</v>
      </c>
      <c r="I16" s="6" t="s">
        <v>112</v>
      </c>
      <c r="J16" s="6" t="s">
        <v>113</v>
      </c>
      <c r="K16" s="5"/>
      <c r="L16" s="4" t="s">
        <v>51</v>
      </c>
      <c r="M16" s="8" t="s">
        <v>79</v>
      </c>
      <c r="N16" s="9" t="s">
        <v>114</v>
      </c>
      <c r="O16" s="5"/>
      <c r="P16" s="5"/>
      <c r="Q16" s="6" t="s">
        <v>30</v>
      </c>
      <c r="R16" s="4" t="s">
        <v>31</v>
      </c>
      <c r="S16" s="7" t="s">
        <v>32</v>
      </c>
      <c r="T16" s="5"/>
    </row>
    <row r="17" customFormat="false" ht="29.25" hidden="false" customHeight="true" outlineLevel="0" collapsed="false">
      <c r="A17" s="4" t="n">
        <v>16</v>
      </c>
      <c r="B17" s="6" t="s">
        <v>95</v>
      </c>
      <c r="C17" s="6" t="s">
        <v>96</v>
      </c>
      <c r="D17" s="6" t="s">
        <v>97</v>
      </c>
      <c r="E17" s="7" t="s">
        <v>21</v>
      </c>
      <c r="F17" s="6" t="s">
        <v>115</v>
      </c>
      <c r="G17" s="6" t="s">
        <v>116</v>
      </c>
      <c r="H17" s="6" t="s">
        <v>117</v>
      </c>
      <c r="I17" s="6" t="s">
        <v>118</v>
      </c>
      <c r="J17" s="6" t="s">
        <v>119</v>
      </c>
      <c r="K17" s="5"/>
      <c r="L17" s="4" t="s">
        <v>51</v>
      </c>
      <c r="M17" s="8" t="s">
        <v>79</v>
      </c>
      <c r="N17" s="9" t="s">
        <v>114</v>
      </c>
      <c r="O17" s="5"/>
      <c r="P17" s="5"/>
      <c r="Q17" s="6" t="s">
        <v>30</v>
      </c>
      <c r="R17" s="4" t="s">
        <v>31</v>
      </c>
      <c r="S17" s="7" t="s">
        <v>32</v>
      </c>
      <c r="T17" s="5"/>
    </row>
    <row r="18" customFormat="false" ht="86.25" hidden="false" customHeight="true" outlineLevel="0" collapsed="false">
      <c r="A18" s="4" t="n">
        <v>17</v>
      </c>
      <c r="B18" s="6" t="s">
        <v>95</v>
      </c>
      <c r="C18" s="6" t="s">
        <v>96</v>
      </c>
      <c r="D18" s="6" t="s">
        <v>97</v>
      </c>
      <c r="E18" s="7" t="s">
        <v>21</v>
      </c>
      <c r="F18" s="6" t="s">
        <v>120</v>
      </c>
      <c r="G18" s="6" t="s">
        <v>121</v>
      </c>
      <c r="H18" s="6" t="s">
        <v>122</v>
      </c>
      <c r="I18" s="6" t="s">
        <v>123</v>
      </c>
      <c r="J18" s="6" t="s">
        <v>78</v>
      </c>
      <c r="K18" s="5"/>
      <c r="L18" s="4" t="s">
        <v>44</v>
      </c>
      <c r="M18" s="8" t="s">
        <v>28</v>
      </c>
      <c r="N18" s="9" t="s">
        <v>114</v>
      </c>
      <c r="O18" s="5"/>
      <c r="P18" s="5"/>
      <c r="Q18" s="6" t="s">
        <v>30</v>
      </c>
      <c r="R18" s="4" t="s">
        <v>31</v>
      </c>
      <c r="S18" s="7" t="s">
        <v>32</v>
      </c>
      <c r="T18" s="5"/>
    </row>
    <row r="19" customFormat="false" ht="29.25" hidden="false" customHeight="true" outlineLevel="0" collapsed="false">
      <c r="A19" s="4" t="n">
        <v>18</v>
      </c>
      <c r="B19" s="6" t="s">
        <v>95</v>
      </c>
      <c r="C19" s="6" t="s">
        <v>96</v>
      </c>
      <c r="D19" s="6" t="s">
        <v>97</v>
      </c>
      <c r="E19" s="7" t="s">
        <v>21</v>
      </c>
      <c r="F19" s="6" t="s">
        <v>124</v>
      </c>
      <c r="G19" s="6" t="s">
        <v>125</v>
      </c>
      <c r="H19" s="6" t="s">
        <v>126</v>
      </c>
      <c r="I19" s="6" t="s">
        <v>127</v>
      </c>
      <c r="J19" s="6" t="s">
        <v>128</v>
      </c>
      <c r="K19" s="5"/>
      <c r="L19" s="4" t="s">
        <v>27</v>
      </c>
      <c r="M19" s="8" t="s">
        <v>129</v>
      </c>
      <c r="N19" s="9" t="s">
        <v>130</v>
      </c>
      <c r="O19" s="5"/>
      <c r="P19" s="5"/>
      <c r="Q19" s="6" t="s">
        <v>30</v>
      </c>
      <c r="R19" s="4" t="s">
        <v>31</v>
      </c>
      <c r="S19" s="7" t="s">
        <v>32</v>
      </c>
      <c r="T19" s="5"/>
    </row>
    <row r="20" customFormat="false" ht="57.75" hidden="false" customHeight="true" outlineLevel="0" collapsed="false">
      <c r="A20" s="4" t="n">
        <v>19</v>
      </c>
      <c r="B20" s="6" t="s">
        <v>95</v>
      </c>
      <c r="C20" s="6" t="s">
        <v>96</v>
      </c>
      <c r="D20" s="6" t="s">
        <v>97</v>
      </c>
      <c r="E20" s="7" t="s">
        <v>21</v>
      </c>
      <c r="F20" s="6" t="s">
        <v>131</v>
      </c>
      <c r="G20" s="6" t="s">
        <v>132</v>
      </c>
      <c r="H20" s="6" t="s">
        <v>133</v>
      </c>
      <c r="I20" s="6" t="s">
        <v>134</v>
      </c>
      <c r="J20" s="6" t="s">
        <v>135</v>
      </c>
      <c r="K20" s="5"/>
      <c r="L20" s="4" t="s">
        <v>51</v>
      </c>
      <c r="M20" s="8" t="s">
        <v>79</v>
      </c>
      <c r="N20" s="9" t="s">
        <v>103</v>
      </c>
      <c r="O20" s="5"/>
      <c r="P20" s="5"/>
      <c r="Q20" s="6" t="s">
        <v>30</v>
      </c>
      <c r="R20" s="4" t="s">
        <v>31</v>
      </c>
      <c r="S20" s="7" t="s">
        <v>32</v>
      </c>
      <c r="T20" s="5"/>
    </row>
    <row r="21" customFormat="false" ht="29.25" hidden="false" customHeight="true" outlineLevel="0" collapsed="false">
      <c r="A21" s="4" t="n">
        <v>20</v>
      </c>
      <c r="B21" s="6" t="s">
        <v>95</v>
      </c>
      <c r="C21" s="6" t="s">
        <v>96</v>
      </c>
      <c r="D21" s="6" t="s">
        <v>97</v>
      </c>
      <c r="E21" s="7" t="s">
        <v>21</v>
      </c>
      <c r="F21" s="6" t="s">
        <v>136</v>
      </c>
      <c r="G21" s="6" t="s">
        <v>137</v>
      </c>
      <c r="H21" s="6" t="s">
        <v>138</v>
      </c>
      <c r="I21" s="6" t="s">
        <v>139</v>
      </c>
      <c r="J21" s="6" t="s">
        <v>140</v>
      </c>
      <c r="K21" s="5"/>
      <c r="L21" s="4" t="s">
        <v>62</v>
      </c>
      <c r="M21" s="8" t="s">
        <v>79</v>
      </c>
      <c r="N21" s="9" t="s">
        <v>114</v>
      </c>
      <c r="O21" s="5"/>
      <c r="P21" s="5"/>
      <c r="Q21" s="6" t="s">
        <v>30</v>
      </c>
      <c r="R21" s="4" t="s">
        <v>31</v>
      </c>
      <c r="S21" s="7" t="s">
        <v>32</v>
      </c>
      <c r="T21" s="5"/>
    </row>
    <row r="22" customFormat="false" ht="29.25" hidden="false" customHeight="true" outlineLevel="0" collapsed="false">
      <c r="A22" s="4" t="n">
        <v>21</v>
      </c>
      <c r="B22" s="6" t="s">
        <v>95</v>
      </c>
      <c r="C22" s="6" t="s">
        <v>96</v>
      </c>
      <c r="D22" s="6" t="s">
        <v>97</v>
      </c>
      <c r="E22" s="7" t="s">
        <v>21</v>
      </c>
      <c r="F22" s="6" t="s">
        <v>141</v>
      </c>
      <c r="G22" s="6" t="s">
        <v>142</v>
      </c>
      <c r="H22" s="6" t="s">
        <v>143</v>
      </c>
      <c r="I22" s="6" t="s">
        <v>144</v>
      </c>
      <c r="J22" s="6" t="s">
        <v>145</v>
      </c>
      <c r="K22" s="5"/>
      <c r="L22" s="4" t="s">
        <v>44</v>
      </c>
      <c r="M22" s="8" t="s">
        <v>129</v>
      </c>
      <c r="N22" s="9" t="s">
        <v>114</v>
      </c>
      <c r="O22" s="5"/>
      <c r="P22" s="5"/>
      <c r="Q22" s="6" t="s">
        <v>30</v>
      </c>
      <c r="R22" s="4" t="s">
        <v>31</v>
      </c>
      <c r="S22" s="7" t="s">
        <v>32</v>
      </c>
      <c r="T22" s="5"/>
    </row>
    <row r="23" customFormat="false" ht="43.5" hidden="false" customHeight="true" outlineLevel="0" collapsed="false">
      <c r="A23" s="4" t="n">
        <v>22</v>
      </c>
      <c r="B23" s="6" t="s">
        <v>95</v>
      </c>
      <c r="C23" s="6" t="s">
        <v>96</v>
      </c>
      <c r="D23" s="6" t="s">
        <v>97</v>
      </c>
      <c r="E23" s="7" t="s">
        <v>21</v>
      </c>
      <c r="F23" s="6" t="s">
        <v>146</v>
      </c>
      <c r="G23" s="6" t="s">
        <v>147</v>
      </c>
      <c r="H23" s="6" t="s">
        <v>148</v>
      </c>
      <c r="I23" s="6" t="s">
        <v>149</v>
      </c>
      <c r="J23" s="6" t="s">
        <v>150</v>
      </c>
      <c r="K23" s="5"/>
      <c r="L23" s="4" t="s">
        <v>44</v>
      </c>
      <c r="M23" s="8" t="s">
        <v>79</v>
      </c>
      <c r="N23" s="9" t="s">
        <v>114</v>
      </c>
      <c r="O23" s="5"/>
      <c r="P23" s="5"/>
      <c r="Q23" s="6" t="s">
        <v>30</v>
      </c>
      <c r="R23" s="4" t="s">
        <v>31</v>
      </c>
      <c r="S23" s="7" t="s">
        <v>32</v>
      </c>
      <c r="T23" s="5"/>
    </row>
    <row r="24" customFormat="false" ht="57.75" hidden="false" customHeight="true" outlineLevel="0" collapsed="false">
      <c r="A24" s="4" t="n">
        <v>23</v>
      </c>
      <c r="B24" s="6" t="s">
        <v>95</v>
      </c>
      <c r="C24" s="6" t="s">
        <v>96</v>
      </c>
      <c r="D24" s="6" t="s">
        <v>97</v>
      </c>
      <c r="E24" s="7" t="s">
        <v>21</v>
      </c>
      <c r="F24" s="6" t="s">
        <v>151</v>
      </c>
      <c r="G24" s="5" t="s">
        <v>152</v>
      </c>
      <c r="H24" s="5" t="s">
        <v>153</v>
      </c>
      <c r="I24" s="5" t="s">
        <v>154</v>
      </c>
      <c r="J24" s="5" t="s">
        <v>155</v>
      </c>
      <c r="K24" s="5"/>
      <c r="L24" s="4" t="s">
        <v>62</v>
      </c>
      <c r="M24" s="8" t="s">
        <v>28</v>
      </c>
      <c r="N24" s="9" t="s">
        <v>156</v>
      </c>
      <c r="O24" s="5"/>
      <c r="P24" s="5"/>
      <c r="Q24" s="6" t="s">
        <v>30</v>
      </c>
      <c r="R24" s="4" t="s">
        <v>31</v>
      </c>
      <c r="S24" s="7" t="s">
        <v>32</v>
      </c>
      <c r="T24" s="5"/>
    </row>
    <row r="25" customFormat="false" ht="43.5" hidden="false" customHeight="true" outlineLevel="0" collapsed="false">
      <c r="A25" s="4" t="n">
        <v>24</v>
      </c>
      <c r="B25" s="6" t="s">
        <v>95</v>
      </c>
      <c r="C25" s="6" t="s">
        <v>96</v>
      </c>
      <c r="D25" s="6" t="s">
        <v>97</v>
      </c>
      <c r="E25" s="7" t="s">
        <v>21</v>
      </c>
      <c r="F25" s="6" t="s">
        <v>157</v>
      </c>
      <c r="G25" s="5" t="s">
        <v>158</v>
      </c>
      <c r="H25" s="5" t="s">
        <v>159</v>
      </c>
      <c r="I25" s="5" t="s">
        <v>160</v>
      </c>
      <c r="J25" s="6" t="s">
        <v>161</v>
      </c>
      <c r="K25" s="5"/>
      <c r="L25" s="4" t="s">
        <v>62</v>
      </c>
      <c r="M25" s="8" t="s">
        <v>28</v>
      </c>
      <c r="N25" s="9" t="s">
        <v>162</v>
      </c>
      <c r="O25" s="5"/>
      <c r="P25" s="5"/>
      <c r="Q25" s="6" t="s">
        <v>30</v>
      </c>
      <c r="R25" s="4" t="s">
        <v>31</v>
      </c>
      <c r="S25" s="7" t="s">
        <v>32</v>
      </c>
      <c r="T25" s="5"/>
    </row>
    <row r="26" customFormat="false" ht="86.25" hidden="false" customHeight="true" outlineLevel="0" collapsed="false">
      <c r="A26" s="4" t="n">
        <v>25</v>
      </c>
      <c r="B26" s="6" t="s">
        <v>95</v>
      </c>
      <c r="C26" s="6" t="s">
        <v>96</v>
      </c>
      <c r="D26" s="6" t="s">
        <v>97</v>
      </c>
      <c r="E26" s="7" t="s">
        <v>21</v>
      </c>
      <c r="F26" s="6" t="s">
        <v>163</v>
      </c>
      <c r="G26" s="5" t="s">
        <v>164</v>
      </c>
      <c r="H26" s="5" t="s">
        <v>165</v>
      </c>
      <c r="I26" s="5" t="s">
        <v>166</v>
      </c>
      <c r="J26" s="5" t="s">
        <v>167</v>
      </c>
      <c r="K26" s="5"/>
      <c r="L26" s="4" t="s">
        <v>27</v>
      </c>
      <c r="M26" s="8" t="s">
        <v>28</v>
      </c>
      <c r="N26" s="9" t="s">
        <v>130</v>
      </c>
      <c r="O26" s="5"/>
      <c r="P26" s="5"/>
      <c r="Q26" s="6" t="s">
        <v>30</v>
      </c>
      <c r="R26" s="4" t="s">
        <v>31</v>
      </c>
      <c r="S26" s="7" t="s">
        <v>32</v>
      </c>
      <c r="T26" s="5"/>
    </row>
    <row r="27" customFormat="false" ht="29.25" hidden="false" customHeight="true" outlineLevel="0" collapsed="false">
      <c r="A27" s="4" t="n">
        <v>26</v>
      </c>
      <c r="B27" s="6" t="s">
        <v>95</v>
      </c>
      <c r="C27" s="6" t="s">
        <v>96</v>
      </c>
      <c r="D27" s="6" t="s">
        <v>97</v>
      </c>
      <c r="E27" s="7" t="s">
        <v>21</v>
      </c>
      <c r="F27" s="6" t="s">
        <v>168</v>
      </c>
      <c r="G27" s="5" t="s">
        <v>169</v>
      </c>
      <c r="H27" s="5" t="s">
        <v>170</v>
      </c>
      <c r="I27" s="5" t="s">
        <v>171</v>
      </c>
      <c r="J27" s="5" t="s">
        <v>172</v>
      </c>
      <c r="K27" s="5"/>
      <c r="L27" s="4" t="s">
        <v>44</v>
      </c>
      <c r="M27" s="8" t="s">
        <v>28</v>
      </c>
      <c r="N27" s="9" t="s">
        <v>156</v>
      </c>
      <c r="O27" s="5"/>
      <c r="P27" s="5"/>
      <c r="Q27" s="6" t="s">
        <v>30</v>
      </c>
      <c r="R27" s="4" t="s">
        <v>31</v>
      </c>
      <c r="S27" s="7" t="s">
        <v>32</v>
      </c>
      <c r="T27" s="5"/>
    </row>
    <row r="28" customFormat="false" ht="29.25" hidden="false" customHeight="true" outlineLevel="0" collapsed="false">
      <c r="A28" s="4" t="n">
        <v>27</v>
      </c>
      <c r="B28" s="6" t="s">
        <v>95</v>
      </c>
      <c r="C28" s="6" t="s">
        <v>96</v>
      </c>
      <c r="D28" s="6" t="s">
        <v>97</v>
      </c>
      <c r="E28" s="7" t="s">
        <v>21</v>
      </c>
      <c r="F28" s="6" t="s">
        <v>173</v>
      </c>
      <c r="G28" s="5" t="s">
        <v>174</v>
      </c>
      <c r="H28" s="5" t="s">
        <v>170</v>
      </c>
      <c r="I28" s="5" t="s">
        <v>171</v>
      </c>
      <c r="J28" s="5" t="s">
        <v>172</v>
      </c>
      <c r="K28" s="5"/>
      <c r="L28" s="4" t="s">
        <v>44</v>
      </c>
      <c r="M28" s="8" t="s">
        <v>28</v>
      </c>
      <c r="N28" s="9" t="s">
        <v>156</v>
      </c>
      <c r="O28" s="5"/>
      <c r="P28" s="5"/>
      <c r="Q28" s="6" t="s">
        <v>30</v>
      </c>
      <c r="R28" s="4" t="s">
        <v>31</v>
      </c>
      <c r="S28" s="7" t="s">
        <v>32</v>
      </c>
      <c r="T28" s="5"/>
    </row>
    <row r="29" customFormat="false" ht="29.25" hidden="false" customHeight="true" outlineLevel="0" collapsed="false">
      <c r="A29" s="4" t="n">
        <v>28</v>
      </c>
      <c r="B29" s="6" t="s">
        <v>95</v>
      </c>
      <c r="C29" s="6" t="s">
        <v>96</v>
      </c>
      <c r="D29" s="6" t="s">
        <v>97</v>
      </c>
      <c r="E29" s="7" t="s">
        <v>21</v>
      </c>
      <c r="F29" s="6" t="s">
        <v>175</v>
      </c>
      <c r="G29" s="5" t="s">
        <v>176</v>
      </c>
      <c r="H29" s="5" t="s">
        <v>177</v>
      </c>
      <c r="I29" s="5" t="s">
        <v>178</v>
      </c>
      <c r="J29" s="5" t="s">
        <v>170</v>
      </c>
      <c r="K29" s="5"/>
      <c r="L29" s="4" t="s">
        <v>44</v>
      </c>
      <c r="M29" s="8" t="s">
        <v>28</v>
      </c>
      <c r="N29" s="9" t="s">
        <v>179</v>
      </c>
      <c r="O29" s="5"/>
      <c r="P29" s="5"/>
      <c r="Q29" s="6" t="s">
        <v>30</v>
      </c>
      <c r="R29" s="4" t="s">
        <v>31</v>
      </c>
      <c r="S29" s="7" t="s">
        <v>32</v>
      </c>
      <c r="T29" s="5"/>
    </row>
    <row r="30" customFormat="false" ht="29.25" hidden="false" customHeight="true" outlineLevel="0" collapsed="false">
      <c r="A30" s="4" t="n">
        <v>29</v>
      </c>
      <c r="B30" s="6" t="s">
        <v>95</v>
      </c>
      <c r="C30" s="6" t="s">
        <v>96</v>
      </c>
      <c r="D30" s="6" t="s">
        <v>97</v>
      </c>
      <c r="E30" s="7" t="s">
        <v>21</v>
      </c>
      <c r="F30" s="6" t="s">
        <v>180</v>
      </c>
      <c r="G30" s="6" t="s">
        <v>181</v>
      </c>
      <c r="H30" s="6" t="s">
        <v>182</v>
      </c>
      <c r="I30" s="6" t="s">
        <v>183</v>
      </c>
      <c r="J30" s="6" t="s">
        <v>184</v>
      </c>
      <c r="K30" s="5"/>
      <c r="L30" s="4" t="s">
        <v>51</v>
      </c>
      <c r="M30" s="8" t="s">
        <v>129</v>
      </c>
      <c r="N30" s="9" t="s">
        <v>114</v>
      </c>
      <c r="O30" s="5"/>
      <c r="P30" s="5"/>
      <c r="Q30" s="6" t="s">
        <v>30</v>
      </c>
      <c r="R30" s="4" t="s">
        <v>31</v>
      </c>
      <c r="S30" s="7" t="s">
        <v>32</v>
      </c>
      <c r="T30" s="5"/>
    </row>
    <row r="31" customFormat="false" ht="43.5" hidden="false" customHeight="true" outlineLevel="0" collapsed="false">
      <c r="A31" s="4" t="n">
        <v>30</v>
      </c>
      <c r="B31" s="6" t="s">
        <v>95</v>
      </c>
      <c r="C31" s="6" t="s">
        <v>96</v>
      </c>
      <c r="D31" s="6" t="s">
        <v>97</v>
      </c>
      <c r="E31" s="7" t="s">
        <v>21</v>
      </c>
      <c r="F31" s="6" t="s">
        <v>185</v>
      </c>
      <c r="G31" s="5" t="s">
        <v>186</v>
      </c>
      <c r="H31" s="5" t="s">
        <v>174</v>
      </c>
      <c r="I31" s="5" t="s">
        <v>170</v>
      </c>
      <c r="J31" s="5" t="s">
        <v>172</v>
      </c>
      <c r="K31" s="5"/>
      <c r="L31" s="4" t="s">
        <v>44</v>
      </c>
      <c r="M31" s="8" t="s">
        <v>28</v>
      </c>
      <c r="N31" s="9" t="s">
        <v>114</v>
      </c>
      <c r="O31" s="5"/>
      <c r="P31" s="5"/>
      <c r="Q31" s="6" t="s">
        <v>30</v>
      </c>
      <c r="R31" s="4" t="s">
        <v>31</v>
      </c>
      <c r="S31" s="7" t="s">
        <v>32</v>
      </c>
      <c r="T31" s="5"/>
    </row>
    <row r="32" customFormat="false" ht="43.5" hidden="false" customHeight="true" outlineLevel="0" collapsed="false">
      <c r="A32" s="4" t="n">
        <v>31</v>
      </c>
      <c r="B32" s="6" t="s">
        <v>95</v>
      </c>
      <c r="C32" s="6" t="s">
        <v>96</v>
      </c>
      <c r="D32" s="6" t="s">
        <v>97</v>
      </c>
      <c r="E32" s="7" t="s">
        <v>21</v>
      </c>
      <c r="F32" s="6" t="s">
        <v>187</v>
      </c>
      <c r="G32" s="6" t="s">
        <v>188</v>
      </c>
      <c r="H32" s="6" t="s">
        <v>189</v>
      </c>
      <c r="I32" s="6" t="s">
        <v>190</v>
      </c>
      <c r="J32" s="6" t="s">
        <v>191</v>
      </c>
      <c r="K32" s="5"/>
      <c r="L32" s="4" t="s">
        <v>44</v>
      </c>
      <c r="M32" s="8" t="s">
        <v>79</v>
      </c>
      <c r="N32" s="9" t="s">
        <v>114</v>
      </c>
      <c r="O32" s="5"/>
      <c r="P32" s="5"/>
      <c r="Q32" s="6" t="s">
        <v>30</v>
      </c>
      <c r="R32" s="4" t="s">
        <v>31</v>
      </c>
      <c r="S32" s="7" t="s">
        <v>32</v>
      </c>
      <c r="T32" s="5"/>
    </row>
    <row r="33" customFormat="false" ht="43.5" hidden="false" customHeight="true" outlineLevel="0" collapsed="false">
      <c r="A33" s="4" t="n">
        <v>32</v>
      </c>
      <c r="B33" s="6" t="s">
        <v>95</v>
      </c>
      <c r="C33" s="6" t="s">
        <v>96</v>
      </c>
      <c r="D33" s="6" t="s">
        <v>97</v>
      </c>
      <c r="E33" s="7" t="s">
        <v>21</v>
      </c>
      <c r="F33" s="6" t="s">
        <v>192</v>
      </c>
      <c r="G33" s="6" t="s">
        <v>193</v>
      </c>
      <c r="H33" s="6" t="s">
        <v>194</v>
      </c>
      <c r="I33" s="6" t="s">
        <v>195</v>
      </c>
      <c r="J33" s="6" t="s">
        <v>196</v>
      </c>
      <c r="K33" s="5"/>
      <c r="L33" s="4" t="s">
        <v>62</v>
      </c>
      <c r="M33" s="8" t="s">
        <v>79</v>
      </c>
      <c r="N33" s="9" t="s">
        <v>114</v>
      </c>
      <c r="O33" s="5"/>
      <c r="P33" s="5"/>
      <c r="Q33" s="6" t="s">
        <v>30</v>
      </c>
      <c r="R33" s="4" t="s">
        <v>31</v>
      </c>
      <c r="S33" s="7" t="s">
        <v>32</v>
      </c>
      <c r="T33" s="5"/>
    </row>
    <row r="34" customFormat="false" ht="29.25" hidden="false" customHeight="true" outlineLevel="0" collapsed="false">
      <c r="A34" s="4" t="n">
        <v>33</v>
      </c>
      <c r="B34" s="6" t="s">
        <v>95</v>
      </c>
      <c r="C34" s="6" t="s">
        <v>96</v>
      </c>
      <c r="D34" s="6" t="s">
        <v>97</v>
      </c>
      <c r="E34" s="7" t="s">
        <v>21</v>
      </c>
      <c r="F34" s="6" t="s">
        <v>197</v>
      </c>
      <c r="G34" s="6" t="s">
        <v>198</v>
      </c>
      <c r="H34" s="6" t="s">
        <v>199</v>
      </c>
      <c r="I34" s="6" t="s">
        <v>200</v>
      </c>
      <c r="J34" s="6" t="s">
        <v>201</v>
      </c>
      <c r="K34" s="5"/>
      <c r="L34" s="4" t="s">
        <v>62</v>
      </c>
      <c r="M34" s="8" t="s">
        <v>79</v>
      </c>
      <c r="N34" s="9" t="s">
        <v>114</v>
      </c>
      <c r="O34" s="5"/>
      <c r="P34" s="5"/>
      <c r="Q34" s="6" t="s">
        <v>30</v>
      </c>
      <c r="R34" s="4" t="s">
        <v>31</v>
      </c>
      <c r="S34" s="7" t="s">
        <v>32</v>
      </c>
      <c r="T34" s="5"/>
    </row>
    <row r="35" customFormat="false" ht="29.25" hidden="false" customHeight="true" outlineLevel="0" collapsed="false">
      <c r="A35" s="4" t="n">
        <v>34</v>
      </c>
      <c r="B35" s="6" t="s">
        <v>95</v>
      </c>
      <c r="C35" s="6" t="s">
        <v>96</v>
      </c>
      <c r="D35" s="6" t="s">
        <v>97</v>
      </c>
      <c r="E35" s="7" t="s">
        <v>21</v>
      </c>
      <c r="F35" s="6" t="s">
        <v>202</v>
      </c>
      <c r="G35" s="6" t="s">
        <v>203</v>
      </c>
      <c r="H35" s="6" t="s">
        <v>204</v>
      </c>
      <c r="I35" s="6" t="s">
        <v>205</v>
      </c>
      <c r="J35" s="6" t="s">
        <v>206</v>
      </c>
      <c r="K35" s="5"/>
      <c r="L35" s="4" t="s">
        <v>62</v>
      </c>
      <c r="M35" s="8" t="s">
        <v>79</v>
      </c>
      <c r="N35" s="9" t="s">
        <v>114</v>
      </c>
      <c r="O35" s="5"/>
      <c r="P35" s="5"/>
      <c r="Q35" s="6" t="s">
        <v>30</v>
      </c>
      <c r="R35" s="4" t="s">
        <v>31</v>
      </c>
      <c r="S35" s="7" t="s">
        <v>32</v>
      </c>
      <c r="T35" s="5"/>
    </row>
    <row r="36" customFormat="false" ht="29.25" hidden="false" customHeight="true" outlineLevel="0" collapsed="false">
      <c r="A36" s="4" t="n">
        <v>35</v>
      </c>
      <c r="B36" s="6" t="s">
        <v>95</v>
      </c>
      <c r="C36" s="6" t="s">
        <v>96</v>
      </c>
      <c r="D36" s="6" t="s">
        <v>97</v>
      </c>
      <c r="E36" s="7" t="s">
        <v>21</v>
      </c>
      <c r="F36" s="6" t="s">
        <v>207</v>
      </c>
      <c r="G36" s="6" t="s">
        <v>208</v>
      </c>
      <c r="H36" s="6" t="s">
        <v>209</v>
      </c>
      <c r="I36" s="6" t="s">
        <v>210</v>
      </c>
      <c r="J36" s="6" t="s">
        <v>211</v>
      </c>
      <c r="K36" s="5"/>
      <c r="L36" s="4" t="s">
        <v>44</v>
      </c>
      <c r="M36" s="8" t="s">
        <v>28</v>
      </c>
      <c r="N36" s="9" t="s">
        <v>179</v>
      </c>
      <c r="O36" s="5"/>
      <c r="P36" s="5"/>
      <c r="Q36" s="6" t="s">
        <v>30</v>
      </c>
      <c r="R36" s="4" t="s">
        <v>31</v>
      </c>
      <c r="S36" s="7" t="s">
        <v>32</v>
      </c>
      <c r="T36" s="5"/>
    </row>
    <row r="37" customFormat="false" ht="29.25" hidden="false" customHeight="true" outlineLevel="0" collapsed="false">
      <c r="A37" s="4" t="n">
        <v>36</v>
      </c>
      <c r="B37" s="6" t="s">
        <v>95</v>
      </c>
      <c r="C37" s="6" t="s">
        <v>96</v>
      </c>
      <c r="D37" s="6" t="s">
        <v>97</v>
      </c>
      <c r="E37" s="7" t="s">
        <v>21</v>
      </c>
      <c r="F37" s="6" t="s">
        <v>212</v>
      </c>
      <c r="G37" s="6" t="s">
        <v>208</v>
      </c>
      <c r="H37" s="6" t="s">
        <v>210</v>
      </c>
      <c r="I37" s="6" t="s">
        <v>211</v>
      </c>
      <c r="J37" s="6" t="s">
        <v>213</v>
      </c>
      <c r="K37" s="5"/>
      <c r="L37" s="4" t="s">
        <v>27</v>
      </c>
      <c r="M37" s="8" t="s">
        <v>129</v>
      </c>
      <c r="N37" s="9" t="s">
        <v>114</v>
      </c>
      <c r="O37" s="5"/>
      <c r="P37" s="5"/>
      <c r="Q37" s="6" t="s">
        <v>30</v>
      </c>
      <c r="R37" s="4" t="s">
        <v>31</v>
      </c>
      <c r="S37" s="7" t="s">
        <v>32</v>
      </c>
      <c r="T37" s="5"/>
    </row>
    <row r="38" customFormat="false" ht="29.25" hidden="false" customHeight="true" outlineLevel="0" collapsed="false">
      <c r="A38" s="4" t="n">
        <v>37</v>
      </c>
      <c r="B38" s="6" t="s">
        <v>95</v>
      </c>
      <c r="C38" s="6" t="s">
        <v>96</v>
      </c>
      <c r="D38" s="6" t="s">
        <v>97</v>
      </c>
      <c r="E38" s="7" t="s">
        <v>21</v>
      </c>
      <c r="F38" s="6" t="s">
        <v>214</v>
      </c>
      <c r="G38" s="6" t="s">
        <v>215</v>
      </c>
      <c r="H38" s="6" t="s">
        <v>216</v>
      </c>
      <c r="I38" s="6" t="s">
        <v>217</v>
      </c>
      <c r="J38" s="6" t="s">
        <v>218</v>
      </c>
      <c r="K38" s="5"/>
      <c r="L38" s="4" t="s">
        <v>27</v>
      </c>
      <c r="M38" s="8" t="s">
        <v>28</v>
      </c>
      <c r="N38" s="9" t="s">
        <v>156</v>
      </c>
      <c r="O38" s="5"/>
      <c r="P38" s="5"/>
      <c r="Q38" s="6" t="s">
        <v>30</v>
      </c>
      <c r="R38" s="4" t="s">
        <v>31</v>
      </c>
      <c r="S38" s="7" t="s">
        <v>32</v>
      </c>
      <c r="T38" s="5"/>
    </row>
    <row r="39" customFormat="false" ht="43.5" hidden="false" customHeight="true" outlineLevel="0" collapsed="false">
      <c r="A39" s="4" t="n">
        <v>38</v>
      </c>
      <c r="B39" s="6" t="s">
        <v>95</v>
      </c>
      <c r="C39" s="6" t="s">
        <v>96</v>
      </c>
      <c r="D39" s="6" t="s">
        <v>97</v>
      </c>
      <c r="E39" s="7" t="s">
        <v>21</v>
      </c>
      <c r="F39" s="6" t="s">
        <v>219</v>
      </c>
      <c r="G39" s="6" t="s">
        <v>220</v>
      </c>
      <c r="H39" s="6" t="s">
        <v>221</v>
      </c>
      <c r="I39" s="6" t="s">
        <v>222</v>
      </c>
      <c r="J39" s="6" t="s">
        <v>223</v>
      </c>
      <c r="K39" s="5"/>
      <c r="L39" s="4" t="s">
        <v>62</v>
      </c>
      <c r="M39" s="8" t="s">
        <v>79</v>
      </c>
      <c r="N39" s="9" t="s">
        <v>114</v>
      </c>
      <c r="O39" s="5"/>
      <c r="P39" s="5"/>
      <c r="Q39" s="6" t="s">
        <v>30</v>
      </c>
      <c r="R39" s="4" t="s">
        <v>31</v>
      </c>
      <c r="S39" s="7" t="s">
        <v>32</v>
      </c>
      <c r="T39" s="5"/>
    </row>
    <row r="40" customFormat="false" ht="43.5" hidden="false" customHeight="true" outlineLevel="0" collapsed="false">
      <c r="A40" s="4" t="n">
        <v>39</v>
      </c>
      <c r="B40" s="6" t="s">
        <v>95</v>
      </c>
      <c r="C40" s="6" t="s">
        <v>96</v>
      </c>
      <c r="D40" s="6" t="s">
        <v>97</v>
      </c>
      <c r="E40" s="7" t="s">
        <v>21</v>
      </c>
      <c r="F40" s="6" t="s">
        <v>224</v>
      </c>
      <c r="G40" s="6" t="s">
        <v>225</v>
      </c>
      <c r="H40" s="6" t="s">
        <v>226</v>
      </c>
      <c r="I40" s="6" t="s">
        <v>145</v>
      </c>
      <c r="J40" s="6" t="s">
        <v>227</v>
      </c>
      <c r="K40" s="5"/>
      <c r="L40" s="4" t="s">
        <v>27</v>
      </c>
      <c r="M40" s="8" t="s">
        <v>28</v>
      </c>
      <c r="N40" s="9" t="s">
        <v>103</v>
      </c>
      <c r="O40" s="5"/>
      <c r="P40" s="5"/>
      <c r="Q40" s="6" t="s">
        <v>30</v>
      </c>
      <c r="R40" s="4" t="s">
        <v>31</v>
      </c>
      <c r="S40" s="7" t="s">
        <v>32</v>
      </c>
      <c r="T40" s="5"/>
    </row>
    <row r="41" customFormat="false" ht="72" hidden="false" customHeight="true" outlineLevel="0" collapsed="false">
      <c r="A41" s="4" t="n">
        <v>40</v>
      </c>
      <c r="B41" s="6" t="s">
        <v>95</v>
      </c>
      <c r="C41" s="6" t="s">
        <v>96</v>
      </c>
      <c r="D41" s="6" t="s">
        <v>97</v>
      </c>
      <c r="E41" s="7" t="s">
        <v>21</v>
      </c>
      <c r="F41" s="6" t="s">
        <v>228</v>
      </c>
      <c r="G41" s="6" t="s">
        <v>229</v>
      </c>
      <c r="H41" s="6" t="s">
        <v>230</v>
      </c>
      <c r="I41" s="6" t="s">
        <v>231</v>
      </c>
      <c r="J41" s="6" t="s">
        <v>232</v>
      </c>
      <c r="K41" s="5"/>
      <c r="L41" s="4" t="s">
        <v>62</v>
      </c>
      <c r="M41" s="8" t="s">
        <v>28</v>
      </c>
      <c r="N41" s="9" t="s">
        <v>156</v>
      </c>
      <c r="O41" s="5"/>
      <c r="P41" s="5"/>
      <c r="Q41" s="6" t="s">
        <v>30</v>
      </c>
      <c r="R41" s="4" t="s">
        <v>31</v>
      </c>
      <c r="S41" s="7" t="s">
        <v>32</v>
      </c>
      <c r="T41" s="5"/>
    </row>
    <row r="42" customFormat="false" ht="72" hidden="false" customHeight="true" outlineLevel="0" collapsed="false">
      <c r="A42" s="4" t="n">
        <v>41</v>
      </c>
      <c r="B42" s="6" t="s">
        <v>95</v>
      </c>
      <c r="C42" s="6" t="s">
        <v>233</v>
      </c>
      <c r="D42" s="6" t="s">
        <v>234</v>
      </c>
      <c r="E42" s="7" t="s">
        <v>21</v>
      </c>
      <c r="F42" s="6" t="s">
        <v>235</v>
      </c>
      <c r="G42" s="6" t="s">
        <v>236</v>
      </c>
      <c r="H42" s="6" t="s">
        <v>237</v>
      </c>
      <c r="I42" s="6" t="s">
        <v>238</v>
      </c>
      <c r="J42" s="6" t="s">
        <v>239</v>
      </c>
      <c r="K42" s="5"/>
      <c r="L42" s="4" t="s">
        <v>62</v>
      </c>
      <c r="M42" s="8" t="s">
        <v>28</v>
      </c>
      <c r="N42" s="9" t="s">
        <v>240</v>
      </c>
      <c r="O42" s="5"/>
      <c r="P42" s="5"/>
      <c r="Q42" s="6" t="s">
        <v>30</v>
      </c>
      <c r="R42" s="4" t="s">
        <v>31</v>
      </c>
      <c r="S42" s="7" t="s">
        <v>32</v>
      </c>
      <c r="T42" s="5"/>
    </row>
    <row r="43" customFormat="false" ht="43.5" hidden="false" customHeight="true" outlineLevel="0" collapsed="false">
      <c r="A43" s="4" t="n">
        <v>42</v>
      </c>
      <c r="B43" s="6" t="s">
        <v>95</v>
      </c>
      <c r="C43" s="6" t="s">
        <v>233</v>
      </c>
      <c r="D43" s="6" t="s">
        <v>234</v>
      </c>
      <c r="E43" s="7" t="s">
        <v>21</v>
      </c>
      <c r="F43" s="6" t="s">
        <v>241</v>
      </c>
      <c r="G43" s="6" t="s">
        <v>242</v>
      </c>
      <c r="H43" s="6" t="s">
        <v>243</v>
      </c>
      <c r="I43" s="6" t="s">
        <v>244</v>
      </c>
      <c r="J43" s="6" t="s">
        <v>245</v>
      </c>
      <c r="K43" s="5"/>
      <c r="L43" s="4" t="s">
        <v>51</v>
      </c>
      <c r="M43" s="8" t="s">
        <v>28</v>
      </c>
      <c r="N43" s="9" t="s">
        <v>246</v>
      </c>
      <c r="O43" s="5"/>
      <c r="P43" s="5"/>
      <c r="Q43" s="6" t="s">
        <v>30</v>
      </c>
      <c r="R43" s="4" t="s">
        <v>31</v>
      </c>
      <c r="S43" s="7" t="s">
        <v>32</v>
      </c>
      <c r="T43" s="5"/>
    </row>
    <row r="44" customFormat="false" ht="43.5" hidden="false" customHeight="true" outlineLevel="0" collapsed="false">
      <c r="A44" s="4" t="n">
        <v>43</v>
      </c>
      <c r="B44" s="6" t="s">
        <v>95</v>
      </c>
      <c r="C44" s="6" t="s">
        <v>233</v>
      </c>
      <c r="D44" s="6" t="s">
        <v>234</v>
      </c>
      <c r="E44" s="7" t="s">
        <v>21</v>
      </c>
      <c r="F44" s="6" t="s">
        <v>247</v>
      </c>
      <c r="G44" s="6" t="s">
        <v>248</v>
      </c>
      <c r="H44" s="6" t="s">
        <v>249</v>
      </c>
      <c r="I44" s="6" t="s">
        <v>250</v>
      </c>
      <c r="J44" s="6" t="s">
        <v>251</v>
      </c>
      <c r="K44" s="5"/>
      <c r="L44" s="4" t="s">
        <v>44</v>
      </c>
      <c r="M44" s="8" t="s">
        <v>28</v>
      </c>
      <c r="N44" s="9" t="s">
        <v>252</v>
      </c>
      <c r="O44" s="5"/>
      <c r="P44" s="5"/>
      <c r="Q44" s="6" t="s">
        <v>30</v>
      </c>
      <c r="R44" s="4" t="s">
        <v>31</v>
      </c>
      <c r="S44" s="7" t="s">
        <v>32</v>
      </c>
      <c r="T44" s="5"/>
    </row>
    <row r="45" customFormat="false" ht="29.25" hidden="false" customHeight="true" outlineLevel="0" collapsed="false">
      <c r="A45" s="4" t="n">
        <v>44</v>
      </c>
      <c r="B45" s="6" t="s">
        <v>95</v>
      </c>
      <c r="C45" s="6" t="s">
        <v>233</v>
      </c>
      <c r="D45" s="6" t="s">
        <v>234</v>
      </c>
      <c r="E45" s="7" t="s">
        <v>21</v>
      </c>
      <c r="F45" s="6" t="s">
        <v>253</v>
      </c>
      <c r="G45" s="6" t="s">
        <v>254</v>
      </c>
      <c r="H45" s="6" t="s">
        <v>255</v>
      </c>
      <c r="I45" s="6" t="s">
        <v>256</v>
      </c>
      <c r="J45" s="6" t="s">
        <v>257</v>
      </c>
      <c r="K45" s="5"/>
      <c r="L45" s="4" t="s">
        <v>62</v>
      </c>
      <c r="M45" s="8" t="s">
        <v>79</v>
      </c>
      <c r="N45" s="9" t="s">
        <v>252</v>
      </c>
      <c r="O45" s="5"/>
      <c r="P45" s="5"/>
      <c r="Q45" s="6" t="s">
        <v>30</v>
      </c>
      <c r="R45" s="4" t="s">
        <v>31</v>
      </c>
      <c r="S45" s="7" t="s">
        <v>32</v>
      </c>
      <c r="T45" s="5"/>
    </row>
    <row r="46" customFormat="false" ht="57.75" hidden="false" customHeight="true" outlineLevel="0" collapsed="false">
      <c r="A46" s="4" t="n">
        <v>45</v>
      </c>
      <c r="B46" s="6" t="s">
        <v>95</v>
      </c>
      <c r="C46" s="6" t="s">
        <v>233</v>
      </c>
      <c r="D46" s="6" t="s">
        <v>234</v>
      </c>
      <c r="E46" s="7" t="s">
        <v>21</v>
      </c>
      <c r="F46" s="6" t="s">
        <v>247</v>
      </c>
      <c r="G46" s="6" t="s">
        <v>258</v>
      </c>
      <c r="H46" s="6" t="s">
        <v>259</v>
      </c>
      <c r="I46" s="6" t="s">
        <v>260</v>
      </c>
      <c r="J46" s="6" t="s">
        <v>261</v>
      </c>
      <c r="K46" s="5"/>
      <c r="L46" s="4" t="s">
        <v>27</v>
      </c>
      <c r="M46" s="8" t="s">
        <v>28</v>
      </c>
      <c r="N46" s="9" t="s">
        <v>252</v>
      </c>
      <c r="O46" s="5"/>
      <c r="P46" s="5"/>
      <c r="Q46" s="6" t="s">
        <v>30</v>
      </c>
      <c r="R46" s="4" t="s">
        <v>31</v>
      </c>
      <c r="S46" s="7" t="s">
        <v>32</v>
      </c>
      <c r="T46" s="5"/>
    </row>
    <row r="47" customFormat="false" ht="29.25" hidden="false" customHeight="true" outlineLevel="0" collapsed="false">
      <c r="A47" s="4" t="n">
        <v>46</v>
      </c>
      <c r="B47" s="6" t="s">
        <v>95</v>
      </c>
      <c r="C47" s="6" t="s">
        <v>233</v>
      </c>
      <c r="D47" s="6" t="s">
        <v>234</v>
      </c>
      <c r="E47" s="7" t="s">
        <v>21</v>
      </c>
      <c r="F47" s="6" t="s">
        <v>262</v>
      </c>
      <c r="G47" s="6" t="s">
        <v>263</v>
      </c>
      <c r="H47" s="6" t="s">
        <v>264</v>
      </c>
      <c r="I47" s="6" t="s">
        <v>265</v>
      </c>
      <c r="J47" s="6" t="s">
        <v>266</v>
      </c>
      <c r="K47" s="5"/>
      <c r="L47" s="4" t="s">
        <v>44</v>
      </c>
      <c r="M47" s="8" t="s">
        <v>79</v>
      </c>
      <c r="N47" s="9" t="s">
        <v>246</v>
      </c>
      <c r="O47" s="5"/>
      <c r="P47" s="5"/>
      <c r="Q47" s="6" t="s">
        <v>30</v>
      </c>
      <c r="R47" s="4" t="s">
        <v>31</v>
      </c>
      <c r="S47" s="7" t="s">
        <v>32</v>
      </c>
      <c r="T47" s="5"/>
    </row>
    <row r="48" customFormat="false" ht="29.25" hidden="false" customHeight="true" outlineLevel="0" collapsed="false">
      <c r="A48" s="4" t="n">
        <v>47</v>
      </c>
      <c r="B48" s="6" t="s">
        <v>95</v>
      </c>
      <c r="C48" s="6" t="s">
        <v>233</v>
      </c>
      <c r="D48" s="6" t="s">
        <v>234</v>
      </c>
      <c r="E48" s="7" t="s">
        <v>21</v>
      </c>
      <c r="F48" s="6" t="s">
        <v>267</v>
      </c>
      <c r="G48" s="6" t="s">
        <v>268</v>
      </c>
      <c r="H48" s="6" t="s">
        <v>269</v>
      </c>
      <c r="I48" s="6" t="s">
        <v>270</v>
      </c>
      <c r="J48" s="6" t="s">
        <v>271</v>
      </c>
      <c r="K48" s="5"/>
      <c r="L48" s="4" t="s">
        <v>27</v>
      </c>
      <c r="M48" s="8" t="s">
        <v>129</v>
      </c>
      <c r="N48" s="9" t="s">
        <v>246</v>
      </c>
      <c r="O48" s="5"/>
      <c r="P48" s="5"/>
      <c r="Q48" s="6" t="s">
        <v>30</v>
      </c>
      <c r="R48" s="4" t="s">
        <v>31</v>
      </c>
      <c r="S48" s="7" t="s">
        <v>32</v>
      </c>
      <c r="T48" s="5"/>
    </row>
    <row r="49" customFormat="false" ht="29.25" hidden="false" customHeight="true" outlineLevel="0" collapsed="false">
      <c r="A49" s="4" t="n">
        <v>48</v>
      </c>
      <c r="B49" s="6" t="s">
        <v>95</v>
      </c>
      <c r="C49" s="6" t="s">
        <v>233</v>
      </c>
      <c r="D49" s="6" t="s">
        <v>234</v>
      </c>
      <c r="E49" s="7" t="s">
        <v>21</v>
      </c>
      <c r="F49" s="6" t="s">
        <v>272</v>
      </c>
      <c r="G49" s="6" t="s">
        <v>273</v>
      </c>
      <c r="H49" s="6" t="s">
        <v>274</v>
      </c>
      <c r="I49" s="6" t="s">
        <v>275</v>
      </c>
      <c r="J49" s="6" t="s">
        <v>78</v>
      </c>
      <c r="K49" s="5"/>
      <c r="L49" s="4" t="s">
        <v>44</v>
      </c>
      <c r="M49" s="8" t="s">
        <v>79</v>
      </c>
      <c r="N49" s="9" t="s">
        <v>246</v>
      </c>
      <c r="O49" s="5"/>
      <c r="P49" s="5"/>
      <c r="Q49" s="6" t="s">
        <v>30</v>
      </c>
      <c r="R49" s="4" t="s">
        <v>31</v>
      </c>
      <c r="S49" s="7" t="s">
        <v>32</v>
      </c>
      <c r="T49" s="5"/>
    </row>
    <row r="50" customFormat="false" ht="129" hidden="false" customHeight="true" outlineLevel="0" collapsed="false">
      <c r="A50" s="4" t="n">
        <v>49</v>
      </c>
      <c r="B50" s="6" t="s">
        <v>95</v>
      </c>
      <c r="C50" s="6" t="s">
        <v>233</v>
      </c>
      <c r="D50" s="6" t="s">
        <v>234</v>
      </c>
      <c r="E50" s="7" t="s">
        <v>21</v>
      </c>
      <c r="F50" s="6" t="s">
        <v>276</v>
      </c>
      <c r="G50" s="6" t="s">
        <v>277</v>
      </c>
      <c r="H50" s="6" t="s">
        <v>278</v>
      </c>
      <c r="I50" s="6" t="s">
        <v>279</v>
      </c>
      <c r="J50" s="6" t="s">
        <v>78</v>
      </c>
      <c r="K50" s="5"/>
      <c r="L50" s="4" t="s">
        <v>44</v>
      </c>
      <c r="M50" s="8" t="s">
        <v>28</v>
      </c>
      <c r="N50" s="9" t="s">
        <v>246</v>
      </c>
      <c r="O50" s="5"/>
      <c r="P50" s="5"/>
      <c r="Q50" s="6" t="s">
        <v>30</v>
      </c>
      <c r="R50" s="4" t="s">
        <v>31</v>
      </c>
      <c r="S50" s="7" t="s">
        <v>32</v>
      </c>
      <c r="T50" s="5"/>
    </row>
    <row r="51" customFormat="false" ht="29.25" hidden="false" customHeight="true" outlineLevel="0" collapsed="false">
      <c r="A51" s="4" t="n">
        <v>50</v>
      </c>
      <c r="B51" s="6" t="s">
        <v>95</v>
      </c>
      <c r="C51" s="6" t="s">
        <v>233</v>
      </c>
      <c r="D51" s="6" t="s">
        <v>234</v>
      </c>
      <c r="E51" s="7" t="s">
        <v>21</v>
      </c>
      <c r="F51" s="6" t="s">
        <v>280</v>
      </c>
      <c r="G51" s="6" t="s">
        <v>281</v>
      </c>
      <c r="H51" s="6" t="s">
        <v>282</v>
      </c>
      <c r="I51" s="6" t="s">
        <v>283</v>
      </c>
      <c r="J51" s="6" t="s">
        <v>284</v>
      </c>
      <c r="K51" s="5"/>
      <c r="L51" s="4" t="s">
        <v>44</v>
      </c>
      <c r="M51" s="8" t="s">
        <v>28</v>
      </c>
      <c r="N51" s="9" t="s">
        <v>246</v>
      </c>
      <c r="O51" s="5"/>
      <c r="P51" s="5"/>
      <c r="Q51" s="6" t="s">
        <v>30</v>
      </c>
      <c r="R51" s="4" t="s">
        <v>31</v>
      </c>
      <c r="S51" s="7" t="s">
        <v>32</v>
      </c>
      <c r="T51" s="5"/>
    </row>
    <row r="52" customFormat="false" ht="156.75" hidden="false" customHeight="true" outlineLevel="0" collapsed="false">
      <c r="A52" s="4" t="n">
        <v>51</v>
      </c>
      <c r="B52" s="6" t="s">
        <v>95</v>
      </c>
      <c r="C52" s="6" t="s">
        <v>233</v>
      </c>
      <c r="D52" s="6" t="s">
        <v>234</v>
      </c>
      <c r="E52" s="7" t="s">
        <v>21</v>
      </c>
      <c r="F52" s="6" t="s">
        <v>285</v>
      </c>
      <c r="G52" s="6" t="s">
        <v>286</v>
      </c>
      <c r="H52" s="6" t="s">
        <v>287</v>
      </c>
      <c r="I52" s="6" t="s">
        <v>288</v>
      </c>
      <c r="J52" s="6" t="s">
        <v>289</v>
      </c>
      <c r="K52" s="5"/>
      <c r="L52" s="4" t="s">
        <v>62</v>
      </c>
      <c r="M52" s="8" t="s">
        <v>28</v>
      </c>
      <c r="N52" s="9" t="s">
        <v>246</v>
      </c>
      <c r="O52" s="5"/>
      <c r="P52" s="5"/>
      <c r="Q52" s="6" t="s">
        <v>30</v>
      </c>
      <c r="R52" s="4" t="s">
        <v>31</v>
      </c>
      <c r="S52" s="7" t="s">
        <v>32</v>
      </c>
      <c r="T52" s="5"/>
    </row>
    <row r="53" customFormat="false" ht="129" hidden="false" customHeight="true" outlineLevel="0" collapsed="false">
      <c r="A53" s="4" t="n">
        <v>52</v>
      </c>
      <c r="B53" s="6" t="s">
        <v>95</v>
      </c>
      <c r="C53" s="6" t="s">
        <v>233</v>
      </c>
      <c r="D53" s="6" t="s">
        <v>234</v>
      </c>
      <c r="E53" s="7" t="s">
        <v>21</v>
      </c>
      <c r="F53" s="6" t="s">
        <v>276</v>
      </c>
      <c r="G53" s="6" t="s">
        <v>290</v>
      </c>
      <c r="H53" s="6" t="s">
        <v>291</v>
      </c>
      <c r="I53" s="6" t="s">
        <v>292</v>
      </c>
      <c r="J53" s="6" t="s">
        <v>78</v>
      </c>
      <c r="K53" s="5"/>
      <c r="L53" s="4" t="s">
        <v>44</v>
      </c>
      <c r="M53" s="8" t="s">
        <v>28</v>
      </c>
      <c r="N53" s="9" t="s">
        <v>246</v>
      </c>
      <c r="O53" s="5"/>
      <c r="P53" s="5"/>
      <c r="Q53" s="6" t="s">
        <v>30</v>
      </c>
      <c r="R53" s="4" t="s">
        <v>31</v>
      </c>
      <c r="S53" s="7" t="s">
        <v>32</v>
      </c>
      <c r="T53" s="5"/>
    </row>
    <row r="54" customFormat="false" ht="114.75" hidden="false" customHeight="true" outlineLevel="0" collapsed="false">
      <c r="A54" s="4" t="n">
        <v>53</v>
      </c>
      <c r="B54" s="6" t="s">
        <v>95</v>
      </c>
      <c r="C54" s="6" t="s">
        <v>233</v>
      </c>
      <c r="D54" s="6" t="s">
        <v>234</v>
      </c>
      <c r="E54" s="7" t="s">
        <v>21</v>
      </c>
      <c r="F54" s="6" t="s">
        <v>293</v>
      </c>
      <c r="G54" s="6" t="s">
        <v>294</v>
      </c>
      <c r="H54" s="6" t="s">
        <v>295</v>
      </c>
      <c r="I54" s="6" t="s">
        <v>296</v>
      </c>
      <c r="J54" s="6" t="s">
        <v>297</v>
      </c>
      <c r="K54" s="5"/>
      <c r="L54" s="4" t="s">
        <v>27</v>
      </c>
      <c r="M54" s="8" t="s">
        <v>28</v>
      </c>
      <c r="N54" s="9" t="s">
        <v>246</v>
      </c>
      <c r="O54" s="5"/>
      <c r="P54" s="5"/>
      <c r="Q54" s="6" t="s">
        <v>30</v>
      </c>
      <c r="R54" s="4" t="s">
        <v>31</v>
      </c>
      <c r="S54" s="7" t="s">
        <v>32</v>
      </c>
      <c r="T54" s="5"/>
    </row>
    <row r="55" customFormat="false" ht="29.25" hidden="false" customHeight="true" outlineLevel="0" collapsed="false">
      <c r="A55" s="4" t="n">
        <v>54</v>
      </c>
      <c r="B55" s="6" t="s">
        <v>95</v>
      </c>
      <c r="C55" s="6" t="s">
        <v>233</v>
      </c>
      <c r="D55" s="6" t="s">
        <v>234</v>
      </c>
      <c r="E55" s="7" t="s">
        <v>21</v>
      </c>
      <c r="F55" s="6" t="s">
        <v>298</v>
      </c>
      <c r="G55" s="6" t="s">
        <v>299</v>
      </c>
      <c r="H55" s="6" t="s">
        <v>300</v>
      </c>
      <c r="I55" s="6" t="s">
        <v>301</v>
      </c>
      <c r="J55" s="6" t="s">
        <v>302</v>
      </c>
      <c r="K55" s="5"/>
      <c r="L55" s="4" t="s">
        <v>44</v>
      </c>
      <c r="M55" s="8" t="s">
        <v>28</v>
      </c>
      <c r="N55" s="9" t="s">
        <v>252</v>
      </c>
      <c r="O55" s="5"/>
      <c r="P55" s="5"/>
      <c r="Q55" s="6" t="s">
        <v>30</v>
      </c>
      <c r="R55" s="4" t="s">
        <v>31</v>
      </c>
      <c r="S55" s="7" t="s">
        <v>32</v>
      </c>
      <c r="T55" s="5"/>
    </row>
    <row r="56" customFormat="false" ht="29.25" hidden="false" customHeight="true" outlineLevel="0" collapsed="false">
      <c r="A56" s="4" t="n">
        <v>55</v>
      </c>
      <c r="B56" s="6" t="s">
        <v>95</v>
      </c>
      <c r="C56" s="6" t="s">
        <v>233</v>
      </c>
      <c r="D56" s="6" t="s">
        <v>234</v>
      </c>
      <c r="E56" s="7" t="s">
        <v>21</v>
      </c>
      <c r="F56" s="6" t="s">
        <v>303</v>
      </c>
      <c r="G56" s="6" t="s">
        <v>304</v>
      </c>
      <c r="H56" s="6" t="s">
        <v>305</v>
      </c>
      <c r="I56" s="6" t="s">
        <v>306</v>
      </c>
      <c r="J56" s="6" t="s">
        <v>78</v>
      </c>
      <c r="K56" s="5"/>
      <c r="L56" s="4" t="s">
        <v>44</v>
      </c>
      <c r="M56" s="8" t="s">
        <v>79</v>
      </c>
      <c r="N56" s="9" t="s">
        <v>246</v>
      </c>
      <c r="O56" s="5"/>
      <c r="P56" s="5"/>
      <c r="Q56" s="6" t="s">
        <v>30</v>
      </c>
      <c r="R56" s="4" t="s">
        <v>31</v>
      </c>
      <c r="S56" s="7" t="s">
        <v>32</v>
      </c>
      <c r="T56" s="5"/>
    </row>
    <row r="57" customFormat="false" ht="29.25" hidden="false" customHeight="true" outlineLevel="0" collapsed="false">
      <c r="A57" s="4" t="n">
        <v>56</v>
      </c>
      <c r="B57" s="6" t="s">
        <v>95</v>
      </c>
      <c r="C57" s="6" t="s">
        <v>233</v>
      </c>
      <c r="D57" s="6" t="s">
        <v>234</v>
      </c>
      <c r="E57" s="7" t="s">
        <v>21</v>
      </c>
      <c r="F57" s="6" t="s">
        <v>307</v>
      </c>
      <c r="G57" s="6" t="s">
        <v>308</v>
      </c>
      <c r="H57" s="6" t="s">
        <v>309</v>
      </c>
      <c r="I57" s="6" t="s">
        <v>310</v>
      </c>
      <c r="J57" s="6" t="s">
        <v>311</v>
      </c>
      <c r="K57" s="5"/>
      <c r="L57" s="4" t="s">
        <v>27</v>
      </c>
      <c r="M57" s="8" t="s">
        <v>129</v>
      </c>
      <c r="N57" s="9" t="s">
        <v>246</v>
      </c>
      <c r="O57" s="5"/>
      <c r="P57" s="5"/>
      <c r="Q57" s="6" t="s">
        <v>30</v>
      </c>
      <c r="R57" s="4" t="s">
        <v>31</v>
      </c>
      <c r="S57" s="7" t="s">
        <v>32</v>
      </c>
      <c r="T57" s="5"/>
    </row>
    <row r="58" customFormat="false" ht="43.5" hidden="false" customHeight="true" outlineLevel="0" collapsed="false">
      <c r="A58" s="4" t="n">
        <v>57</v>
      </c>
      <c r="B58" s="6" t="s">
        <v>95</v>
      </c>
      <c r="C58" s="6" t="s">
        <v>233</v>
      </c>
      <c r="D58" s="6" t="s">
        <v>234</v>
      </c>
      <c r="E58" s="7" t="s">
        <v>21</v>
      </c>
      <c r="F58" s="6" t="s">
        <v>312</v>
      </c>
      <c r="G58" s="5" t="s">
        <v>313</v>
      </c>
      <c r="H58" s="5" t="s">
        <v>314</v>
      </c>
      <c r="I58" s="5" t="s">
        <v>315</v>
      </c>
      <c r="J58" s="5" t="s">
        <v>316</v>
      </c>
      <c r="K58" s="5"/>
      <c r="L58" s="4" t="s">
        <v>27</v>
      </c>
      <c r="M58" s="8" t="s">
        <v>28</v>
      </c>
      <c r="N58" s="9" t="s">
        <v>317</v>
      </c>
      <c r="O58" s="5"/>
      <c r="P58" s="5"/>
      <c r="Q58" s="6" t="s">
        <v>30</v>
      </c>
      <c r="R58" s="4" t="s">
        <v>31</v>
      </c>
      <c r="S58" s="7" t="s">
        <v>32</v>
      </c>
      <c r="T58" s="5"/>
    </row>
    <row r="59" customFormat="false" ht="29.25" hidden="false" customHeight="true" outlineLevel="0" collapsed="false">
      <c r="A59" s="4" t="n">
        <v>58</v>
      </c>
      <c r="B59" s="6" t="s">
        <v>95</v>
      </c>
      <c r="C59" s="6" t="s">
        <v>233</v>
      </c>
      <c r="D59" s="6" t="s">
        <v>234</v>
      </c>
      <c r="E59" s="7" t="s">
        <v>21</v>
      </c>
      <c r="F59" s="6" t="s">
        <v>318</v>
      </c>
      <c r="G59" s="6" t="s">
        <v>319</v>
      </c>
      <c r="H59" s="6" t="s">
        <v>320</v>
      </c>
      <c r="I59" s="6" t="s">
        <v>321</v>
      </c>
      <c r="J59" s="6" t="s">
        <v>322</v>
      </c>
      <c r="K59" s="5"/>
      <c r="L59" s="4" t="s">
        <v>44</v>
      </c>
      <c r="M59" s="8" t="s">
        <v>28</v>
      </c>
      <c r="N59" s="9" t="s">
        <v>317</v>
      </c>
      <c r="O59" s="5"/>
      <c r="P59" s="5"/>
      <c r="Q59" s="6" t="s">
        <v>30</v>
      </c>
      <c r="R59" s="4" t="s">
        <v>31</v>
      </c>
      <c r="S59" s="7" t="s">
        <v>32</v>
      </c>
      <c r="T59" s="5"/>
    </row>
    <row r="60" customFormat="false" ht="29.25" hidden="false" customHeight="true" outlineLevel="0" collapsed="false">
      <c r="A60" s="4" t="n">
        <v>59</v>
      </c>
      <c r="B60" s="6" t="s">
        <v>95</v>
      </c>
      <c r="C60" s="6" t="s">
        <v>233</v>
      </c>
      <c r="D60" s="6" t="s">
        <v>234</v>
      </c>
      <c r="E60" s="7" t="s">
        <v>21</v>
      </c>
      <c r="F60" s="6" t="s">
        <v>323</v>
      </c>
      <c r="G60" s="6" t="s">
        <v>324</v>
      </c>
      <c r="H60" s="6" t="s">
        <v>325</v>
      </c>
      <c r="I60" s="6" t="s">
        <v>326</v>
      </c>
      <c r="J60" s="6" t="s">
        <v>78</v>
      </c>
      <c r="K60" s="5"/>
      <c r="L60" s="4" t="s">
        <v>51</v>
      </c>
      <c r="M60" s="8" t="s">
        <v>79</v>
      </c>
      <c r="N60" s="9" t="s">
        <v>246</v>
      </c>
      <c r="O60" s="5"/>
      <c r="P60" s="5"/>
      <c r="Q60" s="6" t="s">
        <v>30</v>
      </c>
      <c r="R60" s="4" t="s">
        <v>31</v>
      </c>
      <c r="S60" s="7" t="s">
        <v>32</v>
      </c>
      <c r="T60" s="5"/>
    </row>
    <row r="61" customFormat="false" ht="29.25" hidden="false" customHeight="true" outlineLevel="0" collapsed="false">
      <c r="A61" s="4" t="n">
        <v>60</v>
      </c>
      <c r="B61" s="6" t="s">
        <v>95</v>
      </c>
      <c r="C61" s="6" t="s">
        <v>233</v>
      </c>
      <c r="D61" s="6" t="s">
        <v>234</v>
      </c>
      <c r="E61" s="7" t="s">
        <v>21</v>
      </c>
      <c r="F61" s="6" t="s">
        <v>327</v>
      </c>
      <c r="G61" s="6" t="s">
        <v>328</v>
      </c>
      <c r="H61" s="6" t="s">
        <v>329</v>
      </c>
      <c r="I61" s="6" t="s">
        <v>330</v>
      </c>
      <c r="J61" s="6" t="s">
        <v>78</v>
      </c>
      <c r="K61" s="5"/>
      <c r="L61" s="4" t="s">
        <v>44</v>
      </c>
      <c r="M61" s="8" t="s">
        <v>79</v>
      </c>
      <c r="N61" s="9" t="s">
        <v>246</v>
      </c>
      <c r="O61" s="5"/>
      <c r="P61" s="5"/>
      <c r="Q61" s="6" t="s">
        <v>30</v>
      </c>
      <c r="R61" s="4" t="s">
        <v>31</v>
      </c>
      <c r="S61" s="7" t="s">
        <v>32</v>
      </c>
      <c r="T61" s="5"/>
    </row>
    <row r="62" customFormat="false" ht="29.25" hidden="false" customHeight="true" outlineLevel="0" collapsed="false">
      <c r="A62" s="4" t="n">
        <v>61</v>
      </c>
      <c r="B62" s="6" t="s">
        <v>95</v>
      </c>
      <c r="C62" s="6" t="s">
        <v>233</v>
      </c>
      <c r="D62" s="6" t="s">
        <v>234</v>
      </c>
      <c r="E62" s="7" t="s">
        <v>21</v>
      </c>
      <c r="F62" s="6" t="s">
        <v>331</v>
      </c>
      <c r="G62" s="6" t="s">
        <v>332</v>
      </c>
      <c r="H62" s="6" t="s">
        <v>333</v>
      </c>
      <c r="I62" s="6" t="s">
        <v>334</v>
      </c>
      <c r="J62" s="6" t="s">
        <v>335</v>
      </c>
      <c r="K62" s="5"/>
      <c r="L62" s="4" t="s">
        <v>27</v>
      </c>
      <c r="M62" s="8" t="s">
        <v>129</v>
      </c>
      <c r="N62" s="9" t="s">
        <v>246</v>
      </c>
      <c r="O62" s="5"/>
      <c r="P62" s="5"/>
      <c r="Q62" s="6" t="s">
        <v>30</v>
      </c>
      <c r="R62" s="4" t="s">
        <v>31</v>
      </c>
      <c r="S62" s="7" t="s">
        <v>32</v>
      </c>
      <c r="T62" s="5"/>
    </row>
    <row r="63" customFormat="false" ht="29.25" hidden="false" customHeight="true" outlineLevel="0" collapsed="false">
      <c r="A63" s="4" t="n">
        <v>62</v>
      </c>
      <c r="B63" s="6" t="s">
        <v>95</v>
      </c>
      <c r="C63" s="6" t="s">
        <v>233</v>
      </c>
      <c r="D63" s="6" t="s">
        <v>234</v>
      </c>
      <c r="E63" s="7" t="s">
        <v>21</v>
      </c>
      <c r="F63" s="6" t="s">
        <v>336</v>
      </c>
      <c r="G63" s="6" t="s">
        <v>332</v>
      </c>
      <c r="H63" s="6" t="s">
        <v>333</v>
      </c>
      <c r="I63" s="6" t="s">
        <v>334</v>
      </c>
      <c r="J63" s="6" t="s">
        <v>335</v>
      </c>
      <c r="K63" s="5"/>
      <c r="L63" s="4" t="s">
        <v>44</v>
      </c>
      <c r="M63" s="8" t="s">
        <v>129</v>
      </c>
      <c r="N63" s="9" t="s">
        <v>246</v>
      </c>
      <c r="O63" s="5"/>
      <c r="P63" s="5"/>
      <c r="Q63" s="6" t="s">
        <v>30</v>
      </c>
      <c r="R63" s="4" t="s">
        <v>31</v>
      </c>
      <c r="S63" s="7" t="s">
        <v>32</v>
      </c>
      <c r="T63" s="5"/>
    </row>
    <row r="64" customFormat="false" ht="29.25" hidden="false" customHeight="true" outlineLevel="0" collapsed="false">
      <c r="A64" s="4" t="n">
        <v>63</v>
      </c>
      <c r="B64" s="6" t="s">
        <v>95</v>
      </c>
      <c r="C64" s="6" t="s">
        <v>233</v>
      </c>
      <c r="D64" s="6" t="s">
        <v>234</v>
      </c>
      <c r="E64" s="7" t="s">
        <v>21</v>
      </c>
      <c r="F64" s="6" t="s">
        <v>337</v>
      </c>
      <c r="G64" s="5" t="s">
        <v>338</v>
      </c>
      <c r="H64" s="5" t="s">
        <v>339</v>
      </c>
      <c r="I64" s="5" t="s">
        <v>340</v>
      </c>
      <c r="J64" s="5" t="s">
        <v>341</v>
      </c>
      <c r="K64" s="5"/>
      <c r="L64" s="4" t="s">
        <v>51</v>
      </c>
      <c r="M64" s="8" t="s">
        <v>28</v>
      </c>
      <c r="N64" s="9" t="s">
        <v>246</v>
      </c>
      <c r="O64" s="5"/>
      <c r="P64" s="5"/>
      <c r="Q64" s="6" t="s">
        <v>30</v>
      </c>
      <c r="R64" s="4" t="s">
        <v>31</v>
      </c>
      <c r="S64" s="7" t="s">
        <v>32</v>
      </c>
      <c r="T64" s="5"/>
    </row>
    <row r="65" customFormat="false" ht="29.25" hidden="false" customHeight="true" outlineLevel="0" collapsed="false">
      <c r="A65" s="4" t="n">
        <v>64</v>
      </c>
      <c r="B65" s="6" t="s">
        <v>95</v>
      </c>
      <c r="C65" s="6" t="s">
        <v>233</v>
      </c>
      <c r="D65" s="6" t="s">
        <v>234</v>
      </c>
      <c r="E65" s="7" t="s">
        <v>21</v>
      </c>
      <c r="F65" s="6" t="s">
        <v>342</v>
      </c>
      <c r="G65" s="6" t="s">
        <v>332</v>
      </c>
      <c r="H65" s="6" t="s">
        <v>333</v>
      </c>
      <c r="I65" s="6" t="s">
        <v>334</v>
      </c>
      <c r="J65" s="6" t="s">
        <v>335</v>
      </c>
      <c r="K65" s="5"/>
      <c r="L65" s="4" t="s">
        <v>62</v>
      </c>
      <c r="M65" s="8" t="s">
        <v>129</v>
      </c>
      <c r="N65" s="9" t="s">
        <v>246</v>
      </c>
      <c r="O65" s="5"/>
      <c r="P65" s="5"/>
      <c r="Q65" s="6" t="s">
        <v>30</v>
      </c>
      <c r="R65" s="4" t="s">
        <v>31</v>
      </c>
      <c r="S65" s="7" t="s">
        <v>32</v>
      </c>
      <c r="T65" s="5"/>
    </row>
    <row r="66" customFormat="false" ht="29.25" hidden="false" customHeight="true" outlineLevel="0" collapsed="false">
      <c r="A66" s="4" t="n">
        <v>65</v>
      </c>
      <c r="B66" s="6" t="s">
        <v>95</v>
      </c>
      <c r="C66" s="6" t="s">
        <v>233</v>
      </c>
      <c r="D66" s="6" t="s">
        <v>234</v>
      </c>
      <c r="E66" s="7" t="s">
        <v>21</v>
      </c>
      <c r="F66" s="6" t="s">
        <v>343</v>
      </c>
      <c r="G66" s="6" t="s">
        <v>332</v>
      </c>
      <c r="H66" s="6" t="s">
        <v>333</v>
      </c>
      <c r="I66" s="6" t="s">
        <v>334</v>
      </c>
      <c r="J66" s="6" t="s">
        <v>335</v>
      </c>
      <c r="K66" s="5"/>
      <c r="L66" s="4" t="s">
        <v>51</v>
      </c>
      <c r="M66" s="8" t="s">
        <v>129</v>
      </c>
      <c r="N66" s="9" t="s">
        <v>246</v>
      </c>
      <c r="O66" s="5"/>
      <c r="P66" s="5"/>
      <c r="Q66" s="6" t="s">
        <v>30</v>
      </c>
      <c r="R66" s="4" t="s">
        <v>31</v>
      </c>
      <c r="S66" s="7" t="s">
        <v>32</v>
      </c>
      <c r="T66" s="5"/>
    </row>
    <row r="67" customFormat="false" ht="29.25" hidden="false" customHeight="true" outlineLevel="0" collapsed="false">
      <c r="A67" s="4" t="n">
        <v>66</v>
      </c>
      <c r="B67" s="6" t="s">
        <v>95</v>
      </c>
      <c r="C67" s="6" t="s">
        <v>233</v>
      </c>
      <c r="D67" s="6" t="s">
        <v>234</v>
      </c>
      <c r="E67" s="7" t="s">
        <v>21</v>
      </c>
      <c r="F67" s="6" t="s">
        <v>344</v>
      </c>
      <c r="G67" s="6" t="s">
        <v>345</v>
      </c>
      <c r="H67" s="6" t="s">
        <v>346</v>
      </c>
      <c r="I67" s="6" t="s">
        <v>320</v>
      </c>
      <c r="J67" s="6" t="s">
        <v>78</v>
      </c>
      <c r="K67" s="5"/>
      <c r="L67" s="4" t="s">
        <v>51</v>
      </c>
      <c r="M67" s="8" t="s">
        <v>79</v>
      </c>
      <c r="N67" s="9" t="s">
        <v>317</v>
      </c>
      <c r="O67" s="5"/>
      <c r="P67" s="5"/>
      <c r="Q67" s="6" t="s">
        <v>30</v>
      </c>
      <c r="R67" s="4" t="s">
        <v>31</v>
      </c>
      <c r="S67" s="7" t="s">
        <v>32</v>
      </c>
      <c r="T67" s="5"/>
    </row>
    <row r="68" customFormat="false" ht="29.25" hidden="false" customHeight="true" outlineLevel="0" collapsed="false">
      <c r="A68" s="4" t="n">
        <v>67</v>
      </c>
      <c r="B68" s="6" t="s">
        <v>95</v>
      </c>
      <c r="C68" s="6" t="s">
        <v>233</v>
      </c>
      <c r="D68" s="6" t="s">
        <v>234</v>
      </c>
      <c r="E68" s="7" t="s">
        <v>21</v>
      </c>
      <c r="F68" s="6" t="s">
        <v>347</v>
      </c>
      <c r="G68" s="5" t="s">
        <v>348</v>
      </c>
      <c r="H68" s="5" t="s">
        <v>49</v>
      </c>
      <c r="I68" s="5" t="s">
        <v>349</v>
      </c>
      <c r="J68" s="6" t="s">
        <v>350</v>
      </c>
      <c r="K68" s="5"/>
      <c r="L68" s="4" t="s">
        <v>27</v>
      </c>
      <c r="M68" s="8" t="s">
        <v>79</v>
      </c>
      <c r="N68" s="9" t="s">
        <v>252</v>
      </c>
      <c r="O68" s="5"/>
      <c r="P68" s="5"/>
      <c r="Q68" s="6" t="s">
        <v>30</v>
      </c>
      <c r="R68" s="4" t="s">
        <v>31</v>
      </c>
      <c r="S68" s="7" t="s">
        <v>32</v>
      </c>
      <c r="T68" s="5"/>
    </row>
    <row r="69" customFormat="false" ht="29.25" hidden="false" customHeight="true" outlineLevel="0" collapsed="false">
      <c r="A69" s="4" t="n">
        <v>68</v>
      </c>
      <c r="B69" s="6" t="s">
        <v>95</v>
      </c>
      <c r="C69" s="6" t="s">
        <v>233</v>
      </c>
      <c r="D69" s="6" t="s">
        <v>234</v>
      </c>
      <c r="E69" s="7" t="s">
        <v>21</v>
      </c>
      <c r="F69" s="6" t="s">
        <v>351</v>
      </c>
      <c r="G69" s="6" t="s">
        <v>352</v>
      </c>
      <c r="H69" s="6" t="s">
        <v>353</v>
      </c>
      <c r="I69" s="6" t="s">
        <v>354</v>
      </c>
      <c r="J69" s="6" t="s">
        <v>355</v>
      </c>
      <c r="K69" s="5"/>
      <c r="L69" s="4" t="s">
        <v>51</v>
      </c>
      <c r="M69" s="8" t="s">
        <v>79</v>
      </c>
      <c r="N69" s="9" t="s">
        <v>246</v>
      </c>
      <c r="O69" s="5"/>
      <c r="P69" s="5"/>
      <c r="Q69" s="6" t="s">
        <v>30</v>
      </c>
      <c r="R69" s="4" t="s">
        <v>31</v>
      </c>
      <c r="S69" s="7" t="s">
        <v>32</v>
      </c>
      <c r="T69" s="5"/>
    </row>
    <row r="70" customFormat="false" ht="100.5" hidden="false" customHeight="true" outlineLevel="0" collapsed="false">
      <c r="A70" s="4" t="n">
        <v>69</v>
      </c>
      <c r="B70" s="6" t="s">
        <v>95</v>
      </c>
      <c r="C70" s="6" t="s">
        <v>233</v>
      </c>
      <c r="D70" s="6" t="s">
        <v>234</v>
      </c>
      <c r="E70" s="7" t="s">
        <v>21</v>
      </c>
      <c r="F70" s="6" t="s">
        <v>356</v>
      </c>
      <c r="G70" s="6" t="s">
        <v>357</v>
      </c>
      <c r="H70" s="6" t="s">
        <v>358</v>
      </c>
      <c r="I70" s="6" t="s">
        <v>359</v>
      </c>
      <c r="J70" s="6" t="s">
        <v>360</v>
      </c>
      <c r="K70" s="5"/>
      <c r="L70" s="4" t="s">
        <v>62</v>
      </c>
      <c r="M70" s="8" t="s">
        <v>28</v>
      </c>
      <c r="N70" s="9" t="s">
        <v>246</v>
      </c>
      <c r="O70" s="5"/>
      <c r="P70" s="5"/>
      <c r="Q70" s="6" t="s">
        <v>30</v>
      </c>
      <c r="R70" s="4" t="s">
        <v>31</v>
      </c>
      <c r="S70" s="7" t="s">
        <v>32</v>
      </c>
      <c r="T70" s="5"/>
    </row>
    <row r="71" customFormat="false" ht="86.25" hidden="false" customHeight="true" outlineLevel="0" collapsed="false">
      <c r="A71" s="4" t="n">
        <v>70</v>
      </c>
      <c r="B71" s="6" t="s">
        <v>95</v>
      </c>
      <c r="C71" s="6" t="s">
        <v>233</v>
      </c>
      <c r="D71" s="6" t="s">
        <v>234</v>
      </c>
      <c r="E71" s="7" t="s">
        <v>21</v>
      </c>
      <c r="F71" s="6" t="s">
        <v>361</v>
      </c>
      <c r="G71" s="6" t="s">
        <v>362</v>
      </c>
      <c r="H71" s="6" t="s">
        <v>363</v>
      </c>
      <c r="I71" s="6" t="s">
        <v>364</v>
      </c>
      <c r="J71" s="6" t="s">
        <v>365</v>
      </c>
      <c r="K71" s="5"/>
      <c r="L71" s="4" t="s">
        <v>27</v>
      </c>
      <c r="M71" s="8" t="s">
        <v>28</v>
      </c>
      <c r="N71" s="9" t="s">
        <v>252</v>
      </c>
      <c r="O71" s="5"/>
      <c r="P71" s="5"/>
      <c r="Q71" s="6" t="s">
        <v>30</v>
      </c>
      <c r="R71" s="4" t="s">
        <v>31</v>
      </c>
      <c r="S71" s="7" t="s">
        <v>32</v>
      </c>
      <c r="T71" s="5"/>
    </row>
    <row r="72" customFormat="false" ht="57.75" hidden="false" customHeight="true" outlineLevel="0" collapsed="false">
      <c r="A72" s="4" t="n">
        <v>71</v>
      </c>
      <c r="B72" s="6" t="s">
        <v>95</v>
      </c>
      <c r="C72" s="6" t="s">
        <v>233</v>
      </c>
      <c r="D72" s="6" t="s">
        <v>234</v>
      </c>
      <c r="E72" s="7" t="s">
        <v>21</v>
      </c>
      <c r="F72" s="6" t="s">
        <v>366</v>
      </c>
      <c r="G72" s="6" t="s">
        <v>367</v>
      </c>
      <c r="H72" s="6" t="s">
        <v>368</v>
      </c>
      <c r="I72" s="6" t="s">
        <v>369</v>
      </c>
      <c r="J72" s="6" t="s">
        <v>370</v>
      </c>
      <c r="K72" s="5"/>
      <c r="L72" s="4" t="s">
        <v>51</v>
      </c>
      <c r="M72" s="8" t="s">
        <v>28</v>
      </c>
      <c r="N72" s="9" t="s">
        <v>371</v>
      </c>
      <c r="O72" s="5"/>
      <c r="P72" s="5"/>
      <c r="Q72" s="6" t="s">
        <v>30</v>
      </c>
      <c r="R72" s="4" t="s">
        <v>31</v>
      </c>
      <c r="S72" s="7" t="s">
        <v>32</v>
      </c>
      <c r="T72" s="5"/>
    </row>
    <row r="73" customFormat="false" ht="57.75" hidden="false" customHeight="true" outlineLevel="0" collapsed="false">
      <c r="A73" s="4" t="n">
        <v>72</v>
      </c>
      <c r="B73" s="6" t="s">
        <v>95</v>
      </c>
      <c r="C73" s="6" t="s">
        <v>233</v>
      </c>
      <c r="D73" s="6" t="s">
        <v>234</v>
      </c>
      <c r="E73" s="7" t="s">
        <v>21</v>
      </c>
      <c r="F73" s="6" t="s">
        <v>372</v>
      </c>
      <c r="G73" s="6" t="s">
        <v>373</v>
      </c>
      <c r="H73" s="6" t="s">
        <v>374</v>
      </c>
      <c r="I73" s="6" t="s">
        <v>375</v>
      </c>
      <c r="J73" s="6" t="s">
        <v>376</v>
      </c>
      <c r="K73" s="5"/>
      <c r="L73" s="4" t="s">
        <v>44</v>
      </c>
      <c r="M73" s="8" t="s">
        <v>28</v>
      </c>
      <c r="N73" s="9" t="s">
        <v>240</v>
      </c>
      <c r="O73" s="5"/>
      <c r="P73" s="5"/>
      <c r="Q73" s="6" t="s">
        <v>30</v>
      </c>
      <c r="R73" s="4" t="s">
        <v>31</v>
      </c>
      <c r="S73" s="7" t="s">
        <v>32</v>
      </c>
      <c r="T73" s="5"/>
    </row>
    <row r="74" customFormat="false" ht="114.75" hidden="false" customHeight="true" outlineLevel="0" collapsed="false">
      <c r="A74" s="4" t="n">
        <v>73</v>
      </c>
      <c r="B74" s="6" t="s">
        <v>95</v>
      </c>
      <c r="C74" s="6" t="s">
        <v>233</v>
      </c>
      <c r="D74" s="6" t="s">
        <v>234</v>
      </c>
      <c r="E74" s="7" t="s">
        <v>21</v>
      </c>
      <c r="F74" s="6" t="s">
        <v>356</v>
      </c>
      <c r="G74" s="6" t="s">
        <v>377</v>
      </c>
      <c r="H74" s="6" t="s">
        <v>378</v>
      </c>
      <c r="I74" s="6" t="s">
        <v>379</v>
      </c>
      <c r="J74" s="6" t="s">
        <v>380</v>
      </c>
      <c r="K74" s="5"/>
      <c r="L74" s="4" t="s">
        <v>51</v>
      </c>
      <c r="M74" s="8" t="s">
        <v>28</v>
      </c>
      <c r="N74" s="9" t="s">
        <v>246</v>
      </c>
      <c r="O74" s="5"/>
      <c r="P74" s="5"/>
      <c r="Q74" s="6" t="s">
        <v>30</v>
      </c>
      <c r="R74" s="4" t="s">
        <v>31</v>
      </c>
      <c r="S74" s="7" t="s">
        <v>32</v>
      </c>
      <c r="T74" s="5"/>
    </row>
    <row r="75" customFormat="false" ht="86.25" hidden="false" customHeight="true" outlineLevel="0" collapsed="false">
      <c r="A75" s="4" t="n">
        <v>74</v>
      </c>
      <c r="B75" s="6" t="s">
        <v>95</v>
      </c>
      <c r="C75" s="6" t="s">
        <v>233</v>
      </c>
      <c r="D75" s="6" t="s">
        <v>234</v>
      </c>
      <c r="E75" s="7" t="s">
        <v>21</v>
      </c>
      <c r="F75" s="6" t="s">
        <v>356</v>
      </c>
      <c r="G75" s="6" t="s">
        <v>381</v>
      </c>
      <c r="H75" s="6" t="s">
        <v>382</v>
      </c>
      <c r="I75" s="6" t="s">
        <v>383</v>
      </c>
      <c r="J75" s="6" t="s">
        <v>384</v>
      </c>
      <c r="K75" s="5"/>
      <c r="L75" s="4" t="s">
        <v>51</v>
      </c>
      <c r="M75" s="8" t="s">
        <v>28</v>
      </c>
      <c r="N75" s="9" t="s">
        <v>246</v>
      </c>
      <c r="O75" s="5"/>
      <c r="P75" s="5"/>
      <c r="Q75" s="6" t="s">
        <v>30</v>
      </c>
      <c r="R75" s="4" t="s">
        <v>31</v>
      </c>
      <c r="S75" s="7" t="s">
        <v>32</v>
      </c>
      <c r="T75" s="5"/>
    </row>
    <row r="76" customFormat="false" ht="72" hidden="false" customHeight="true" outlineLevel="0" collapsed="false">
      <c r="A76" s="4" t="n">
        <v>75</v>
      </c>
      <c r="B76" s="6" t="s">
        <v>95</v>
      </c>
      <c r="C76" s="6" t="s">
        <v>233</v>
      </c>
      <c r="D76" s="6" t="s">
        <v>234</v>
      </c>
      <c r="E76" s="7" t="s">
        <v>21</v>
      </c>
      <c r="F76" s="6" t="s">
        <v>385</v>
      </c>
      <c r="G76" s="6" t="s">
        <v>386</v>
      </c>
      <c r="H76" s="6" t="s">
        <v>387</v>
      </c>
      <c r="I76" s="6" t="s">
        <v>388</v>
      </c>
      <c r="J76" s="6" t="s">
        <v>389</v>
      </c>
      <c r="K76" s="5"/>
      <c r="L76" s="4" t="s">
        <v>62</v>
      </c>
      <c r="M76" s="8" t="s">
        <v>28</v>
      </c>
      <c r="N76" s="9" t="s">
        <v>246</v>
      </c>
      <c r="O76" s="5"/>
      <c r="P76" s="5"/>
      <c r="Q76" s="6" t="s">
        <v>30</v>
      </c>
      <c r="R76" s="4" t="s">
        <v>31</v>
      </c>
      <c r="S76" s="7" t="s">
        <v>32</v>
      </c>
      <c r="T76" s="5"/>
    </row>
    <row r="77" customFormat="false" ht="57.75" hidden="false" customHeight="true" outlineLevel="0" collapsed="false">
      <c r="A77" s="4" t="n">
        <v>76</v>
      </c>
      <c r="B77" s="6" t="s">
        <v>95</v>
      </c>
      <c r="C77" s="6" t="s">
        <v>233</v>
      </c>
      <c r="D77" s="6" t="s">
        <v>234</v>
      </c>
      <c r="E77" s="7" t="s">
        <v>21</v>
      </c>
      <c r="F77" s="6" t="s">
        <v>390</v>
      </c>
      <c r="G77" s="6" t="s">
        <v>391</v>
      </c>
      <c r="H77" s="6" t="s">
        <v>392</v>
      </c>
      <c r="I77" s="6" t="s">
        <v>393</v>
      </c>
      <c r="J77" s="6" t="s">
        <v>394</v>
      </c>
      <c r="K77" s="5"/>
      <c r="L77" s="4" t="s">
        <v>51</v>
      </c>
      <c r="M77" s="8" t="s">
        <v>79</v>
      </c>
      <c r="N77" s="9" t="s">
        <v>246</v>
      </c>
      <c r="O77" s="5"/>
      <c r="P77" s="5"/>
      <c r="Q77" s="6" t="s">
        <v>30</v>
      </c>
      <c r="R77" s="4" t="s">
        <v>31</v>
      </c>
      <c r="S77" s="7" t="s">
        <v>32</v>
      </c>
      <c r="T77" s="5"/>
    </row>
    <row r="78" customFormat="false" ht="43.5" hidden="false" customHeight="true" outlineLevel="0" collapsed="false">
      <c r="A78" s="4" t="n">
        <v>77</v>
      </c>
      <c r="B78" s="6" t="s">
        <v>95</v>
      </c>
      <c r="C78" s="6" t="s">
        <v>233</v>
      </c>
      <c r="D78" s="6" t="s">
        <v>234</v>
      </c>
      <c r="E78" s="7" t="s">
        <v>21</v>
      </c>
      <c r="F78" s="6" t="s">
        <v>395</v>
      </c>
      <c r="G78" s="6" t="s">
        <v>396</v>
      </c>
      <c r="H78" s="6" t="s">
        <v>397</v>
      </c>
      <c r="I78" s="6" t="s">
        <v>398</v>
      </c>
      <c r="J78" s="6" t="s">
        <v>399</v>
      </c>
      <c r="K78" s="5"/>
      <c r="L78" s="4" t="s">
        <v>62</v>
      </c>
      <c r="M78" s="8" t="s">
        <v>28</v>
      </c>
      <c r="N78" s="9" t="s">
        <v>246</v>
      </c>
      <c r="O78" s="5"/>
      <c r="P78" s="5"/>
      <c r="Q78" s="6" t="s">
        <v>30</v>
      </c>
      <c r="R78" s="4" t="s">
        <v>31</v>
      </c>
      <c r="S78" s="7" t="s">
        <v>32</v>
      </c>
      <c r="T78" s="5"/>
    </row>
    <row r="79" customFormat="false" ht="43.5" hidden="false" customHeight="true" outlineLevel="0" collapsed="false">
      <c r="A79" s="4" t="n">
        <v>78</v>
      </c>
      <c r="B79" s="6" t="s">
        <v>95</v>
      </c>
      <c r="C79" s="6" t="s">
        <v>233</v>
      </c>
      <c r="D79" s="6" t="s">
        <v>234</v>
      </c>
      <c r="E79" s="7" t="s">
        <v>21</v>
      </c>
      <c r="F79" s="6" t="s">
        <v>356</v>
      </c>
      <c r="G79" s="6" t="s">
        <v>400</v>
      </c>
      <c r="H79" s="6" t="s">
        <v>401</v>
      </c>
      <c r="I79" s="6" t="s">
        <v>402</v>
      </c>
      <c r="J79" s="6" t="s">
        <v>403</v>
      </c>
      <c r="K79" s="5"/>
      <c r="L79" s="4" t="s">
        <v>51</v>
      </c>
      <c r="M79" s="8" t="s">
        <v>79</v>
      </c>
      <c r="N79" s="9" t="s">
        <v>246</v>
      </c>
      <c r="O79" s="5"/>
      <c r="P79" s="5"/>
      <c r="Q79" s="6" t="s">
        <v>30</v>
      </c>
      <c r="R79" s="4" t="s">
        <v>31</v>
      </c>
      <c r="S79" s="7" t="s">
        <v>32</v>
      </c>
      <c r="T79" s="5"/>
    </row>
    <row r="80" customFormat="false" ht="57.75" hidden="false" customHeight="true" outlineLevel="0" collapsed="false">
      <c r="A80" s="4" t="n">
        <v>79</v>
      </c>
      <c r="B80" s="6" t="s">
        <v>95</v>
      </c>
      <c r="C80" s="6" t="s">
        <v>233</v>
      </c>
      <c r="D80" s="6" t="s">
        <v>234</v>
      </c>
      <c r="E80" s="7" t="s">
        <v>21</v>
      </c>
      <c r="F80" s="6" t="s">
        <v>356</v>
      </c>
      <c r="G80" s="6" t="s">
        <v>404</v>
      </c>
      <c r="H80" s="6" t="s">
        <v>405</v>
      </c>
      <c r="I80" s="6" t="s">
        <v>406</v>
      </c>
      <c r="J80" s="6" t="s">
        <v>407</v>
      </c>
      <c r="K80" s="5"/>
      <c r="L80" s="4" t="s">
        <v>62</v>
      </c>
      <c r="M80" s="8" t="s">
        <v>79</v>
      </c>
      <c r="N80" s="9" t="s">
        <v>246</v>
      </c>
      <c r="O80" s="5"/>
      <c r="P80" s="5"/>
      <c r="Q80" s="6" t="s">
        <v>30</v>
      </c>
      <c r="R80" s="4" t="s">
        <v>31</v>
      </c>
      <c r="S80" s="7" t="s">
        <v>32</v>
      </c>
      <c r="T80" s="5"/>
    </row>
    <row r="81" customFormat="false" ht="100.5" hidden="false" customHeight="true" outlineLevel="0" collapsed="false">
      <c r="A81" s="4" t="n">
        <v>80</v>
      </c>
      <c r="B81" s="6" t="s">
        <v>95</v>
      </c>
      <c r="C81" s="6" t="s">
        <v>233</v>
      </c>
      <c r="D81" s="6" t="s">
        <v>234</v>
      </c>
      <c r="E81" s="7" t="s">
        <v>21</v>
      </c>
      <c r="F81" s="6" t="s">
        <v>293</v>
      </c>
      <c r="G81" s="6" t="s">
        <v>408</v>
      </c>
      <c r="H81" s="6" t="s">
        <v>409</v>
      </c>
      <c r="I81" s="6" t="s">
        <v>410</v>
      </c>
      <c r="J81" s="6" t="s">
        <v>411</v>
      </c>
      <c r="K81" s="5"/>
      <c r="L81" s="4" t="s">
        <v>27</v>
      </c>
      <c r="M81" s="8" t="s">
        <v>28</v>
      </c>
      <c r="N81" s="9" t="s">
        <v>246</v>
      </c>
      <c r="O81" s="5"/>
      <c r="P81" s="5"/>
      <c r="Q81" s="6" t="s">
        <v>30</v>
      </c>
      <c r="R81" s="4" t="s">
        <v>31</v>
      </c>
      <c r="S81" s="7" t="s">
        <v>32</v>
      </c>
      <c r="T81" s="5"/>
    </row>
    <row r="82" customFormat="false" ht="114.75" hidden="false" customHeight="true" outlineLevel="0" collapsed="false">
      <c r="A82" s="4" t="n">
        <v>81</v>
      </c>
      <c r="B82" s="6" t="s">
        <v>95</v>
      </c>
      <c r="C82" s="6" t="s">
        <v>233</v>
      </c>
      <c r="D82" s="6" t="s">
        <v>234</v>
      </c>
      <c r="E82" s="7" t="s">
        <v>21</v>
      </c>
      <c r="F82" s="6" t="s">
        <v>293</v>
      </c>
      <c r="G82" s="6" t="s">
        <v>412</v>
      </c>
      <c r="H82" s="6" t="s">
        <v>413</v>
      </c>
      <c r="I82" s="6" t="s">
        <v>414</v>
      </c>
      <c r="J82" s="6" t="s">
        <v>415</v>
      </c>
      <c r="K82" s="5"/>
      <c r="L82" s="4" t="s">
        <v>62</v>
      </c>
      <c r="M82" s="8" t="s">
        <v>28</v>
      </c>
      <c r="N82" s="9" t="s">
        <v>246</v>
      </c>
      <c r="O82" s="5"/>
      <c r="P82" s="5"/>
      <c r="Q82" s="6" t="s">
        <v>30</v>
      </c>
      <c r="R82" s="4" t="s">
        <v>31</v>
      </c>
      <c r="S82" s="7" t="s">
        <v>32</v>
      </c>
      <c r="T82" s="5"/>
    </row>
    <row r="83" customFormat="false" ht="86.25" hidden="false" customHeight="true" outlineLevel="0" collapsed="false">
      <c r="A83" s="4" t="n">
        <v>82</v>
      </c>
      <c r="B83" s="6" t="s">
        <v>95</v>
      </c>
      <c r="C83" s="6" t="s">
        <v>233</v>
      </c>
      <c r="D83" s="6" t="s">
        <v>234</v>
      </c>
      <c r="E83" s="7" t="s">
        <v>21</v>
      </c>
      <c r="F83" s="6" t="s">
        <v>416</v>
      </c>
      <c r="G83" s="6" t="s">
        <v>417</v>
      </c>
      <c r="H83" s="6" t="s">
        <v>418</v>
      </c>
      <c r="I83" s="6" t="s">
        <v>419</v>
      </c>
      <c r="J83" s="6" t="s">
        <v>420</v>
      </c>
      <c r="K83" s="5"/>
      <c r="L83" s="4" t="s">
        <v>51</v>
      </c>
      <c r="M83" s="8" t="s">
        <v>28</v>
      </c>
      <c r="N83" s="9" t="s">
        <v>252</v>
      </c>
      <c r="O83" s="5"/>
      <c r="P83" s="5"/>
      <c r="Q83" s="6" t="s">
        <v>30</v>
      </c>
      <c r="R83" s="4" t="s">
        <v>31</v>
      </c>
      <c r="S83" s="7" t="s">
        <v>32</v>
      </c>
      <c r="T83" s="5"/>
    </row>
    <row r="84" customFormat="false" ht="57.75" hidden="false" customHeight="true" outlineLevel="0" collapsed="false">
      <c r="A84" s="4" t="n">
        <v>83</v>
      </c>
      <c r="B84" s="6" t="s">
        <v>95</v>
      </c>
      <c r="C84" s="6" t="s">
        <v>233</v>
      </c>
      <c r="D84" s="6" t="s">
        <v>234</v>
      </c>
      <c r="E84" s="7" t="s">
        <v>21</v>
      </c>
      <c r="F84" s="6" t="s">
        <v>421</v>
      </c>
      <c r="G84" s="6" t="s">
        <v>422</v>
      </c>
      <c r="H84" s="6" t="s">
        <v>423</v>
      </c>
      <c r="I84" s="6" t="s">
        <v>424</v>
      </c>
      <c r="J84" s="6" t="s">
        <v>425</v>
      </c>
      <c r="K84" s="5"/>
      <c r="L84" s="4" t="s">
        <v>44</v>
      </c>
      <c r="M84" s="8" t="s">
        <v>28</v>
      </c>
      <c r="N84" s="9" t="s">
        <v>252</v>
      </c>
      <c r="O84" s="5"/>
      <c r="P84" s="5"/>
      <c r="Q84" s="6" t="s">
        <v>30</v>
      </c>
      <c r="R84" s="4" t="s">
        <v>31</v>
      </c>
      <c r="S84" s="7" t="s">
        <v>32</v>
      </c>
      <c r="T84" s="5"/>
    </row>
    <row r="85" customFormat="false" ht="72" hidden="false" customHeight="true" outlineLevel="0" collapsed="false">
      <c r="A85" s="4" t="n">
        <v>84</v>
      </c>
      <c r="B85" s="6" t="s">
        <v>95</v>
      </c>
      <c r="C85" s="6" t="s">
        <v>233</v>
      </c>
      <c r="D85" s="6" t="s">
        <v>234</v>
      </c>
      <c r="E85" s="7" t="s">
        <v>21</v>
      </c>
      <c r="F85" s="6" t="s">
        <v>426</v>
      </c>
      <c r="G85" s="6" t="s">
        <v>427</v>
      </c>
      <c r="H85" s="6" t="s">
        <v>428</v>
      </c>
      <c r="I85" s="6" t="s">
        <v>429</v>
      </c>
      <c r="J85" s="6" t="s">
        <v>430</v>
      </c>
      <c r="K85" s="5"/>
      <c r="L85" s="4" t="s">
        <v>44</v>
      </c>
      <c r="M85" s="8" t="s">
        <v>28</v>
      </c>
      <c r="N85" s="9" t="s">
        <v>252</v>
      </c>
      <c r="O85" s="5"/>
      <c r="P85" s="5"/>
      <c r="Q85" s="6" t="s">
        <v>30</v>
      </c>
      <c r="R85" s="4" t="s">
        <v>31</v>
      </c>
      <c r="S85" s="7" t="s">
        <v>32</v>
      </c>
      <c r="T85" s="5"/>
    </row>
    <row r="86" customFormat="false" ht="86.25" hidden="false" customHeight="true" outlineLevel="0" collapsed="false">
      <c r="A86" s="4" t="n">
        <v>85</v>
      </c>
      <c r="B86" s="6" t="s">
        <v>95</v>
      </c>
      <c r="C86" s="6" t="s">
        <v>233</v>
      </c>
      <c r="D86" s="6" t="s">
        <v>234</v>
      </c>
      <c r="E86" s="7" t="s">
        <v>21</v>
      </c>
      <c r="F86" s="6" t="s">
        <v>431</v>
      </c>
      <c r="G86" s="6" t="s">
        <v>432</v>
      </c>
      <c r="H86" s="6" t="s">
        <v>433</v>
      </c>
      <c r="I86" s="6" t="s">
        <v>434</v>
      </c>
      <c r="J86" s="6" t="s">
        <v>435</v>
      </c>
      <c r="K86" s="5"/>
      <c r="L86" s="4" t="s">
        <v>62</v>
      </c>
      <c r="M86" s="8" t="s">
        <v>28</v>
      </c>
      <c r="N86" s="9" t="s">
        <v>436</v>
      </c>
      <c r="O86" s="5"/>
      <c r="P86" s="5"/>
      <c r="Q86" s="6" t="s">
        <v>30</v>
      </c>
      <c r="R86" s="4" t="s">
        <v>31</v>
      </c>
      <c r="S86" s="7" t="s">
        <v>32</v>
      </c>
      <c r="T86" s="5"/>
    </row>
    <row r="87" customFormat="false" ht="57.75" hidden="false" customHeight="true" outlineLevel="0" collapsed="false">
      <c r="A87" s="4" t="n">
        <v>86</v>
      </c>
      <c r="B87" s="6" t="s">
        <v>95</v>
      </c>
      <c r="C87" s="6" t="s">
        <v>233</v>
      </c>
      <c r="D87" s="6" t="s">
        <v>234</v>
      </c>
      <c r="E87" s="7" t="s">
        <v>21</v>
      </c>
      <c r="F87" s="6" t="s">
        <v>437</v>
      </c>
      <c r="G87" s="6" t="s">
        <v>438</v>
      </c>
      <c r="H87" s="6" t="s">
        <v>439</v>
      </c>
      <c r="I87" s="6" t="s">
        <v>440</v>
      </c>
      <c r="J87" s="6" t="s">
        <v>441</v>
      </c>
      <c r="K87" s="5"/>
      <c r="L87" s="4" t="s">
        <v>27</v>
      </c>
      <c r="M87" s="8" t="s">
        <v>28</v>
      </c>
      <c r="N87" s="9" t="s">
        <v>246</v>
      </c>
      <c r="O87" s="5"/>
      <c r="P87" s="5"/>
      <c r="Q87" s="6" t="s">
        <v>30</v>
      </c>
      <c r="R87" s="4" t="s">
        <v>31</v>
      </c>
      <c r="S87" s="7" t="s">
        <v>32</v>
      </c>
      <c r="T87" s="5"/>
    </row>
    <row r="88" customFormat="false" ht="57.75" hidden="false" customHeight="true" outlineLevel="0" collapsed="false">
      <c r="A88" s="4" t="n">
        <v>87</v>
      </c>
      <c r="B88" s="6" t="s">
        <v>95</v>
      </c>
      <c r="C88" s="6" t="s">
        <v>233</v>
      </c>
      <c r="D88" s="6" t="s">
        <v>234</v>
      </c>
      <c r="E88" s="7" t="s">
        <v>21</v>
      </c>
      <c r="F88" s="6" t="s">
        <v>442</v>
      </c>
      <c r="G88" s="6" t="s">
        <v>443</v>
      </c>
      <c r="H88" s="6" t="s">
        <v>444</v>
      </c>
      <c r="I88" s="6" t="s">
        <v>445</v>
      </c>
      <c r="J88" s="6" t="s">
        <v>446</v>
      </c>
      <c r="K88" s="5"/>
      <c r="L88" s="4" t="s">
        <v>62</v>
      </c>
      <c r="M88" s="8" t="s">
        <v>28</v>
      </c>
      <c r="N88" s="9" t="s">
        <v>447</v>
      </c>
      <c r="O88" s="5"/>
      <c r="P88" s="5"/>
      <c r="Q88" s="6" t="s">
        <v>30</v>
      </c>
      <c r="R88" s="4" t="s">
        <v>31</v>
      </c>
      <c r="S88" s="7" t="s">
        <v>32</v>
      </c>
      <c r="T88" s="5"/>
    </row>
    <row r="89" customFormat="false" ht="100.5" hidden="false" customHeight="true" outlineLevel="0" collapsed="false">
      <c r="A89" s="4" t="n">
        <v>88</v>
      </c>
      <c r="B89" s="6" t="s">
        <v>95</v>
      </c>
      <c r="C89" s="6" t="s">
        <v>233</v>
      </c>
      <c r="D89" s="6" t="s">
        <v>234</v>
      </c>
      <c r="E89" s="7" t="s">
        <v>21</v>
      </c>
      <c r="F89" s="6" t="s">
        <v>448</v>
      </c>
      <c r="G89" s="6" t="s">
        <v>449</v>
      </c>
      <c r="H89" s="6" t="s">
        <v>450</v>
      </c>
      <c r="I89" s="6" t="s">
        <v>451</v>
      </c>
      <c r="J89" s="6" t="s">
        <v>452</v>
      </c>
      <c r="K89" s="5"/>
      <c r="L89" s="4" t="s">
        <v>44</v>
      </c>
      <c r="M89" s="8" t="s">
        <v>28</v>
      </c>
      <c r="N89" s="9" t="s">
        <v>453</v>
      </c>
      <c r="O89" s="5"/>
      <c r="P89" s="5"/>
      <c r="Q89" s="6" t="s">
        <v>30</v>
      </c>
      <c r="R89" s="4" t="s">
        <v>31</v>
      </c>
      <c r="S89" s="7" t="s">
        <v>32</v>
      </c>
      <c r="T89" s="5"/>
    </row>
    <row r="90" customFormat="false" ht="72" hidden="false" customHeight="true" outlineLevel="0" collapsed="false">
      <c r="A90" s="4" t="n">
        <v>89</v>
      </c>
      <c r="B90" s="6" t="s">
        <v>95</v>
      </c>
      <c r="C90" s="6" t="s">
        <v>233</v>
      </c>
      <c r="D90" s="6" t="s">
        <v>234</v>
      </c>
      <c r="E90" s="7" t="s">
        <v>21</v>
      </c>
      <c r="F90" s="6" t="s">
        <v>454</v>
      </c>
      <c r="G90" s="6" t="s">
        <v>455</v>
      </c>
      <c r="H90" s="6" t="s">
        <v>456</v>
      </c>
      <c r="I90" s="6" t="s">
        <v>457</v>
      </c>
      <c r="J90" s="6" t="s">
        <v>458</v>
      </c>
      <c r="K90" s="5"/>
      <c r="L90" s="4" t="s">
        <v>27</v>
      </c>
      <c r="M90" s="8" t="s">
        <v>28</v>
      </c>
      <c r="N90" s="9" t="s">
        <v>246</v>
      </c>
      <c r="O90" s="5"/>
      <c r="P90" s="5"/>
      <c r="Q90" s="6" t="s">
        <v>30</v>
      </c>
      <c r="R90" s="4" t="s">
        <v>31</v>
      </c>
      <c r="S90" s="7" t="s">
        <v>32</v>
      </c>
      <c r="T90" s="5"/>
    </row>
    <row r="91" customFormat="false" ht="57.75" hidden="false" customHeight="true" outlineLevel="0" collapsed="false">
      <c r="A91" s="4" t="n">
        <v>90</v>
      </c>
      <c r="B91" s="6" t="s">
        <v>95</v>
      </c>
      <c r="C91" s="6" t="s">
        <v>233</v>
      </c>
      <c r="D91" s="6" t="s">
        <v>234</v>
      </c>
      <c r="E91" s="7" t="s">
        <v>21</v>
      </c>
      <c r="F91" s="6" t="s">
        <v>459</v>
      </c>
      <c r="G91" s="6" t="s">
        <v>460</v>
      </c>
      <c r="H91" s="6" t="s">
        <v>461</v>
      </c>
      <c r="I91" s="6" t="s">
        <v>462</v>
      </c>
      <c r="J91" s="6" t="s">
        <v>463</v>
      </c>
      <c r="K91" s="5"/>
      <c r="L91" s="4" t="s">
        <v>62</v>
      </c>
      <c r="M91" s="8" t="s">
        <v>28</v>
      </c>
      <c r="N91" s="9" t="s">
        <v>246</v>
      </c>
      <c r="O91" s="5"/>
      <c r="P91" s="5"/>
      <c r="Q91" s="6" t="s">
        <v>30</v>
      </c>
      <c r="R91" s="4" t="s">
        <v>31</v>
      </c>
      <c r="S91" s="7" t="s">
        <v>32</v>
      </c>
      <c r="T91" s="5"/>
    </row>
    <row r="92" customFormat="false" ht="72" hidden="false" customHeight="true" outlineLevel="0" collapsed="false">
      <c r="A92" s="4" t="n">
        <v>91</v>
      </c>
      <c r="B92" s="6" t="s">
        <v>95</v>
      </c>
      <c r="C92" s="6" t="s">
        <v>233</v>
      </c>
      <c r="D92" s="6" t="s">
        <v>234</v>
      </c>
      <c r="E92" s="7" t="s">
        <v>21</v>
      </c>
      <c r="F92" s="6" t="s">
        <v>464</v>
      </c>
      <c r="G92" s="6" t="s">
        <v>465</v>
      </c>
      <c r="H92" s="6" t="s">
        <v>466</v>
      </c>
      <c r="I92" s="6" t="s">
        <v>467</v>
      </c>
      <c r="J92" s="6" t="s">
        <v>468</v>
      </c>
      <c r="K92" s="5"/>
      <c r="L92" s="4" t="s">
        <v>51</v>
      </c>
      <c r="M92" s="8" t="s">
        <v>28</v>
      </c>
      <c r="N92" s="9" t="s">
        <v>246</v>
      </c>
      <c r="O92" s="5"/>
      <c r="P92" s="5"/>
      <c r="Q92" s="6" t="s">
        <v>30</v>
      </c>
      <c r="R92" s="4" t="s">
        <v>31</v>
      </c>
      <c r="S92" s="7" t="s">
        <v>32</v>
      </c>
      <c r="T92" s="5"/>
    </row>
    <row r="93" customFormat="false" ht="57.75" hidden="false" customHeight="true" outlineLevel="0" collapsed="false">
      <c r="A93" s="4" t="n">
        <v>92</v>
      </c>
      <c r="B93" s="6" t="s">
        <v>95</v>
      </c>
      <c r="C93" s="6" t="s">
        <v>233</v>
      </c>
      <c r="D93" s="6" t="s">
        <v>234</v>
      </c>
      <c r="E93" s="7" t="s">
        <v>21</v>
      </c>
      <c r="F93" s="6" t="s">
        <v>469</v>
      </c>
      <c r="G93" s="6" t="s">
        <v>470</v>
      </c>
      <c r="H93" s="6" t="s">
        <v>471</v>
      </c>
      <c r="I93" s="6" t="s">
        <v>472</v>
      </c>
      <c r="J93" s="6" t="s">
        <v>473</v>
      </c>
      <c r="K93" s="5"/>
      <c r="L93" s="4" t="s">
        <v>44</v>
      </c>
      <c r="M93" s="8" t="s">
        <v>28</v>
      </c>
      <c r="N93" s="9" t="s">
        <v>246</v>
      </c>
      <c r="O93" s="5"/>
      <c r="P93" s="5"/>
      <c r="Q93" s="6" t="s">
        <v>30</v>
      </c>
      <c r="R93" s="4" t="s">
        <v>31</v>
      </c>
      <c r="S93" s="7" t="s">
        <v>32</v>
      </c>
      <c r="T93" s="5"/>
    </row>
    <row r="94" customFormat="false" ht="86.25" hidden="false" customHeight="true" outlineLevel="0" collapsed="false">
      <c r="A94" s="4" t="n">
        <v>93</v>
      </c>
      <c r="B94" s="6" t="s">
        <v>95</v>
      </c>
      <c r="C94" s="6" t="s">
        <v>233</v>
      </c>
      <c r="D94" s="6" t="s">
        <v>234</v>
      </c>
      <c r="E94" s="7" t="s">
        <v>21</v>
      </c>
      <c r="F94" s="6" t="s">
        <v>474</v>
      </c>
      <c r="G94" s="6" t="s">
        <v>475</v>
      </c>
      <c r="H94" s="6" t="s">
        <v>476</v>
      </c>
      <c r="I94" s="6" t="s">
        <v>477</v>
      </c>
      <c r="J94" s="6" t="s">
        <v>478</v>
      </c>
      <c r="K94" s="5"/>
      <c r="L94" s="4" t="s">
        <v>51</v>
      </c>
      <c r="M94" s="8" t="s">
        <v>28</v>
      </c>
      <c r="N94" s="9" t="s">
        <v>246</v>
      </c>
      <c r="O94" s="5"/>
      <c r="P94" s="5"/>
      <c r="Q94" s="6" t="s">
        <v>30</v>
      </c>
      <c r="R94" s="4" t="s">
        <v>31</v>
      </c>
      <c r="S94" s="7" t="s">
        <v>32</v>
      </c>
      <c r="T94" s="5"/>
    </row>
    <row r="95" customFormat="false" ht="57.75" hidden="false" customHeight="true" outlineLevel="0" collapsed="false">
      <c r="A95" s="4" t="n">
        <v>94</v>
      </c>
      <c r="B95" s="6" t="s">
        <v>95</v>
      </c>
      <c r="C95" s="6" t="s">
        <v>233</v>
      </c>
      <c r="D95" s="6" t="s">
        <v>234</v>
      </c>
      <c r="E95" s="7" t="s">
        <v>21</v>
      </c>
      <c r="F95" s="6" t="s">
        <v>479</v>
      </c>
      <c r="G95" s="6" t="s">
        <v>480</v>
      </c>
      <c r="H95" s="6" t="s">
        <v>481</v>
      </c>
      <c r="I95" s="6" t="s">
        <v>482</v>
      </c>
      <c r="J95" s="6" t="s">
        <v>483</v>
      </c>
      <c r="K95" s="5"/>
      <c r="L95" s="4" t="s">
        <v>27</v>
      </c>
      <c r="M95" s="8" t="s">
        <v>28</v>
      </c>
      <c r="N95" s="9" t="s">
        <v>246</v>
      </c>
      <c r="O95" s="5"/>
      <c r="P95" s="5"/>
      <c r="Q95" s="6" t="s">
        <v>30</v>
      </c>
      <c r="R95" s="4" t="s">
        <v>31</v>
      </c>
      <c r="S95" s="7" t="s">
        <v>32</v>
      </c>
      <c r="T95" s="5"/>
    </row>
    <row r="96" customFormat="false" ht="43.5" hidden="false" customHeight="true" outlineLevel="0" collapsed="false">
      <c r="A96" s="4" t="n">
        <v>95</v>
      </c>
      <c r="B96" s="6" t="s">
        <v>95</v>
      </c>
      <c r="C96" s="6" t="s">
        <v>233</v>
      </c>
      <c r="D96" s="6" t="s">
        <v>234</v>
      </c>
      <c r="E96" s="7" t="s">
        <v>21</v>
      </c>
      <c r="F96" s="6" t="s">
        <v>484</v>
      </c>
      <c r="G96" s="6" t="s">
        <v>485</v>
      </c>
      <c r="H96" s="6" t="s">
        <v>486</v>
      </c>
      <c r="I96" s="6" t="s">
        <v>487</v>
      </c>
      <c r="J96" s="6" t="s">
        <v>488</v>
      </c>
      <c r="K96" s="5"/>
      <c r="L96" s="4" t="s">
        <v>51</v>
      </c>
      <c r="M96" s="8" t="s">
        <v>28</v>
      </c>
      <c r="N96" s="9" t="s">
        <v>246</v>
      </c>
      <c r="O96" s="5"/>
      <c r="P96" s="5"/>
      <c r="Q96" s="6" t="s">
        <v>30</v>
      </c>
      <c r="R96" s="4" t="s">
        <v>31</v>
      </c>
      <c r="S96" s="7" t="s">
        <v>32</v>
      </c>
      <c r="T96" s="5"/>
    </row>
    <row r="97" customFormat="false" ht="86.25" hidden="false" customHeight="true" outlineLevel="0" collapsed="false">
      <c r="A97" s="4" t="n">
        <v>96</v>
      </c>
      <c r="B97" s="6" t="s">
        <v>95</v>
      </c>
      <c r="C97" s="6" t="s">
        <v>233</v>
      </c>
      <c r="D97" s="6" t="s">
        <v>234</v>
      </c>
      <c r="E97" s="7" t="s">
        <v>21</v>
      </c>
      <c r="F97" s="6" t="s">
        <v>489</v>
      </c>
      <c r="G97" s="6" t="s">
        <v>490</v>
      </c>
      <c r="H97" s="6" t="s">
        <v>491</v>
      </c>
      <c r="I97" s="6" t="s">
        <v>492</v>
      </c>
      <c r="J97" s="6" t="s">
        <v>493</v>
      </c>
      <c r="K97" s="5"/>
      <c r="L97" s="4" t="s">
        <v>44</v>
      </c>
      <c r="M97" s="8" t="s">
        <v>28</v>
      </c>
      <c r="N97" s="9" t="s">
        <v>240</v>
      </c>
      <c r="O97" s="5"/>
      <c r="P97" s="5"/>
      <c r="Q97" s="6" t="s">
        <v>30</v>
      </c>
      <c r="R97" s="4" t="s">
        <v>31</v>
      </c>
      <c r="S97" s="7" t="s">
        <v>32</v>
      </c>
      <c r="T97" s="5"/>
    </row>
    <row r="98" customFormat="false" ht="72" hidden="false" customHeight="true" outlineLevel="0" collapsed="false">
      <c r="A98" s="4" t="n">
        <v>97</v>
      </c>
      <c r="B98" s="6" t="s">
        <v>95</v>
      </c>
      <c r="C98" s="6" t="s">
        <v>233</v>
      </c>
      <c r="D98" s="6" t="s">
        <v>234</v>
      </c>
      <c r="E98" s="7" t="s">
        <v>21</v>
      </c>
      <c r="F98" s="6" t="s">
        <v>494</v>
      </c>
      <c r="G98" s="6" t="s">
        <v>495</v>
      </c>
      <c r="H98" s="6" t="s">
        <v>496</v>
      </c>
      <c r="I98" s="6" t="s">
        <v>497</v>
      </c>
      <c r="J98" s="6" t="s">
        <v>498</v>
      </c>
      <c r="K98" s="5"/>
      <c r="L98" s="4" t="s">
        <v>62</v>
      </c>
      <c r="M98" s="8" t="s">
        <v>28</v>
      </c>
      <c r="N98" s="9" t="s">
        <v>246</v>
      </c>
      <c r="O98" s="5"/>
      <c r="P98" s="5"/>
      <c r="Q98" s="6" t="s">
        <v>30</v>
      </c>
      <c r="R98" s="4" t="s">
        <v>31</v>
      </c>
      <c r="S98" s="7" t="s">
        <v>32</v>
      </c>
      <c r="T98" s="5"/>
    </row>
    <row r="99" customFormat="false" ht="57.75" hidden="false" customHeight="true" outlineLevel="0" collapsed="false">
      <c r="A99" s="4" t="n">
        <v>98</v>
      </c>
      <c r="B99" s="6" t="s">
        <v>95</v>
      </c>
      <c r="C99" s="6" t="s">
        <v>233</v>
      </c>
      <c r="D99" s="6" t="s">
        <v>234</v>
      </c>
      <c r="E99" s="7" t="s">
        <v>21</v>
      </c>
      <c r="F99" s="6" t="s">
        <v>499</v>
      </c>
      <c r="G99" s="6" t="s">
        <v>500</v>
      </c>
      <c r="H99" s="6" t="s">
        <v>501</v>
      </c>
      <c r="I99" s="6" t="s">
        <v>502</v>
      </c>
      <c r="J99" s="6" t="s">
        <v>503</v>
      </c>
      <c r="K99" s="5"/>
      <c r="L99" s="4" t="s">
        <v>44</v>
      </c>
      <c r="M99" s="8" t="s">
        <v>28</v>
      </c>
      <c r="N99" s="9" t="s">
        <v>246</v>
      </c>
      <c r="O99" s="5"/>
      <c r="P99" s="5"/>
      <c r="Q99" s="6" t="s">
        <v>30</v>
      </c>
      <c r="R99" s="4" t="s">
        <v>31</v>
      </c>
      <c r="S99" s="7" t="s">
        <v>32</v>
      </c>
      <c r="T99" s="5"/>
    </row>
    <row r="100" customFormat="false" ht="86.25" hidden="false" customHeight="true" outlineLevel="0" collapsed="false">
      <c r="A100" s="4" t="n">
        <v>99</v>
      </c>
      <c r="B100" s="6" t="s">
        <v>95</v>
      </c>
      <c r="C100" s="6" t="s">
        <v>233</v>
      </c>
      <c r="D100" s="6" t="s">
        <v>234</v>
      </c>
      <c r="E100" s="7" t="s">
        <v>21</v>
      </c>
      <c r="F100" s="6" t="s">
        <v>504</v>
      </c>
      <c r="G100" s="6" t="s">
        <v>505</v>
      </c>
      <c r="H100" s="6" t="s">
        <v>506</v>
      </c>
      <c r="I100" s="6" t="s">
        <v>507</v>
      </c>
      <c r="J100" s="6" t="s">
        <v>508</v>
      </c>
      <c r="K100" s="5"/>
      <c r="L100" s="4" t="s">
        <v>27</v>
      </c>
      <c r="M100" s="8" t="s">
        <v>28</v>
      </c>
      <c r="N100" s="9" t="s">
        <v>252</v>
      </c>
      <c r="O100" s="5"/>
      <c r="P100" s="5"/>
      <c r="Q100" s="6" t="s">
        <v>30</v>
      </c>
      <c r="R100" s="4" t="s">
        <v>31</v>
      </c>
      <c r="S100" s="7" t="s">
        <v>32</v>
      </c>
      <c r="T100" s="5"/>
    </row>
    <row r="101" customFormat="false" ht="29.25" hidden="false" customHeight="true" outlineLevel="0" collapsed="false">
      <c r="A101" s="4" t="n">
        <v>100</v>
      </c>
      <c r="B101" s="6" t="s">
        <v>95</v>
      </c>
      <c r="C101" s="6" t="s">
        <v>233</v>
      </c>
      <c r="D101" s="6" t="s">
        <v>234</v>
      </c>
      <c r="E101" s="7" t="s">
        <v>21</v>
      </c>
      <c r="F101" s="6" t="s">
        <v>509</v>
      </c>
      <c r="G101" s="5" t="s">
        <v>510</v>
      </c>
      <c r="H101" s="5" t="s">
        <v>511</v>
      </c>
      <c r="I101" s="5" t="s">
        <v>512</v>
      </c>
      <c r="J101" s="5" t="s">
        <v>513</v>
      </c>
      <c r="K101" s="5"/>
      <c r="L101" s="4" t="s">
        <v>62</v>
      </c>
      <c r="M101" s="8" t="s">
        <v>79</v>
      </c>
      <c r="N101" s="9" t="s">
        <v>246</v>
      </c>
      <c r="O101" s="5"/>
      <c r="P101" s="5"/>
      <c r="Q101" s="6" t="s">
        <v>30</v>
      </c>
      <c r="R101" s="4" t="s">
        <v>31</v>
      </c>
      <c r="S101" s="7" t="s">
        <v>32</v>
      </c>
      <c r="T101" s="5"/>
    </row>
    <row r="102" customFormat="false" ht="29.25" hidden="false" customHeight="true" outlineLevel="0" collapsed="false">
      <c r="A102" s="4" t="n">
        <v>101</v>
      </c>
      <c r="B102" s="6" t="s">
        <v>95</v>
      </c>
      <c r="C102" s="6" t="s">
        <v>233</v>
      </c>
      <c r="D102" s="6" t="s">
        <v>234</v>
      </c>
      <c r="E102" s="7" t="s">
        <v>21</v>
      </c>
      <c r="F102" s="6" t="s">
        <v>514</v>
      </c>
      <c r="G102" s="6" t="s">
        <v>515</v>
      </c>
      <c r="H102" s="6" t="s">
        <v>516</v>
      </c>
      <c r="I102" s="6" t="s">
        <v>517</v>
      </c>
      <c r="J102" s="6" t="s">
        <v>518</v>
      </c>
      <c r="K102" s="5"/>
      <c r="L102" s="4" t="s">
        <v>27</v>
      </c>
      <c r="M102" s="8" t="s">
        <v>129</v>
      </c>
      <c r="N102" s="9" t="s">
        <v>246</v>
      </c>
      <c r="O102" s="5"/>
      <c r="P102" s="5"/>
      <c r="Q102" s="6" t="s">
        <v>30</v>
      </c>
      <c r="R102" s="4" t="s">
        <v>31</v>
      </c>
      <c r="S102" s="7" t="s">
        <v>32</v>
      </c>
      <c r="T102" s="5"/>
    </row>
    <row r="103" customFormat="false" ht="72" hidden="false" customHeight="true" outlineLevel="0" collapsed="false">
      <c r="A103" s="4" t="n">
        <v>102</v>
      </c>
      <c r="B103" s="6" t="s">
        <v>95</v>
      </c>
      <c r="C103" s="6" t="s">
        <v>233</v>
      </c>
      <c r="D103" s="6" t="s">
        <v>234</v>
      </c>
      <c r="E103" s="7" t="s">
        <v>21</v>
      </c>
      <c r="F103" s="6" t="s">
        <v>519</v>
      </c>
      <c r="G103" s="5" t="s">
        <v>520</v>
      </c>
      <c r="H103" s="5" t="s">
        <v>521</v>
      </c>
      <c r="I103" s="5" t="s">
        <v>522</v>
      </c>
      <c r="J103" s="5" t="s">
        <v>523</v>
      </c>
      <c r="K103" s="5"/>
      <c r="L103" s="4" t="s">
        <v>27</v>
      </c>
      <c r="M103" s="8" t="s">
        <v>28</v>
      </c>
      <c r="N103" s="9" t="s">
        <v>453</v>
      </c>
      <c r="O103" s="5"/>
      <c r="P103" s="5"/>
      <c r="Q103" s="6" t="s">
        <v>30</v>
      </c>
      <c r="R103" s="4" t="s">
        <v>31</v>
      </c>
      <c r="S103" s="7" t="s">
        <v>32</v>
      </c>
      <c r="T103" s="5"/>
    </row>
    <row r="104" customFormat="false" ht="29.25" hidden="false" customHeight="true" outlineLevel="0" collapsed="false">
      <c r="A104" s="4" t="n">
        <v>103</v>
      </c>
      <c r="B104" s="6" t="s">
        <v>95</v>
      </c>
      <c r="C104" s="6" t="s">
        <v>233</v>
      </c>
      <c r="D104" s="6" t="s">
        <v>234</v>
      </c>
      <c r="E104" s="7" t="s">
        <v>21</v>
      </c>
      <c r="F104" s="6" t="s">
        <v>524</v>
      </c>
      <c r="G104" s="6" t="s">
        <v>334</v>
      </c>
      <c r="H104" s="6" t="s">
        <v>335</v>
      </c>
      <c r="I104" s="6" t="s">
        <v>525</v>
      </c>
      <c r="J104" s="6" t="s">
        <v>526</v>
      </c>
      <c r="K104" s="5"/>
      <c r="L104" s="4" t="s">
        <v>44</v>
      </c>
      <c r="M104" s="8" t="s">
        <v>129</v>
      </c>
      <c r="N104" s="9" t="s">
        <v>246</v>
      </c>
      <c r="O104" s="5"/>
      <c r="P104" s="5"/>
      <c r="Q104" s="6" t="s">
        <v>30</v>
      </c>
      <c r="R104" s="4" t="s">
        <v>31</v>
      </c>
      <c r="S104" s="7" t="s">
        <v>32</v>
      </c>
      <c r="T104" s="5"/>
    </row>
    <row r="105" customFormat="false" ht="29.25" hidden="false" customHeight="true" outlineLevel="0" collapsed="false">
      <c r="A105" s="4" t="n">
        <v>104</v>
      </c>
      <c r="B105" s="6" t="s">
        <v>95</v>
      </c>
      <c r="C105" s="6" t="s">
        <v>233</v>
      </c>
      <c r="D105" s="6" t="s">
        <v>234</v>
      </c>
      <c r="E105" s="7" t="s">
        <v>21</v>
      </c>
      <c r="F105" s="6" t="s">
        <v>527</v>
      </c>
      <c r="G105" s="6" t="s">
        <v>332</v>
      </c>
      <c r="H105" s="6" t="s">
        <v>528</v>
      </c>
      <c r="I105" s="6" t="s">
        <v>333</v>
      </c>
      <c r="J105" s="6" t="s">
        <v>335</v>
      </c>
      <c r="K105" s="5"/>
      <c r="L105" s="4" t="s">
        <v>62</v>
      </c>
      <c r="M105" s="8" t="s">
        <v>129</v>
      </c>
      <c r="N105" s="9" t="s">
        <v>246</v>
      </c>
      <c r="O105" s="5"/>
      <c r="P105" s="5"/>
      <c r="Q105" s="6" t="s">
        <v>30</v>
      </c>
      <c r="R105" s="4" t="s">
        <v>31</v>
      </c>
      <c r="S105" s="7" t="s">
        <v>32</v>
      </c>
      <c r="T105" s="5"/>
    </row>
    <row r="106" customFormat="false" ht="43.5" hidden="false" customHeight="true" outlineLevel="0" collapsed="false">
      <c r="A106" s="4" t="n">
        <v>105</v>
      </c>
      <c r="B106" s="6" t="s">
        <v>95</v>
      </c>
      <c r="C106" s="6" t="s">
        <v>233</v>
      </c>
      <c r="D106" s="6" t="s">
        <v>234</v>
      </c>
      <c r="E106" s="7" t="s">
        <v>21</v>
      </c>
      <c r="F106" s="6" t="s">
        <v>529</v>
      </c>
      <c r="G106" s="6" t="s">
        <v>530</v>
      </c>
      <c r="H106" s="6" t="s">
        <v>531</v>
      </c>
      <c r="I106" s="6" t="s">
        <v>532</v>
      </c>
      <c r="J106" s="6" t="s">
        <v>533</v>
      </c>
      <c r="K106" s="5"/>
      <c r="L106" s="4" t="s">
        <v>62</v>
      </c>
      <c r="M106" s="8" t="s">
        <v>28</v>
      </c>
      <c r="N106" s="9" t="s">
        <v>246</v>
      </c>
      <c r="O106" s="5"/>
      <c r="P106" s="5"/>
      <c r="Q106" s="6" t="s">
        <v>30</v>
      </c>
      <c r="R106" s="4" t="s">
        <v>31</v>
      </c>
      <c r="S106" s="7" t="s">
        <v>32</v>
      </c>
      <c r="T106" s="5"/>
    </row>
    <row r="107" customFormat="false" ht="43.5" hidden="false" customHeight="true" outlineLevel="0" collapsed="false">
      <c r="A107" s="4" t="n">
        <v>106</v>
      </c>
      <c r="B107" s="6" t="s">
        <v>95</v>
      </c>
      <c r="C107" s="6" t="s">
        <v>233</v>
      </c>
      <c r="D107" s="6" t="s">
        <v>234</v>
      </c>
      <c r="E107" s="7" t="s">
        <v>21</v>
      </c>
      <c r="F107" s="6" t="s">
        <v>534</v>
      </c>
      <c r="G107" s="6" t="s">
        <v>535</v>
      </c>
      <c r="H107" s="6" t="s">
        <v>536</v>
      </c>
      <c r="I107" s="6" t="s">
        <v>213</v>
      </c>
      <c r="J107" s="6" t="s">
        <v>537</v>
      </c>
      <c r="K107" s="5"/>
      <c r="L107" s="4" t="s">
        <v>27</v>
      </c>
      <c r="M107" s="8" t="s">
        <v>79</v>
      </c>
      <c r="N107" s="9" t="s">
        <v>371</v>
      </c>
      <c r="O107" s="5"/>
      <c r="P107" s="5"/>
      <c r="Q107" s="6" t="s">
        <v>30</v>
      </c>
      <c r="R107" s="4" t="s">
        <v>31</v>
      </c>
      <c r="S107" s="7" t="s">
        <v>32</v>
      </c>
      <c r="T107" s="5"/>
    </row>
    <row r="108" customFormat="false" ht="29.25" hidden="false" customHeight="true" outlineLevel="0" collapsed="false">
      <c r="A108" s="4" t="n">
        <v>107</v>
      </c>
      <c r="B108" s="6" t="s">
        <v>95</v>
      </c>
      <c r="C108" s="6" t="s">
        <v>233</v>
      </c>
      <c r="D108" s="6" t="s">
        <v>234</v>
      </c>
      <c r="E108" s="7" t="s">
        <v>21</v>
      </c>
      <c r="F108" s="6" t="s">
        <v>538</v>
      </c>
      <c r="G108" s="6" t="s">
        <v>539</v>
      </c>
      <c r="H108" s="6" t="s">
        <v>540</v>
      </c>
      <c r="I108" s="6" t="s">
        <v>541</v>
      </c>
      <c r="J108" s="6" t="s">
        <v>542</v>
      </c>
      <c r="K108" s="5"/>
      <c r="L108" s="4" t="s">
        <v>44</v>
      </c>
      <c r="M108" s="8" t="s">
        <v>129</v>
      </c>
      <c r="N108" s="9" t="s">
        <v>246</v>
      </c>
      <c r="O108" s="5"/>
      <c r="P108" s="5"/>
      <c r="Q108" s="6" t="s">
        <v>30</v>
      </c>
      <c r="R108" s="4" t="s">
        <v>31</v>
      </c>
      <c r="S108" s="7" t="s">
        <v>32</v>
      </c>
      <c r="T108" s="5"/>
    </row>
    <row r="109" customFormat="false" ht="43.5" hidden="false" customHeight="true" outlineLevel="0" collapsed="false">
      <c r="A109" s="4" t="n">
        <v>108</v>
      </c>
      <c r="B109" s="6" t="s">
        <v>95</v>
      </c>
      <c r="C109" s="6" t="s">
        <v>233</v>
      </c>
      <c r="D109" s="6" t="s">
        <v>234</v>
      </c>
      <c r="E109" s="7" t="s">
        <v>21</v>
      </c>
      <c r="F109" s="6" t="s">
        <v>543</v>
      </c>
      <c r="G109" s="5" t="s">
        <v>544</v>
      </c>
      <c r="H109" s="5" t="s">
        <v>545</v>
      </c>
      <c r="I109" s="5" t="s">
        <v>546</v>
      </c>
      <c r="J109" s="5" t="s">
        <v>547</v>
      </c>
      <c r="K109" s="5"/>
      <c r="L109" s="4" t="s">
        <v>62</v>
      </c>
      <c r="M109" s="8" t="s">
        <v>79</v>
      </c>
      <c r="N109" s="9" t="s">
        <v>246</v>
      </c>
      <c r="O109" s="5"/>
      <c r="P109" s="5"/>
      <c r="Q109" s="6" t="s">
        <v>30</v>
      </c>
      <c r="R109" s="4" t="s">
        <v>31</v>
      </c>
      <c r="S109" s="7" t="s">
        <v>32</v>
      </c>
      <c r="T109" s="5"/>
    </row>
    <row r="110" customFormat="false" ht="43.5" hidden="false" customHeight="true" outlineLevel="0" collapsed="false">
      <c r="A110" s="4" t="n">
        <v>109</v>
      </c>
      <c r="B110" s="6" t="s">
        <v>95</v>
      </c>
      <c r="C110" s="6" t="s">
        <v>233</v>
      </c>
      <c r="D110" s="6" t="s">
        <v>234</v>
      </c>
      <c r="E110" s="7" t="s">
        <v>21</v>
      </c>
      <c r="F110" s="6" t="s">
        <v>548</v>
      </c>
      <c r="G110" s="6" t="s">
        <v>549</v>
      </c>
      <c r="H110" s="6" t="s">
        <v>550</v>
      </c>
      <c r="I110" s="6" t="s">
        <v>551</v>
      </c>
      <c r="J110" s="6" t="s">
        <v>552</v>
      </c>
      <c r="K110" s="5"/>
      <c r="L110" s="4" t="s">
        <v>51</v>
      </c>
      <c r="M110" s="8" t="s">
        <v>28</v>
      </c>
      <c r="N110" s="9" t="s">
        <v>246</v>
      </c>
      <c r="O110" s="5"/>
      <c r="P110" s="5"/>
      <c r="Q110" s="6" t="s">
        <v>30</v>
      </c>
      <c r="R110" s="4" t="s">
        <v>31</v>
      </c>
      <c r="S110" s="7" t="s">
        <v>32</v>
      </c>
      <c r="T110" s="5"/>
    </row>
    <row r="111" customFormat="false" ht="29.25" hidden="false" customHeight="true" outlineLevel="0" collapsed="false">
      <c r="A111" s="4" t="n">
        <v>110</v>
      </c>
      <c r="B111" s="6" t="s">
        <v>95</v>
      </c>
      <c r="C111" s="6" t="s">
        <v>233</v>
      </c>
      <c r="D111" s="6" t="s">
        <v>234</v>
      </c>
      <c r="E111" s="7" t="s">
        <v>21</v>
      </c>
      <c r="F111" s="6" t="s">
        <v>553</v>
      </c>
      <c r="G111" s="5" t="s">
        <v>554</v>
      </c>
      <c r="H111" s="5" t="s">
        <v>555</v>
      </c>
      <c r="I111" s="5" t="s">
        <v>556</v>
      </c>
      <c r="J111" s="6" t="s">
        <v>150</v>
      </c>
      <c r="K111" s="5"/>
      <c r="L111" s="4" t="s">
        <v>62</v>
      </c>
      <c r="M111" s="8" t="s">
        <v>28</v>
      </c>
      <c r="N111" s="9" t="s">
        <v>246</v>
      </c>
      <c r="O111" s="5"/>
      <c r="P111" s="5"/>
      <c r="Q111" s="6" t="s">
        <v>30</v>
      </c>
      <c r="R111" s="4" t="s">
        <v>31</v>
      </c>
      <c r="S111" s="7" t="s">
        <v>32</v>
      </c>
      <c r="T111" s="5"/>
    </row>
    <row r="112" customFormat="false" ht="29.25" hidden="false" customHeight="true" outlineLevel="0" collapsed="false">
      <c r="A112" s="4" t="n">
        <v>111</v>
      </c>
      <c r="B112" s="6" t="s">
        <v>95</v>
      </c>
      <c r="C112" s="6" t="s">
        <v>233</v>
      </c>
      <c r="D112" s="6" t="s">
        <v>234</v>
      </c>
      <c r="E112" s="7" t="s">
        <v>21</v>
      </c>
      <c r="F112" s="6" t="s">
        <v>557</v>
      </c>
      <c r="G112" s="6" t="s">
        <v>332</v>
      </c>
      <c r="H112" s="6" t="s">
        <v>558</v>
      </c>
      <c r="I112" s="6" t="s">
        <v>333</v>
      </c>
      <c r="J112" s="6" t="s">
        <v>335</v>
      </c>
      <c r="K112" s="5"/>
      <c r="L112" s="4" t="s">
        <v>44</v>
      </c>
      <c r="M112" s="8" t="s">
        <v>129</v>
      </c>
      <c r="N112" s="9" t="s">
        <v>246</v>
      </c>
      <c r="O112" s="5"/>
      <c r="P112" s="5"/>
      <c r="Q112" s="6" t="s">
        <v>30</v>
      </c>
      <c r="R112" s="4" t="s">
        <v>31</v>
      </c>
      <c r="S112" s="7" t="s">
        <v>32</v>
      </c>
      <c r="T112" s="5"/>
    </row>
    <row r="113" customFormat="false" ht="29.25" hidden="false" customHeight="true" outlineLevel="0" collapsed="false">
      <c r="A113" s="4" t="n">
        <v>112</v>
      </c>
      <c r="B113" s="6" t="s">
        <v>95</v>
      </c>
      <c r="C113" s="6" t="s">
        <v>233</v>
      </c>
      <c r="D113" s="6" t="s">
        <v>234</v>
      </c>
      <c r="E113" s="7" t="s">
        <v>21</v>
      </c>
      <c r="F113" s="6" t="s">
        <v>559</v>
      </c>
      <c r="G113" s="6" t="s">
        <v>332</v>
      </c>
      <c r="H113" s="6" t="s">
        <v>558</v>
      </c>
      <c r="I113" s="6" t="s">
        <v>333</v>
      </c>
      <c r="J113" s="6" t="s">
        <v>335</v>
      </c>
      <c r="K113" s="5"/>
      <c r="L113" s="4" t="s">
        <v>27</v>
      </c>
      <c r="M113" s="8" t="s">
        <v>129</v>
      </c>
      <c r="N113" s="9" t="s">
        <v>246</v>
      </c>
      <c r="O113" s="5"/>
      <c r="P113" s="5"/>
      <c r="Q113" s="6" t="s">
        <v>30</v>
      </c>
      <c r="R113" s="4" t="s">
        <v>31</v>
      </c>
      <c r="S113" s="7" t="s">
        <v>32</v>
      </c>
      <c r="T113" s="5"/>
    </row>
    <row r="114" customFormat="false" ht="43.5" hidden="false" customHeight="true" outlineLevel="0" collapsed="false">
      <c r="A114" s="4" t="n">
        <v>113</v>
      </c>
      <c r="B114" s="6" t="s">
        <v>95</v>
      </c>
      <c r="C114" s="6" t="s">
        <v>233</v>
      </c>
      <c r="D114" s="6" t="s">
        <v>234</v>
      </c>
      <c r="E114" s="7" t="s">
        <v>21</v>
      </c>
      <c r="F114" s="6" t="s">
        <v>560</v>
      </c>
      <c r="G114" s="5" t="s">
        <v>561</v>
      </c>
      <c r="H114" s="5" t="s">
        <v>562</v>
      </c>
      <c r="I114" s="5" t="s">
        <v>563</v>
      </c>
      <c r="J114" s="5" t="s">
        <v>564</v>
      </c>
      <c r="K114" s="5"/>
      <c r="L114" s="4" t="s">
        <v>27</v>
      </c>
      <c r="M114" s="8" t="s">
        <v>28</v>
      </c>
      <c r="N114" s="9" t="s">
        <v>565</v>
      </c>
      <c r="O114" s="5"/>
      <c r="P114" s="5"/>
      <c r="Q114" s="6" t="s">
        <v>30</v>
      </c>
      <c r="R114" s="4" t="s">
        <v>31</v>
      </c>
      <c r="S114" s="7" t="s">
        <v>32</v>
      </c>
      <c r="T114" s="5"/>
    </row>
    <row r="115" customFormat="false" ht="29.25" hidden="false" customHeight="true" outlineLevel="0" collapsed="false">
      <c r="A115" s="4" t="n">
        <v>114</v>
      </c>
      <c r="B115" s="6" t="s">
        <v>95</v>
      </c>
      <c r="C115" s="6" t="s">
        <v>233</v>
      </c>
      <c r="D115" s="6" t="s">
        <v>234</v>
      </c>
      <c r="E115" s="7" t="s">
        <v>21</v>
      </c>
      <c r="F115" s="6" t="s">
        <v>566</v>
      </c>
      <c r="G115" s="5" t="s">
        <v>567</v>
      </c>
      <c r="H115" s="5" t="s">
        <v>568</v>
      </c>
      <c r="I115" s="5" t="s">
        <v>569</v>
      </c>
      <c r="J115" s="5" t="s">
        <v>82</v>
      </c>
      <c r="K115" s="5"/>
      <c r="L115" s="4" t="s">
        <v>51</v>
      </c>
      <c r="M115" s="8" t="s">
        <v>129</v>
      </c>
      <c r="N115" s="9" t="s">
        <v>246</v>
      </c>
      <c r="O115" s="5"/>
      <c r="P115" s="5"/>
      <c r="Q115" s="6" t="s">
        <v>30</v>
      </c>
      <c r="R115" s="4" t="s">
        <v>31</v>
      </c>
      <c r="S115" s="7" t="s">
        <v>32</v>
      </c>
      <c r="T115" s="5"/>
    </row>
    <row r="116" customFormat="false" ht="29.25" hidden="false" customHeight="true" outlineLevel="0" collapsed="false">
      <c r="A116" s="4" t="n">
        <v>115</v>
      </c>
      <c r="B116" s="6" t="s">
        <v>95</v>
      </c>
      <c r="C116" s="6" t="s">
        <v>233</v>
      </c>
      <c r="D116" s="6" t="s">
        <v>234</v>
      </c>
      <c r="E116" s="7" t="s">
        <v>21</v>
      </c>
      <c r="F116" s="6" t="s">
        <v>570</v>
      </c>
      <c r="G116" s="6" t="s">
        <v>571</v>
      </c>
      <c r="H116" s="6" t="s">
        <v>572</v>
      </c>
      <c r="I116" s="6" t="s">
        <v>573</v>
      </c>
      <c r="J116" s="6" t="s">
        <v>320</v>
      </c>
      <c r="K116" s="5"/>
      <c r="L116" s="4" t="s">
        <v>62</v>
      </c>
      <c r="M116" s="8" t="s">
        <v>129</v>
      </c>
      <c r="N116" s="9" t="s">
        <v>317</v>
      </c>
      <c r="O116" s="5"/>
      <c r="P116" s="5"/>
      <c r="Q116" s="6" t="s">
        <v>30</v>
      </c>
      <c r="R116" s="4" t="s">
        <v>31</v>
      </c>
      <c r="S116" s="7" t="s">
        <v>32</v>
      </c>
      <c r="T116" s="5"/>
    </row>
    <row r="117" customFormat="false" ht="29.25" hidden="false" customHeight="true" outlineLevel="0" collapsed="false">
      <c r="A117" s="4" t="n">
        <v>116</v>
      </c>
      <c r="B117" s="6" t="s">
        <v>95</v>
      </c>
      <c r="C117" s="6" t="s">
        <v>233</v>
      </c>
      <c r="D117" s="6" t="s">
        <v>234</v>
      </c>
      <c r="E117" s="7" t="s">
        <v>21</v>
      </c>
      <c r="F117" s="6" t="s">
        <v>574</v>
      </c>
      <c r="G117" s="6" t="s">
        <v>333</v>
      </c>
      <c r="H117" s="6" t="s">
        <v>558</v>
      </c>
      <c r="I117" s="6" t="s">
        <v>575</v>
      </c>
      <c r="J117" s="6" t="s">
        <v>335</v>
      </c>
      <c r="K117" s="5"/>
      <c r="L117" s="4" t="s">
        <v>51</v>
      </c>
      <c r="M117" s="8" t="s">
        <v>129</v>
      </c>
      <c r="N117" s="9" t="s">
        <v>246</v>
      </c>
      <c r="O117" s="5"/>
      <c r="P117" s="5"/>
      <c r="Q117" s="6" t="s">
        <v>30</v>
      </c>
      <c r="R117" s="4" t="s">
        <v>31</v>
      </c>
      <c r="S117" s="7" t="s">
        <v>32</v>
      </c>
      <c r="T117" s="5"/>
    </row>
    <row r="118" customFormat="false" ht="72" hidden="false" customHeight="true" outlineLevel="0" collapsed="false">
      <c r="A118" s="4" t="n">
        <v>117</v>
      </c>
      <c r="B118" s="6" t="s">
        <v>95</v>
      </c>
      <c r="C118" s="6" t="s">
        <v>233</v>
      </c>
      <c r="D118" s="6" t="s">
        <v>234</v>
      </c>
      <c r="E118" s="7" t="s">
        <v>21</v>
      </c>
      <c r="F118" s="6" t="s">
        <v>576</v>
      </c>
      <c r="G118" s="6" t="s">
        <v>577</v>
      </c>
      <c r="H118" s="6" t="s">
        <v>578</v>
      </c>
      <c r="I118" s="6" t="s">
        <v>579</v>
      </c>
      <c r="J118" s="6" t="s">
        <v>580</v>
      </c>
      <c r="K118" s="5"/>
      <c r="L118" s="4" t="s">
        <v>27</v>
      </c>
      <c r="M118" s="8" t="s">
        <v>28</v>
      </c>
      <c r="N118" s="9" t="s">
        <v>252</v>
      </c>
      <c r="O118" s="5"/>
      <c r="P118" s="5"/>
      <c r="Q118" s="6" t="s">
        <v>30</v>
      </c>
      <c r="R118" s="4" t="s">
        <v>31</v>
      </c>
      <c r="S118" s="7" t="s">
        <v>32</v>
      </c>
      <c r="T118" s="5"/>
    </row>
    <row r="119" customFormat="false" ht="29.25" hidden="false" customHeight="true" outlineLevel="0" collapsed="false">
      <c r="A119" s="4" t="n">
        <v>118</v>
      </c>
      <c r="B119" s="6" t="s">
        <v>95</v>
      </c>
      <c r="C119" s="6" t="s">
        <v>233</v>
      </c>
      <c r="D119" s="6" t="s">
        <v>234</v>
      </c>
      <c r="E119" s="7" t="s">
        <v>21</v>
      </c>
      <c r="F119" s="6" t="s">
        <v>581</v>
      </c>
      <c r="G119" s="6" t="s">
        <v>582</v>
      </c>
      <c r="H119" s="6" t="s">
        <v>583</v>
      </c>
      <c r="I119" s="6" t="s">
        <v>584</v>
      </c>
      <c r="J119" s="6" t="s">
        <v>585</v>
      </c>
      <c r="K119" s="5"/>
      <c r="L119" s="4" t="s">
        <v>44</v>
      </c>
      <c r="M119" s="8" t="s">
        <v>79</v>
      </c>
      <c r="N119" s="9" t="s">
        <v>252</v>
      </c>
      <c r="O119" s="5"/>
      <c r="P119" s="5"/>
      <c r="Q119" s="6" t="s">
        <v>30</v>
      </c>
      <c r="R119" s="4" t="s">
        <v>31</v>
      </c>
      <c r="S119" s="7" t="s">
        <v>32</v>
      </c>
      <c r="T119" s="5"/>
    </row>
    <row r="120" customFormat="false" ht="29.25" hidden="false" customHeight="true" outlineLevel="0" collapsed="false">
      <c r="A120" s="4" t="n">
        <v>119</v>
      </c>
      <c r="B120" s="6" t="s">
        <v>95</v>
      </c>
      <c r="C120" s="6" t="s">
        <v>233</v>
      </c>
      <c r="D120" s="6" t="s">
        <v>234</v>
      </c>
      <c r="E120" s="7" t="s">
        <v>21</v>
      </c>
      <c r="F120" s="6" t="s">
        <v>586</v>
      </c>
      <c r="G120" s="6" t="s">
        <v>587</v>
      </c>
      <c r="H120" s="6" t="s">
        <v>588</v>
      </c>
      <c r="I120" s="6" t="s">
        <v>589</v>
      </c>
      <c r="J120" s="6" t="s">
        <v>590</v>
      </c>
      <c r="K120" s="5"/>
      <c r="L120" s="4" t="s">
        <v>27</v>
      </c>
      <c r="M120" s="8" t="s">
        <v>79</v>
      </c>
      <c r="N120" s="9" t="s">
        <v>591</v>
      </c>
      <c r="O120" s="5"/>
      <c r="P120" s="5"/>
      <c r="Q120" s="6" t="s">
        <v>30</v>
      </c>
      <c r="R120" s="4" t="s">
        <v>31</v>
      </c>
      <c r="S120" s="7" t="s">
        <v>32</v>
      </c>
      <c r="T120" s="5"/>
    </row>
    <row r="121" customFormat="false" ht="114.75" hidden="false" customHeight="true" outlineLevel="0" collapsed="false">
      <c r="A121" s="4" t="n">
        <v>120</v>
      </c>
      <c r="B121" s="6" t="s">
        <v>95</v>
      </c>
      <c r="C121" s="6" t="s">
        <v>233</v>
      </c>
      <c r="D121" s="6" t="s">
        <v>234</v>
      </c>
      <c r="E121" s="7" t="s">
        <v>21</v>
      </c>
      <c r="F121" s="6" t="s">
        <v>276</v>
      </c>
      <c r="G121" s="6" t="s">
        <v>592</v>
      </c>
      <c r="H121" s="6" t="s">
        <v>593</v>
      </c>
      <c r="I121" s="6" t="s">
        <v>594</v>
      </c>
      <c r="J121" s="6" t="s">
        <v>78</v>
      </c>
      <c r="K121" s="5"/>
      <c r="L121" s="4" t="s">
        <v>44</v>
      </c>
      <c r="M121" s="8" t="s">
        <v>28</v>
      </c>
      <c r="N121" s="9" t="s">
        <v>246</v>
      </c>
      <c r="O121" s="5"/>
      <c r="P121" s="5"/>
      <c r="Q121" s="6" t="s">
        <v>30</v>
      </c>
      <c r="R121" s="4" t="s">
        <v>31</v>
      </c>
      <c r="S121" s="7" t="s">
        <v>32</v>
      </c>
      <c r="T121" s="5"/>
    </row>
    <row r="122" customFormat="false" ht="86.25" hidden="false" customHeight="true" outlineLevel="0" collapsed="false">
      <c r="A122" s="4" t="n">
        <v>121</v>
      </c>
      <c r="B122" s="6" t="s">
        <v>95</v>
      </c>
      <c r="C122" s="6" t="s">
        <v>233</v>
      </c>
      <c r="D122" s="6" t="s">
        <v>234</v>
      </c>
      <c r="E122" s="7" t="s">
        <v>21</v>
      </c>
      <c r="F122" s="6" t="s">
        <v>276</v>
      </c>
      <c r="G122" s="6" t="s">
        <v>595</v>
      </c>
      <c r="H122" s="6" t="s">
        <v>596</v>
      </c>
      <c r="I122" s="6" t="s">
        <v>597</v>
      </c>
      <c r="J122" s="6" t="s">
        <v>78</v>
      </c>
      <c r="K122" s="5"/>
      <c r="L122" s="4" t="s">
        <v>44</v>
      </c>
      <c r="M122" s="8" t="s">
        <v>28</v>
      </c>
      <c r="N122" s="9" t="s">
        <v>246</v>
      </c>
      <c r="O122" s="5"/>
      <c r="P122" s="5"/>
      <c r="Q122" s="6" t="s">
        <v>30</v>
      </c>
      <c r="R122" s="4" t="s">
        <v>31</v>
      </c>
      <c r="S122" s="7" t="s">
        <v>32</v>
      </c>
      <c r="T122" s="5"/>
    </row>
    <row r="123" customFormat="false" ht="29.25" hidden="false" customHeight="true" outlineLevel="0" collapsed="false">
      <c r="A123" s="4" t="n">
        <v>122</v>
      </c>
      <c r="B123" s="6" t="s">
        <v>95</v>
      </c>
      <c r="C123" s="6" t="s">
        <v>233</v>
      </c>
      <c r="D123" s="6" t="s">
        <v>234</v>
      </c>
      <c r="E123" s="7" t="s">
        <v>21</v>
      </c>
      <c r="F123" s="6" t="s">
        <v>272</v>
      </c>
      <c r="G123" s="6" t="s">
        <v>598</v>
      </c>
      <c r="H123" s="6" t="s">
        <v>599</v>
      </c>
      <c r="I123" s="6" t="s">
        <v>600</v>
      </c>
      <c r="J123" s="6" t="s">
        <v>78</v>
      </c>
      <c r="K123" s="5"/>
      <c r="L123" s="4" t="s">
        <v>44</v>
      </c>
      <c r="M123" s="8" t="s">
        <v>79</v>
      </c>
      <c r="N123" s="9" t="s">
        <v>246</v>
      </c>
      <c r="O123" s="5"/>
      <c r="P123" s="5"/>
      <c r="Q123" s="6" t="s">
        <v>30</v>
      </c>
      <c r="R123" s="4" t="s">
        <v>31</v>
      </c>
      <c r="S123" s="7" t="s">
        <v>32</v>
      </c>
      <c r="T123" s="5"/>
    </row>
    <row r="124" customFormat="false" ht="72" hidden="false" customHeight="true" outlineLevel="0" collapsed="false">
      <c r="A124" s="4" t="n">
        <v>123</v>
      </c>
      <c r="B124" s="6" t="s">
        <v>95</v>
      </c>
      <c r="C124" s="6" t="s">
        <v>233</v>
      </c>
      <c r="D124" s="6" t="s">
        <v>234</v>
      </c>
      <c r="E124" s="7" t="s">
        <v>21</v>
      </c>
      <c r="F124" s="6" t="s">
        <v>276</v>
      </c>
      <c r="G124" s="6" t="s">
        <v>601</v>
      </c>
      <c r="H124" s="6" t="s">
        <v>602</v>
      </c>
      <c r="I124" s="6" t="s">
        <v>603</v>
      </c>
      <c r="J124" s="6" t="s">
        <v>78</v>
      </c>
      <c r="K124" s="5"/>
      <c r="L124" s="4" t="s">
        <v>44</v>
      </c>
      <c r="M124" s="8" t="s">
        <v>28</v>
      </c>
      <c r="N124" s="9" t="s">
        <v>246</v>
      </c>
      <c r="O124" s="5"/>
      <c r="P124" s="5"/>
      <c r="Q124" s="6" t="s">
        <v>30</v>
      </c>
      <c r="R124" s="4" t="s">
        <v>31</v>
      </c>
      <c r="S124" s="7" t="s">
        <v>32</v>
      </c>
      <c r="T124" s="5"/>
    </row>
    <row r="125" customFormat="false" ht="57.75" hidden="false" customHeight="true" outlineLevel="0" collapsed="false">
      <c r="A125" s="4" t="n">
        <v>124</v>
      </c>
      <c r="B125" s="6" t="s">
        <v>95</v>
      </c>
      <c r="C125" s="6" t="s">
        <v>233</v>
      </c>
      <c r="D125" s="6" t="s">
        <v>234</v>
      </c>
      <c r="E125" s="7" t="s">
        <v>21</v>
      </c>
      <c r="F125" s="6" t="s">
        <v>604</v>
      </c>
      <c r="G125" s="6" t="s">
        <v>605</v>
      </c>
      <c r="H125" s="6" t="s">
        <v>606</v>
      </c>
      <c r="I125" s="6" t="s">
        <v>607</v>
      </c>
      <c r="J125" s="6" t="s">
        <v>608</v>
      </c>
      <c r="K125" s="5"/>
      <c r="L125" s="4" t="s">
        <v>44</v>
      </c>
      <c r="M125" s="8" t="s">
        <v>79</v>
      </c>
      <c r="N125" s="9" t="s">
        <v>246</v>
      </c>
      <c r="O125" s="5"/>
      <c r="P125" s="5"/>
      <c r="Q125" s="6" t="s">
        <v>30</v>
      </c>
      <c r="R125" s="4" t="s">
        <v>31</v>
      </c>
      <c r="S125" s="7" t="s">
        <v>32</v>
      </c>
      <c r="T125" s="5"/>
    </row>
    <row r="126" customFormat="false" ht="29.25" hidden="false" customHeight="true" outlineLevel="0" collapsed="false">
      <c r="A126" s="4" t="n">
        <v>125</v>
      </c>
      <c r="B126" s="6" t="s">
        <v>95</v>
      </c>
      <c r="C126" s="6" t="s">
        <v>233</v>
      </c>
      <c r="D126" s="6" t="s">
        <v>234</v>
      </c>
      <c r="E126" s="7" t="s">
        <v>21</v>
      </c>
      <c r="F126" s="6" t="s">
        <v>609</v>
      </c>
      <c r="G126" s="6" t="s">
        <v>610</v>
      </c>
      <c r="H126" s="6" t="s">
        <v>611</v>
      </c>
      <c r="I126" s="6" t="s">
        <v>612</v>
      </c>
      <c r="J126" s="6" t="s">
        <v>150</v>
      </c>
      <c r="K126" s="5"/>
      <c r="L126" s="4" t="s">
        <v>44</v>
      </c>
      <c r="M126" s="8" t="s">
        <v>28</v>
      </c>
      <c r="N126" s="9" t="s">
        <v>317</v>
      </c>
      <c r="O126" s="5"/>
      <c r="P126" s="5"/>
      <c r="Q126" s="6" t="s">
        <v>30</v>
      </c>
      <c r="R126" s="4" t="s">
        <v>31</v>
      </c>
      <c r="S126" s="7" t="s">
        <v>32</v>
      </c>
      <c r="T126" s="5"/>
    </row>
    <row r="127" customFormat="false" ht="29.25" hidden="false" customHeight="true" outlineLevel="0" collapsed="false">
      <c r="A127" s="4" t="n">
        <v>126</v>
      </c>
      <c r="B127" s="6" t="s">
        <v>95</v>
      </c>
      <c r="C127" s="6" t="s">
        <v>233</v>
      </c>
      <c r="D127" s="6" t="s">
        <v>234</v>
      </c>
      <c r="E127" s="7" t="s">
        <v>21</v>
      </c>
      <c r="F127" s="6" t="s">
        <v>613</v>
      </c>
      <c r="G127" s="5" t="s">
        <v>614</v>
      </c>
      <c r="H127" s="5" t="s">
        <v>615</v>
      </c>
      <c r="I127" s="5" t="s">
        <v>616</v>
      </c>
      <c r="J127" s="5" t="s">
        <v>617</v>
      </c>
      <c r="K127" s="5"/>
      <c r="L127" s="4" t="s">
        <v>51</v>
      </c>
      <c r="M127" s="8" t="s">
        <v>79</v>
      </c>
      <c r="N127" s="9" t="s">
        <v>246</v>
      </c>
      <c r="O127" s="5"/>
      <c r="P127" s="5"/>
      <c r="Q127" s="6" t="s">
        <v>30</v>
      </c>
      <c r="R127" s="4" t="s">
        <v>31</v>
      </c>
      <c r="S127" s="7" t="s">
        <v>32</v>
      </c>
      <c r="T127" s="5"/>
    </row>
    <row r="128" customFormat="false" ht="86.25" hidden="false" customHeight="true" outlineLevel="0" collapsed="false">
      <c r="A128" s="4" t="n">
        <v>127</v>
      </c>
      <c r="B128" s="6" t="s">
        <v>95</v>
      </c>
      <c r="C128" s="6" t="s">
        <v>233</v>
      </c>
      <c r="D128" s="6" t="s">
        <v>234</v>
      </c>
      <c r="E128" s="7" t="s">
        <v>21</v>
      </c>
      <c r="F128" s="6" t="s">
        <v>276</v>
      </c>
      <c r="G128" s="6" t="s">
        <v>618</v>
      </c>
      <c r="H128" s="6" t="s">
        <v>619</v>
      </c>
      <c r="I128" s="6" t="s">
        <v>620</v>
      </c>
      <c r="J128" s="6" t="s">
        <v>78</v>
      </c>
      <c r="K128" s="5"/>
      <c r="L128" s="4" t="s">
        <v>44</v>
      </c>
      <c r="M128" s="8" t="s">
        <v>28</v>
      </c>
      <c r="N128" s="9" t="s">
        <v>246</v>
      </c>
      <c r="O128" s="5"/>
      <c r="P128" s="5"/>
      <c r="Q128" s="6" t="s">
        <v>30</v>
      </c>
      <c r="R128" s="4" t="s">
        <v>31</v>
      </c>
      <c r="S128" s="7" t="s">
        <v>32</v>
      </c>
      <c r="T128" s="5"/>
    </row>
    <row r="129" customFormat="false" ht="43.5" hidden="false" customHeight="true" outlineLevel="0" collapsed="false">
      <c r="A129" s="4" t="n">
        <v>128</v>
      </c>
      <c r="B129" s="6" t="s">
        <v>95</v>
      </c>
      <c r="C129" s="6" t="s">
        <v>233</v>
      </c>
      <c r="D129" s="6" t="s">
        <v>234</v>
      </c>
      <c r="E129" s="7" t="s">
        <v>21</v>
      </c>
      <c r="F129" s="6" t="s">
        <v>276</v>
      </c>
      <c r="G129" s="6" t="s">
        <v>621</v>
      </c>
      <c r="H129" s="6" t="s">
        <v>622</v>
      </c>
      <c r="I129" s="6" t="s">
        <v>623</v>
      </c>
      <c r="J129" s="6" t="s">
        <v>78</v>
      </c>
      <c r="K129" s="5"/>
      <c r="L129" s="4" t="s">
        <v>44</v>
      </c>
      <c r="M129" s="8" t="s">
        <v>79</v>
      </c>
      <c r="N129" s="9" t="s">
        <v>246</v>
      </c>
      <c r="O129" s="5"/>
      <c r="P129" s="5"/>
      <c r="Q129" s="6" t="s">
        <v>30</v>
      </c>
      <c r="R129" s="4" t="s">
        <v>31</v>
      </c>
      <c r="S129" s="7" t="s">
        <v>32</v>
      </c>
      <c r="T129" s="5"/>
    </row>
    <row r="130" customFormat="false" ht="114.75" hidden="false" customHeight="true" outlineLevel="0" collapsed="false">
      <c r="A130" s="4" t="n">
        <v>129</v>
      </c>
      <c r="B130" s="6" t="s">
        <v>95</v>
      </c>
      <c r="C130" s="6" t="s">
        <v>233</v>
      </c>
      <c r="D130" s="6" t="s">
        <v>234</v>
      </c>
      <c r="E130" s="7" t="s">
        <v>21</v>
      </c>
      <c r="F130" s="6" t="s">
        <v>276</v>
      </c>
      <c r="G130" s="6" t="s">
        <v>294</v>
      </c>
      <c r="H130" s="6" t="s">
        <v>624</v>
      </c>
      <c r="I130" s="6" t="s">
        <v>625</v>
      </c>
      <c r="J130" s="6" t="s">
        <v>626</v>
      </c>
      <c r="K130" s="5"/>
      <c r="L130" s="4" t="s">
        <v>51</v>
      </c>
      <c r="M130" s="8" t="s">
        <v>28</v>
      </c>
      <c r="N130" s="9" t="s">
        <v>246</v>
      </c>
      <c r="O130" s="5"/>
      <c r="P130" s="5"/>
      <c r="Q130" s="6" t="s">
        <v>30</v>
      </c>
      <c r="R130" s="4" t="s">
        <v>31</v>
      </c>
      <c r="S130" s="7" t="s">
        <v>32</v>
      </c>
      <c r="T130" s="5"/>
    </row>
    <row r="131" customFormat="false" ht="100.5" hidden="false" customHeight="true" outlineLevel="0" collapsed="false">
      <c r="A131" s="4" t="n">
        <v>130</v>
      </c>
      <c r="B131" s="6" t="s">
        <v>95</v>
      </c>
      <c r="C131" s="6" t="s">
        <v>233</v>
      </c>
      <c r="D131" s="6" t="s">
        <v>234</v>
      </c>
      <c r="E131" s="7" t="s">
        <v>21</v>
      </c>
      <c r="F131" s="6" t="s">
        <v>293</v>
      </c>
      <c r="G131" s="6" t="s">
        <v>627</v>
      </c>
      <c r="H131" s="6" t="s">
        <v>628</v>
      </c>
      <c r="I131" s="6" t="s">
        <v>629</v>
      </c>
      <c r="J131" s="6" t="s">
        <v>630</v>
      </c>
      <c r="K131" s="5"/>
      <c r="L131" s="4" t="s">
        <v>51</v>
      </c>
      <c r="M131" s="8" t="s">
        <v>28</v>
      </c>
      <c r="N131" s="9" t="s">
        <v>246</v>
      </c>
      <c r="O131" s="5"/>
      <c r="P131" s="5"/>
      <c r="Q131" s="6" t="s">
        <v>30</v>
      </c>
      <c r="R131" s="4" t="s">
        <v>31</v>
      </c>
      <c r="S131" s="7" t="s">
        <v>32</v>
      </c>
      <c r="T131" s="5"/>
    </row>
    <row r="132" customFormat="false" ht="86.25" hidden="false" customHeight="true" outlineLevel="0" collapsed="false">
      <c r="A132" s="4" t="n">
        <v>131</v>
      </c>
      <c r="B132" s="6" t="s">
        <v>95</v>
      </c>
      <c r="C132" s="6" t="s">
        <v>233</v>
      </c>
      <c r="D132" s="6" t="s">
        <v>234</v>
      </c>
      <c r="E132" s="7" t="s">
        <v>21</v>
      </c>
      <c r="F132" s="6" t="s">
        <v>276</v>
      </c>
      <c r="G132" s="6" t="s">
        <v>631</v>
      </c>
      <c r="H132" s="6" t="s">
        <v>632</v>
      </c>
      <c r="I132" s="6" t="s">
        <v>633</v>
      </c>
      <c r="J132" s="6" t="s">
        <v>634</v>
      </c>
      <c r="K132" s="5"/>
      <c r="L132" s="4" t="s">
        <v>27</v>
      </c>
      <c r="M132" s="8" t="s">
        <v>28</v>
      </c>
      <c r="N132" s="9" t="s">
        <v>246</v>
      </c>
      <c r="O132" s="5"/>
      <c r="P132" s="5"/>
      <c r="Q132" s="6" t="s">
        <v>30</v>
      </c>
      <c r="R132" s="4" t="s">
        <v>31</v>
      </c>
      <c r="S132" s="7" t="s">
        <v>32</v>
      </c>
      <c r="T132" s="5"/>
    </row>
    <row r="133" customFormat="false" ht="114.75" hidden="false" customHeight="true" outlineLevel="0" collapsed="false">
      <c r="A133" s="4" t="n">
        <v>132</v>
      </c>
      <c r="B133" s="6" t="s">
        <v>95</v>
      </c>
      <c r="C133" s="6" t="s">
        <v>233</v>
      </c>
      <c r="D133" s="6" t="s">
        <v>234</v>
      </c>
      <c r="E133" s="7" t="s">
        <v>21</v>
      </c>
      <c r="F133" s="6" t="s">
        <v>635</v>
      </c>
      <c r="G133" s="6" t="s">
        <v>636</v>
      </c>
      <c r="H133" s="6" t="s">
        <v>637</v>
      </c>
      <c r="I133" s="6" t="s">
        <v>638</v>
      </c>
      <c r="J133" s="6" t="s">
        <v>639</v>
      </c>
      <c r="K133" s="5"/>
      <c r="L133" s="4" t="s">
        <v>44</v>
      </c>
      <c r="M133" s="8" t="s">
        <v>28</v>
      </c>
      <c r="N133" s="9" t="s">
        <v>246</v>
      </c>
      <c r="O133" s="5"/>
      <c r="P133" s="5"/>
      <c r="Q133" s="6" t="s">
        <v>30</v>
      </c>
      <c r="R133" s="4" t="s">
        <v>31</v>
      </c>
      <c r="S133" s="7" t="s">
        <v>32</v>
      </c>
      <c r="T133" s="5"/>
    </row>
    <row r="134" customFormat="false" ht="86.25" hidden="false" customHeight="true" outlineLevel="0" collapsed="false">
      <c r="A134" s="4" t="n">
        <v>133</v>
      </c>
      <c r="B134" s="6" t="s">
        <v>95</v>
      </c>
      <c r="C134" s="6" t="s">
        <v>233</v>
      </c>
      <c r="D134" s="6" t="s">
        <v>234</v>
      </c>
      <c r="E134" s="7" t="s">
        <v>21</v>
      </c>
      <c r="F134" s="6" t="s">
        <v>276</v>
      </c>
      <c r="G134" s="6" t="s">
        <v>417</v>
      </c>
      <c r="H134" s="6" t="s">
        <v>640</v>
      </c>
      <c r="I134" s="6" t="s">
        <v>641</v>
      </c>
      <c r="J134" s="6" t="s">
        <v>642</v>
      </c>
      <c r="K134" s="5"/>
      <c r="L134" s="4" t="s">
        <v>51</v>
      </c>
      <c r="M134" s="8" t="s">
        <v>28</v>
      </c>
      <c r="N134" s="9" t="s">
        <v>246</v>
      </c>
      <c r="O134" s="5"/>
      <c r="P134" s="5"/>
      <c r="Q134" s="6" t="s">
        <v>30</v>
      </c>
      <c r="R134" s="4" t="s">
        <v>31</v>
      </c>
      <c r="S134" s="7" t="s">
        <v>32</v>
      </c>
      <c r="T134" s="5"/>
    </row>
    <row r="135" customFormat="false" ht="86.25" hidden="false" customHeight="true" outlineLevel="0" collapsed="false">
      <c r="A135" s="4" t="n">
        <v>134</v>
      </c>
      <c r="B135" s="6" t="s">
        <v>95</v>
      </c>
      <c r="C135" s="6" t="s">
        <v>233</v>
      </c>
      <c r="D135" s="6" t="s">
        <v>234</v>
      </c>
      <c r="E135" s="7" t="s">
        <v>21</v>
      </c>
      <c r="F135" s="6" t="s">
        <v>643</v>
      </c>
      <c r="G135" s="6" t="s">
        <v>644</v>
      </c>
      <c r="H135" s="6" t="s">
        <v>645</v>
      </c>
      <c r="I135" s="6" t="s">
        <v>646</v>
      </c>
      <c r="J135" s="6" t="s">
        <v>430</v>
      </c>
      <c r="K135" s="5"/>
      <c r="L135" s="4" t="s">
        <v>44</v>
      </c>
      <c r="M135" s="8" t="s">
        <v>28</v>
      </c>
      <c r="N135" s="9" t="s">
        <v>252</v>
      </c>
      <c r="O135" s="5"/>
      <c r="P135" s="5"/>
      <c r="Q135" s="6" t="s">
        <v>30</v>
      </c>
      <c r="R135" s="4" t="s">
        <v>31</v>
      </c>
      <c r="S135" s="7" t="s">
        <v>32</v>
      </c>
      <c r="T135" s="5"/>
    </row>
    <row r="136" customFormat="false" ht="43.5" hidden="false" customHeight="true" outlineLevel="0" collapsed="false">
      <c r="A136" s="4" t="n">
        <v>135</v>
      </c>
      <c r="B136" s="6" t="s">
        <v>95</v>
      </c>
      <c r="C136" s="6" t="s">
        <v>233</v>
      </c>
      <c r="D136" s="6" t="s">
        <v>234</v>
      </c>
      <c r="E136" s="7" t="s">
        <v>21</v>
      </c>
      <c r="F136" s="6" t="s">
        <v>647</v>
      </c>
      <c r="G136" s="6" t="s">
        <v>648</v>
      </c>
      <c r="H136" s="6" t="s">
        <v>649</v>
      </c>
      <c r="I136" s="6" t="s">
        <v>650</v>
      </c>
      <c r="J136" s="6" t="s">
        <v>78</v>
      </c>
      <c r="K136" s="5"/>
      <c r="L136" s="4" t="s">
        <v>27</v>
      </c>
      <c r="M136" s="8" t="s">
        <v>28</v>
      </c>
      <c r="N136" s="9" t="s">
        <v>246</v>
      </c>
      <c r="O136" s="5"/>
      <c r="P136" s="5"/>
      <c r="Q136" s="6" t="s">
        <v>30</v>
      </c>
      <c r="R136" s="4" t="s">
        <v>31</v>
      </c>
      <c r="S136" s="7" t="s">
        <v>32</v>
      </c>
      <c r="T136" s="5"/>
    </row>
    <row r="137" customFormat="false" ht="29.25" hidden="false" customHeight="true" outlineLevel="0" collapsed="false">
      <c r="A137" s="4" t="n">
        <v>136</v>
      </c>
      <c r="B137" s="6" t="s">
        <v>95</v>
      </c>
      <c r="C137" s="6" t="s">
        <v>233</v>
      </c>
      <c r="D137" s="6" t="s">
        <v>234</v>
      </c>
      <c r="E137" s="7" t="s">
        <v>21</v>
      </c>
      <c r="F137" s="6" t="s">
        <v>651</v>
      </c>
      <c r="G137" s="6" t="s">
        <v>652</v>
      </c>
      <c r="H137" s="6" t="s">
        <v>653</v>
      </c>
      <c r="I137" s="6" t="s">
        <v>654</v>
      </c>
      <c r="J137" s="6" t="s">
        <v>150</v>
      </c>
      <c r="K137" s="5"/>
      <c r="L137" s="4" t="s">
        <v>27</v>
      </c>
      <c r="M137" s="8" t="s">
        <v>79</v>
      </c>
      <c r="N137" s="9" t="s">
        <v>447</v>
      </c>
      <c r="O137" s="5"/>
      <c r="P137" s="5"/>
      <c r="Q137" s="6" t="s">
        <v>30</v>
      </c>
      <c r="R137" s="4" t="s">
        <v>31</v>
      </c>
      <c r="S137" s="7" t="s">
        <v>32</v>
      </c>
      <c r="T137" s="5"/>
    </row>
    <row r="138" customFormat="false" ht="43.5" hidden="false" customHeight="true" outlineLevel="0" collapsed="false">
      <c r="A138" s="4" t="n">
        <v>137</v>
      </c>
      <c r="B138" s="6" t="s">
        <v>95</v>
      </c>
      <c r="C138" s="6" t="s">
        <v>233</v>
      </c>
      <c r="D138" s="6" t="s">
        <v>234</v>
      </c>
      <c r="E138" s="7" t="s">
        <v>21</v>
      </c>
      <c r="F138" s="6" t="s">
        <v>655</v>
      </c>
      <c r="G138" s="5" t="s">
        <v>656</v>
      </c>
      <c r="H138" s="5" t="s">
        <v>657</v>
      </c>
      <c r="I138" s="5" t="s">
        <v>658</v>
      </c>
      <c r="J138" s="5" t="s">
        <v>659</v>
      </c>
      <c r="K138" s="5"/>
      <c r="L138" s="4" t="s">
        <v>27</v>
      </c>
      <c r="M138" s="8" t="s">
        <v>28</v>
      </c>
      <c r="N138" s="9" t="s">
        <v>453</v>
      </c>
      <c r="O138" s="5"/>
      <c r="P138" s="5"/>
      <c r="Q138" s="6" t="s">
        <v>30</v>
      </c>
      <c r="R138" s="4" t="s">
        <v>31</v>
      </c>
      <c r="S138" s="7" t="s">
        <v>32</v>
      </c>
      <c r="T138" s="5"/>
    </row>
    <row r="139" customFormat="false" ht="29.25" hidden="false" customHeight="true" outlineLevel="0" collapsed="false">
      <c r="A139" s="4" t="n">
        <v>138</v>
      </c>
      <c r="B139" s="6" t="s">
        <v>95</v>
      </c>
      <c r="C139" s="6" t="s">
        <v>233</v>
      </c>
      <c r="D139" s="6" t="s">
        <v>234</v>
      </c>
      <c r="E139" s="7" t="s">
        <v>21</v>
      </c>
      <c r="F139" s="6" t="s">
        <v>660</v>
      </c>
      <c r="G139" s="6" t="s">
        <v>661</v>
      </c>
      <c r="H139" s="6" t="s">
        <v>662</v>
      </c>
      <c r="I139" s="6" t="s">
        <v>663</v>
      </c>
      <c r="J139" s="6" t="s">
        <v>533</v>
      </c>
      <c r="K139" s="5"/>
      <c r="L139" s="4" t="s">
        <v>51</v>
      </c>
      <c r="M139" s="8" t="s">
        <v>28</v>
      </c>
      <c r="N139" s="9" t="s">
        <v>246</v>
      </c>
      <c r="O139" s="5"/>
      <c r="P139" s="5"/>
      <c r="Q139" s="6" t="s">
        <v>30</v>
      </c>
      <c r="R139" s="4" t="s">
        <v>31</v>
      </c>
      <c r="S139" s="7" t="s">
        <v>32</v>
      </c>
      <c r="T139" s="5"/>
    </row>
    <row r="140" customFormat="false" ht="29.25" hidden="false" customHeight="true" outlineLevel="0" collapsed="false">
      <c r="A140" s="4" t="n">
        <v>139</v>
      </c>
      <c r="B140" s="6" t="s">
        <v>95</v>
      </c>
      <c r="C140" s="6" t="s">
        <v>233</v>
      </c>
      <c r="D140" s="6" t="s">
        <v>234</v>
      </c>
      <c r="E140" s="7" t="s">
        <v>21</v>
      </c>
      <c r="F140" s="6" t="s">
        <v>664</v>
      </c>
      <c r="G140" s="6" t="s">
        <v>605</v>
      </c>
      <c r="H140" s="6" t="s">
        <v>606</v>
      </c>
      <c r="I140" s="6" t="s">
        <v>665</v>
      </c>
      <c r="J140" s="6" t="s">
        <v>78</v>
      </c>
      <c r="K140" s="5"/>
      <c r="L140" s="4" t="s">
        <v>44</v>
      </c>
      <c r="M140" s="8" t="s">
        <v>79</v>
      </c>
      <c r="N140" s="9" t="s">
        <v>246</v>
      </c>
      <c r="O140" s="5"/>
      <c r="P140" s="5"/>
      <c r="Q140" s="6" t="s">
        <v>30</v>
      </c>
      <c r="R140" s="4" t="s">
        <v>31</v>
      </c>
      <c r="S140" s="7" t="s">
        <v>32</v>
      </c>
      <c r="T140" s="5"/>
    </row>
    <row r="141" customFormat="false" ht="29.25" hidden="false" customHeight="true" outlineLevel="0" collapsed="false">
      <c r="A141" s="4" t="n">
        <v>140</v>
      </c>
      <c r="B141" s="6" t="s">
        <v>95</v>
      </c>
      <c r="C141" s="6" t="s">
        <v>233</v>
      </c>
      <c r="D141" s="6" t="s">
        <v>234</v>
      </c>
      <c r="E141" s="7" t="s">
        <v>21</v>
      </c>
      <c r="F141" s="6" t="s">
        <v>666</v>
      </c>
      <c r="G141" s="5" t="s">
        <v>667</v>
      </c>
      <c r="H141" s="5" t="s">
        <v>668</v>
      </c>
      <c r="I141" s="5" t="s">
        <v>669</v>
      </c>
      <c r="J141" s="5" t="s">
        <v>670</v>
      </c>
      <c r="K141" s="5"/>
      <c r="L141" s="4" t="s">
        <v>27</v>
      </c>
      <c r="M141" s="8" t="s">
        <v>28</v>
      </c>
      <c r="N141" s="9" t="s">
        <v>246</v>
      </c>
      <c r="O141" s="5"/>
      <c r="P141" s="5"/>
      <c r="Q141" s="6" t="s">
        <v>30</v>
      </c>
      <c r="R141" s="4" t="s">
        <v>31</v>
      </c>
      <c r="S141" s="7" t="s">
        <v>32</v>
      </c>
      <c r="T141" s="5"/>
    </row>
    <row r="142" customFormat="false" ht="29.25" hidden="false" customHeight="true" outlineLevel="0" collapsed="false">
      <c r="A142" s="4" t="n">
        <v>141</v>
      </c>
      <c r="B142" s="6" t="s">
        <v>95</v>
      </c>
      <c r="C142" s="6" t="s">
        <v>233</v>
      </c>
      <c r="D142" s="6" t="s">
        <v>234</v>
      </c>
      <c r="E142" s="7" t="s">
        <v>21</v>
      </c>
      <c r="F142" s="6" t="s">
        <v>671</v>
      </c>
      <c r="G142" s="6" t="s">
        <v>672</v>
      </c>
      <c r="H142" s="6" t="s">
        <v>673</v>
      </c>
      <c r="I142" s="6" t="s">
        <v>674</v>
      </c>
      <c r="J142" s="6" t="s">
        <v>78</v>
      </c>
      <c r="K142" s="5"/>
      <c r="L142" s="4" t="s">
        <v>44</v>
      </c>
      <c r="M142" s="8" t="s">
        <v>79</v>
      </c>
      <c r="N142" s="9" t="s">
        <v>317</v>
      </c>
      <c r="O142" s="5"/>
      <c r="P142" s="5"/>
      <c r="Q142" s="6" t="s">
        <v>30</v>
      </c>
      <c r="R142" s="4" t="s">
        <v>31</v>
      </c>
      <c r="S142" s="7" t="s">
        <v>32</v>
      </c>
      <c r="T142" s="5"/>
    </row>
    <row r="143" customFormat="false" ht="43.5" hidden="false" customHeight="true" outlineLevel="0" collapsed="false">
      <c r="A143" s="4" t="n">
        <v>142</v>
      </c>
      <c r="B143" s="6" t="s">
        <v>95</v>
      </c>
      <c r="C143" s="6" t="s">
        <v>233</v>
      </c>
      <c r="D143" s="6" t="s">
        <v>234</v>
      </c>
      <c r="E143" s="7" t="s">
        <v>21</v>
      </c>
      <c r="F143" s="6" t="s">
        <v>675</v>
      </c>
      <c r="G143" s="6" t="s">
        <v>304</v>
      </c>
      <c r="H143" s="6" t="s">
        <v>305</v>
      </c>
      <c r="I143" s="6" t="s">
        <v>306</v>
      </c>
      <c r="J143" s="6" t="s">
        <v>78</v>
      </c>
      <c r="K143" s="5"/>
      <c r="L143" s="4" t="s">
        <v>44</v>
      </c>
      <c r="M143" s="8" t="s">
        <v>28</v>
      </c>
      <c r="N143" s="9" t="s">
        <v>676</v>
      </c>
      <c r="O143" s="5"/>
      <c r="P143" s="5"/>
      <c r="Q143" s="6" t="s">
        <v>30</v>
      </c>
      <c r="R143" s="4" t="s">
        <v>31</v>
      </c>
      <c r="S143" s="7" t="s">
        <v>32</v>
      </c>
      <c r="T143" s="5"/>
    </row>
    <row r="144" customFormat="false" ht="57.75" hidden="false" customHeight="true" outlineLevel="0" collapsed="false">
      <c r="A144" s="4" t="n">
        <v>143</v>
      </c>
      <c r="B144" s="6" t="s">
        <v>95</v>
      </c>
      <c r="C144" s="6" t="s">
        <v>233</v>
      </c>
      <c r="D144" s="6" t="s">
        <v>234</v>
      </c>
      <c r="E144" s="7" t="s">
        <v>21</v>
      </c>
      <c r="F144" s="6" t="s">
        <v>677</v>
      </c>
      <c r="G144" s="6" t="s">
        <v>678</v>
      </c>
      <c r="H144" s="6" t="s">
        <v>679</v>
      </c>
      <c r="I144" s="6" t="s">
        <v>680</v>
      </c>
      <c r="J144" s="6" t="s">
        <v>681</v>
      </c>
      <c r="K144" s="5"/>
      <c r="L144" s="4" t="s">
        <v>27</v>
      </c>
      <c r="M144" s="8" t="s">
        <v>28</v>
      </c>
      <c r="N144" s="9" t="s">
        <v>682</v>
      </c>
      <c r="O144" s="5"/>
      <c r="P144" s="5"/>
      <c r="Q144" s="6" t="s">
        <v>30</v>
      </c>
      <c r="R144" s="4" t="s">
        <v>31</v>
      </c>
      <c r="S144" s="7" t="s">
        <v>32</v>
      </c>
      <c r="T144" s="5"/>
    </row>
    <row r="145" customFormat="false" ht="29.25" hidden="false" customHeight="true" outlineLevel="0" collapsed="false">
      <c r="A145" s="4" t="n">
        <v>144</v>
      </c>
      <c r="B145" s="6" t="s">
        <v>95</v>
      </c>
      <c r="C145" s="6" t="s">
        <v>233</v>
      </c>
      <c r="D145" s="6" t="s">
        <v>234</v>
      </c>
      <c r="E145" s="7" t="s">
        <v>21</v>
      </c>
      <c r="F145" s="6" t="s">
        <v>683</v>
      </c>
      <c r="G145" s="6" t="s">
        <v>684</v>
      </c>
      <c r="H145" s="6" t="s">
        <v>685</v>
      </c>
      <c r="I145" s="6" t="s">
        <v>686</v>
      </c>
      <c r="J145" s="6" t="s">
        <v>687</v>
      </c>
      <c r="K145" s="5"/>
      <c r="L145" s="4" t="s">
        <v>44</v>
      </c>
      <c r="M145" s="8" t="s">
        <v>129</v>
      </c>
      <c r="N145" s="9" t="s">
        <v>240</v>
      </c>
      <c r="O145" s="5"/>
      <c r="P145" s="5"/>
      <c r="Q145" s="6" t="s">
        <v>30</v>
      </c>
      <c r="R145" s="4" t="s">
        <v>31</v>
      </c>
      <c r="S145" s="7" t="s">
        <v>32</v>
      </c>
      <c r="T145" s="5"/>
    </row>
    <row r="146" customFormat="false" ht="29.25" hidden="false" customHeight="true" outlineLevel="0" collapsed="false">
      <c r="A146" s="4" t="n">
        <v>145</v>
      </c>
      <c r="B146" s="6" t="s">
        <v>95</v>
      </c>
      <c r="C146" s="6" t="s">
        <v>233</v>
      </c>
      <c r="D146" s="6" t="s">
        <v>234</v>
      </c>
      <c r="E146" s="7" t="s">
        <v>21</v>
      </c>
      <c r="F146" s="6" t="s">
        <v>688</v>
      </c>
      <c r="G146" s="6" t="s">
        <v>689</v>
      </c>
      <c r="H146" s="6" t="s">
        <v>690</v>
      </c>
      <c r="I146" s="6" t="s">
        <v>691</v>
      </c>
      <c r="J146" s="6" t="s">
        <v>692</v>
      </c>
      <c r="K146" s="5"/>
      <c r="L146" s="4" t="s">
        <v>62</v>
      </c>
      <c r="M146" s="8" t="s">
        <v>79</v>
      </c>
      <c r="N146" s="9" t="s">
        <v>240</v>
      </c>
      <c r="O146" s="5"/>
      <c r="P146" s="5"/>
      <c r="Q146" s="6" t="s">
        <v>30</v>
      </c>
      <c r="R146" s="4" t="s">
        <v>31</v>
      </c>
      <c r="S146" s="7" t="s">
        <v>32</v>
      </c>
      <c r="T146" s="5"/>
    </row>
    <row r="147" customFormat="false" ht="29.25" hidden="false" customHeight="true" outlineLevel="0" collapsed="false">
      <c r="A147" s="4" t="n">
        <v>146</v>
      </c>
      <c r="B147" s="6" t="s">
        <v>95</v>
      </c>
      <c r="C147" s="6" t="s">
        <v>233</v>
      </c>
      <c r="D147" s="6" t="s">
        <v>234</v>
      </c>
      <c r="E147" s="7" t="s">
        <v>21</v>
      </c>
      <c r="F147" s="6" t="s">
        <v>693</v>
      </c>
      <c r="G147" s="6" t="s">
        <v>694</v>
      </c>
      <c r="H147" s="6" t="s">
        <v>695</v>
      </c>
      <c r="I147" s="5" t="s">
        <v>696</v>
      </c>
      <c r="J147" s="6" t="s">
        <v>692</v>
      </c>
      <c r="K147" s="5"/>
      <c r="L147" s="4" t="s">
        <v>27</v>
      </c>
      <c r="M147" s="8" t="s">
        <v>28</v>
      </c>
      <c r="N147" s="9" t="s">
        <v>240</v>
      </c>
      <c r="O147" s="5"/>
      <c r="P147" s="5"/>
      <c r="Q147" s="6" t="s">
        <v>30</v>
      </c>
      <c r="R147" s="4" t="s">
        <v>31</v>
      </c>
      <c r="S147" s="7" t="s">
        <v>32</v>
      </c>
      <c r="T147" s="5"/>
    </row>
    <row r="148" customFormat="false" ht="29.25" hidden="false" customHeight="true" outlineLevel="0" collapsed="false">
      <c r="A148" s="4" t="n">
        <v>147</v>
      </c>
      <c r="B148" s="6" t="s">
        <v>95</v>
      </c>
      <c r="C148" s="6" t="s">
        <v>233</v>
      </c>
      <c r="D148" s="6" t="s">
        <v>234</v>
      </c>
      <c r="E148" s="7" t="s">
        <v>21</v>
      </c>
      <c r="F148" s="6" t="s">
        <v>697</v>
      </c>
      <c r="G148" s="6" t="s">
        <v>689</v>
      </c>
      <c r="H148" s="6" t="s">
        <v>690</v>
      </c>
      <c r="I148" s="6" t="s">
        <v>691</v>
      </c>
      <c r="J148" s="6" t="s">
        <v>698</v>
      </c>
      <c r="K148" s="5"/>
      <c r="L148" s="4" t="s">
        <v>44</v>
      </c>
      <c r="M148" s="8" t="s">
        <v>28</v>
      </c>
      <c r="N148" s="9" t="s">
        <v>240</v>
      </c>
      <c r="O148" s="5"/>
      <c r="P148" s="5"/>
      <c r="Q148" s="6" t="s">
        <v>30</v>
      </c>
      <c r="R148" s="4" t="s">
        <v>31</v>
      </c>
      <c r="S148" s="7" t="s">
        <v>32</v>
      </c>
      <c r="T148" s="5"/>
    </row>
    <row r="149" customFormat="false" ht="29.25" hidden="false" customHeight="true" outlineLevel="0" collapsed="false">
      <c r="A149" s="4" t="n">
        <v>148</v>
      </c>
      <c r="B149" s="6" t="s">
        <v>95</v>
      </c>
      <c r="C149" s="6" t="s">
        <v>233</v>
      </c>
      <c r="D149" s="6" t="s">
        <v>234</v>
      </c>
      <c r="E149" s="7" t="s">
        <v>21</v>
      </c>
      <c r="F149" s="6" t="s">
        <v>699</v>
      </c>
      <c r="G149" s="5" t="s">
        <v>700</v>
      </c>
      <c r="H149" s="5" t="s">
        <v>701</v>
      </c>
      <c r="I149" s="5" t="s">
        <v>702</v>
      </c>
      <c r="J149" s="5" t="s">
        <v>703</v>
      </c>
      <c r="K149" s="5"/>
      <c r="L149" s="4" t="s">
        <v>62</v>
      </c>
      <c r="M149" s="8" t="s">
        <v>79</v>
      </c>
      <c r="N149" s="9" t="s">
        <v>246</v>
      </c>
      <c r="O149" s="5"/>
      <c r="P149" s="5"/>
      <c r="Q149" s="6" t="s">
        <v>30</v>
      </c>
      <c r="R149" s="4" t="s">
        <v>31</v>
      </c>
      <c r="S149" s="7" t="s">
        <v>32</v>
      </c>
      <c r="T149" s="5"/>
    </row>
    <row r="150" customFormat="false" ht="43.5" hidden="false" customHeight="true" outlineLevel="0" collapsed="false">
      <c r="A150" s="4" t="n">
        <v>149</v>
      </c>
      <c r="B150" s="6" t="s">
        <v>95</v>
      </c>
      <c r="C150" s="6" t="s">
        <v>233</v>
      </c>
      <c r="D150" s="6" t="s">
        <v>234</v>
      </c>
      <c r="E150" s="7" t="s">
        <v>21</v>
      </c>
      <c r="F150" s="6" t="s">
        <v>704</v>
      </c>
      <c r="G150" s="6" t="s">
        <v>705</v>
      </c>
      <c r="H150" s="6" t="s">
        <v>706</v>
      </c>
      <c r="I150" s="6" t="s">
        <v>707</v>
      </c>
      <c r="J150" s="6" t="s">
        <v>708</v>
      </c>
      <c r="K150" s="5"/>
      <c r="L150" s="4" t="s">
        <v>27</v>
      </c>
      <c r="M150" s="8" t="s">
        <v>79</v>
      </c>
      <c r="N150" s="9" t="s">
        <v>246</v>
      </c>
      <c r="O150" s="5"/>
      <c r="P150" s="5"/>
      <c r="Q150" s="6" t="s">
        <v>30</v>
      </c>
      <c r="R150" s="4" t="s">
        <v>31</v>
      </c>
      <c r="S150" s="7" t="s">
        <v>32</v>
      </c>
      <c r="T150" s="5"/>
    </row>
    <row r="151" customFormat="false" ht="43.5" hidden="false" customHeight="true" outlineLevel="0" collapsed="false">
      <c r="A151" s="4" t="n">
        <v>150</v>
      </c>
      <c r="B151" s="6" t="s">
        <v>95</v>
      </c>
      <c r="C151" s="6" t="s">
        <v>233</v>
      </c>
      <c r="D151" s="6" t="s">
        <v>234</v>
      </c>
      <c r="E151" s="7" t="s">
        <v>21</v>
      </c>
      <c r="F151" s="6" t="s">
        <v>709</v>
      </c>
      <c r="G151" s="6" t="s">
        <v>710</v>
      </c>
      <c r="H151" s="6" t="s">
        <v>711</v>
      </c>
      <c r="I151" s="6" t="s">
        <v>712</v>
      </c>
      <c r="J151" s="6" t="s">
        <v>713</v>
      </c>
      <c r="K151" s="5"/>
      <c r="L151" s="4" t="s">
        <v>27</v>
      </c>
      <c r="M151" s="8" t="s">
        <v>28</v>
      </c>
      <c r="N151" s="9" t="s">
        <v>246</v>
      </c>
      <c r="O151" s="5"/>
      <c r="P151" s="5"/>
      <c r="Q151" s="6" t="s">
        <v>30</v>
      </c>
      <c r="R151" s="4" t="s">
        <v>31</v>
      </c>
      <c r="S151" s="7" t="s">
        <v>32</v>
      </c>
      <c r="T151" s="5"/>
    </row>
    <row r="152" customFormat="false" ht="29.25" hidden="false" customHeight="true" outlineLevel="0" collapsed="false">
      <c r="A152" s="4" t="n">
        <v>151</v>
      </c>
      <c r="B152" s="6" t="s">
        <v>95</v>
      </c>
      <c r="C152" s="6" t="s">
        <v>233</v>
      </c>
      <c r="D152" s="6" t="s">
        <v>234</v>
      </c>
      <c r="E152" s="7" t="s">
        <v>21</v>
      </c>
      <c r="F152" s="6" t="s">
        <v>714</v>
      </c>
      <c r="G152" s="6" t="s">
        <v>705</v>
      </c>
      <c r="H152" s="6" t="s">
        <v>706</v>
      </c>
      <c r="I152" s="6" t="s">
        <v>715</v>
      </c>
      <c r="J152" s="6" t="s">
        <v>708</v>
      </c>
      <c r="K152" s="5"/>
      <c r="L152" s="4" t="s">
        <v>51</v>
      </c>
      <c r="M152" s="8" t="s">
        <v>129</v>
      </c>
      <c r="N152" s="9" t="s">
        <v>246</v>
      </c>
      <c r="O152" s="5"/>
      <c r="P152" s="5"/>
      <c r="Q152" s="6" t="s">
        <v>30</v>
      </c>
      <c r="R152" s="4" t="s">
        <v>31</v>
      </c>
      <c r="S152" s="7" t="s">
        <v>32</v>
      </c>
      <c r="T152" s="5"/>
    </row>
    <row r="153" customFormat="false" ht="29.25" hidden="false" customHeight="true" outlineLevel="0" collapsed="false">
      <c r="A153" s="4" t="n">
        <v>152</v>
      </c>
      <c r="B153" s="6" t="s">
        <v>95</v>
      </c>
      <c r="C153" s="6" t="s">
        <v>233</v>
      </c>
      <c r="D153" s="6" t="s">
        <v>234</v>
      </c>
      <c r="E153" s="7" t="s">
        <v>21</v>
      </c>
      <c r="F153" s="6" t="s">
        <v>716</v>
      </c>
      <c r="G153" s="6" t="s">
        <v>717</v>
      </c>
      <c r="H153" s="6" t="s">
        <v>718</v>
      </c>
      <c r="I153" s="6" t="s">
        <v>719</v>
      </c>
      <c r="J153" s="6" t="s">
        <v>78</v>
      </c>
      <c r="K153" s="5"/>
      <c r="L153" s="4" t="s">
        <v>44</v>
      </c>
      <c r="M153" s="8" t="s">
        <v>28</v>
      </c>
      <c r="N153" s="9" t="s">
        <v>252</v>
      </c>
      <c r="O153" s="5"/>
      <c r="P153" s="5"/>
      <c r="Q153" s="6" t="s">
        <v>30</v>
      </c>
      <c r="R153" s="4" t="s">
        <v>31</v>
      </c>
      <c r="S153" s="7" t="s">
        <v>32</v>
      </c>
      <c r="T153" s="5"/>
    </row>
    <row r="154" customFormat="false" ht="29.25" hidden="false" customHeight="true" outlineLevel="0" collapsed="false">
      <c r="A154" s="4" t="n">
        <v>153</v>
      </c>
      <c r="B154" s="6" t="s">
        <v>95</v>
      </c>
      <c r="C154" s="6" t="s">
        <v>233</v>
      </c>
      <c r="D154" s="6" t="s">
        <v>234</v>
      </c>
      <c r="E154" s="7" t="s">
        <v>21</v>
      </c>
      <c r="F154" s="6" t="s">
        <v>720</v>
      </c>
      <c r="G154" s="6" t="s">
        <v>721</v>
      </c>
      <c r="H154" s="6" t="s">
        <v>722</v>
      </c>
      <c r="I154" s="6" t="s">
        <v>78</v>
      </c>
      <c r="J154" s="6" t="s">
        <v>150</v>
      </c>
      <c r="K154" s="5"/>
      <c r="L154" s="4" t="s">
        <v>27</v>
      </c>
      <c r="M154" s="8" t="s">
        <v>28</v>
      </c>
      <c r="N154" s="9" t="s">
        <v>723</v>
      </c>
      <c r="O154" s="5"/>
      <c r="P154" s="5"/>
      <c r="Q154" s="6" t="s">
        <v>30</v>
      </c>
      <c r="R154" s="4" t="s">
        <v>31</v>
      </c>
      <c r="S154" s="7" t="s">
        <v>32</v>
      </c>
      <c r="T154" s="5"/>
    </row>
    <row r="155" customFormat="false" ht="29.25" hidden="false" customHeight="true" outlineLevel="0" collapsed="false">
      <c r="A155" s="4" t="n">
        <v>154</v>
      </c>
      <c r="B155" s="6" t="s">
        <v>95</v>
      </c>
      <c r="C155" s="6" t="s">
        <v>233</v>
      </c>
      <c r="D155" s="6" t="s">
        <v>234</v>
      </c>
      <c r="E155" s="7" t="s">
        <v>21</v>
      </c>
      <c r="F155" s="6" t="s">
        <v>724</v>
      </c>
      <c r="G155" s="6" t="s">
        <v>680</v>
      </c>
      <c r="H155" s="6" t="s">
        <v>725</v>
      </c>
      <c r="I155" s="6" t="s">
        <v>726</v>
      </c>
      <c r="J155" s="6" t="s">
        <v>727</v>
      </c>
      <c r="K155" s="5"/>
      <c r="L155" s="4" t="s">
        <v>27</v>
      </c>
      <c r="M155" s="8" t="s">
        <v>28</v>
      </c>
      <c r="N155" s="9" t="s">
        <v>252</v>
      </c>
      <c r="O155" s="5"/>
      <c r="P155" s="5"/>
      <c r="Q155" s="6" t="s">
        <v>30</v>
      </c>
      <c r="R155" s="4" t="s">
        <v>31</v>
      </c>
      <c r="S155" s="7" t="s">
        <v>32</v>
      </c>
      <c r="T155" s="5"/>
    </row>
    <row r="156" customFormat="false" ht="43.5" hidden="false" customHeight="true" outlineLevel="0" collapsed="false">
      <c r="A156" s="4" t="n">
        <v>155</v>
      </c>
      <c r="B156" s="6" t="s">
        <v>95</v>
      </c>
      <c r="C156" s="6" t="s">
        <v>233</v>
      </c>
      <c r="D156" s="6" t="s">
        <v>234</v>
      </c>
      <c r="E156" s="7" t="s">
        <v>21</v>
      </c>
      <c r="F156" s="6" t="s">
        <v>728</v>
      </c>
      <c r="G156" s="5" t="s">
        <v>314</v>
      </c>
      <c r="H156" s="5" t="s">
        <v>315</v>
      </c>
      <c r="I156" s="5" t="s">
        <v>316</v>
      </c>
      <c r="J156" s="5" t="s">
        <v>729</v>
      </c>
      <c r="K156" s="5"/>
      <c r="L156" s="4" t="s">
        <v>44</v>
      </c>
      <c r="M156" s="8" t="s">
        <v>28</v>
      </c>
      <c r="N156" s="9" t="s">
        <v>252</v>
      </c>
      <c r="O156" s="5"/>
      <c r="P156" s="5"/>
      <c r="Q156" s="6" t="s">
        <v>30</v>
      </c>
      <c r="R156" s="4" t="s">
        <v>31</v>
      </c>
      <c r="S156" s="7" t="s">
        <v>32</v>
      </c>
      <c r="T156" s="5"/>
    </row>
    <row r="157" customFormat="false" ht="29.25" hidden="false" customHeight="true" outlineLevel="0" collapsed="false">
      <c r="A157" s="4" t="n">
        <v>156</v>
      </c>
      <c r="B157" s="6" t="s">
        <v>95</v>
      </c>
      <c r="C157" s="6" t="s">
        <v>233</v>
      </c>
      <c r="D157" s="6" t="s">
        <v>234</v>
      </c>
      <c r="E157" s="7" t="s">
        <v>21</v>
      </c>
      <c r="F157" s="6" t="s">
        <v>730</v>
      </c>
      <c r="G157" s="6" t="s">
        <v>731</v>
      </c>
      <c r="H157" s="6" t="s">
        <v>732</v>
      </c>
      <c r="I157" s="6" t="s">
        <v>733</v>
      </c>
      <c r="J157" s="6" t="s">
        <v>734</v>
      </c>
      <c r="K157" s="5"/>
      <c r="L157" s="4" t="s">
        <v>27</v>
      </c>
      <c r="M157" s="8" t="s">
        <v>28</v>
      </c>
      <c r="N157" s="9" t="s">
        <v>252</v>
      </c>
      <c r="O157" s="5"/>
      <c r="P157" s="5"/>
      <c r="Q157" s="6" t="s">
        <v>30</v>
      </c>
      <c r="R157" s="4" t="s">
        <v>31</v>
      </c>
      <c r="S157" s="7" t="s">
        <v>32</v>
      </c>
      <c r="T157" s="5"/>
    </row>
    <row r="158" customFormat="false" ht="86.25" hidden="false" customHeight="true" outlineLevel="0" collapsed="false">
      <c r="A158" s="4" t="n">
        <v>157</v>
      </c>
      <c r="B158" s="6" t="s">
        <v>95</v>
      </c>
      <c r="C158" s="6" t="s">
        <v>233</v>
      </c>
      <c r="D158" s="6" t="s">
        <v>234</v>
      </c>
      <c r="E158" s="7" t="s">
        <v>21</v>
      </c>
      <c r="F158" s="6" t="s">
        <v>735</v>
      </c>
      <c r="G158" s="6" t="s">
        <v>736</v>
      </c>
      <c r="H158" s="6" t="s">
        <v>737</v>
      </c>
      <c r="I158" s="6" t="s">
        <v>738</v>
      </c>
      <c r="J158" s="6" t="s">
        <v>739</v>
      </c>
      <c r="K158" s="5"/>
      <c r="L158" s="4" t="s">
        <v>27</v>
      </c>
      <c r="M158" s="8" t="s">
        <v>28</v>
      </c>
      <c r="N158" s="9" t="s">
        <v>723</v>
      </c>
      <c r="O158" s="5"/>
      <c r="P158" s="5"/>
      <c r="Q158" s="6" t="s">
        <v>30</v>
      </c>
      <c r="R158" s="4" t="s">
        <v>31</v>
      </c>
      <c r="S158" s="7" t="s">
        <v>32</v>
      </c>
      <c r="T158" s="5"/>
    </row>
    <row r="159" customFormat="false" ht="43.5" hidden="false" customHeight="true" outlineLevel="0" collapsed="false">
      <c r="A159" s="4" t="n">
        <v>158</v>
      </c>
      <c r="B159" s="6" t="s">
        <v>95</v>
      </c>
      <c r="C159" s="6" t="s">
        <v>233</v>
      </c>
      <c r="D159" s="6" t="s">
        <v>234</v>
      </c>
      <c r="E159" s="7" t="s">
        <v>21</v>
      </c>
      <c r="F159" s="6" t="s">
        <v>740</v>
      </c>
      <c r="G159" s="6" t="s">
        <v>741</v>
      </c>
      <c r="H159" s="6" t="s">
        <v>742</v>
      </c>
      <c r="I159" s="6" t="s">
        <v>743</v>
      </c>
      <c r="J159" s="6" t="s">
        <v>744</v>
      </c>
      <c r="K159" s="5"/>
      <c r="L159" s="4" t="s">
        <v>27</v>
      </c>
      <c r="M159" s="8" t="s">
        <v>28</v>
      </c>
      <c r="N159" s="9" t="s">
        <v>246</v>
      </c>
      <c r="O159" s="5"/>
      <c r="P159" s="5"/>
      <c r="Q159" s="6" t="s">
        <v>30</v>
      </c>
      <c r="R159" s="4" t="s">
        <v>31</v>
      </c>
      <c r="S159" s="7" t="s">
        <v>32</v>
      </c>
      <c r="T159" s="5"/>
    </row>
    <row r="160" customFormat="false" ht="29.25" hidden="false" customHeight="true" outlineLevel="0" collapsed="false">
      <c r="A160" s="4" t="n">
        <v>159</v>
      </c>
      <c r="B160" s="6" t="s">
        <v>95</v>
      </c>
      <c r="C160" s="6" t="s">
        <v>233</v>
      </c>
      <c r="D160" s="6" t="s">
        <v>234</v>
      </c>
      <c r="E160" s="7" t="s">
        <v>21</v>
      </c>
      <c r="F160" s="6" t="s">
        <v>745</v>
      </c>
      <c r="G160" s="6" t="s">
        <v>746</v>
      </c>
      <c r="H160" s="6" t="s">
        <v>747</v>
      </c>
      <c r="I160" s="6" t="s">
        <v>748</v>
      </c>
      <c r="J160" s="6" t="s">
        <v>150</v>
      </c>
      <c r="K160" s="5"/>
      <c r="L160" s="4" t="s">
        <v>27</v>
      </c>
      <c r="M160" s="8" t="s">
        <v>28</v>
      </c>
      <c r="N160" s="9" t="s">
        <v>723</v>
      </c>
      <c r="O160" s="5"/>
      <c r="P160" s="5"/>
      <c r="Q160" s="6" t="s">
        <v>30</v>
      </c>
      <c r="R160" s="4" t="s">
        <v>31</v>
      </c>
      <c r="S160" s="7" t="s">
        <v>32</v>
      </c>
      <c r="T160" s="5"/>
    </row>
    <row r="161" customFormat="false" ht="29.25" hidden="false" customHeight="true" outlineLevel="0" collapsed="false">
      <c r="A161" s="4" t="n">
        <v>160</v>
      </c>
      <c r="B161" s="6" t="s">
        <v>95</v>
      </c>
      <c r="C161" s="6" t="s">
        <v>233</v>
      </c>
      <c r="D161" s="6" t="s">
        <v>234</v>
      </c>
      <c r="E161" s="7" t="s">
        <v>21</v>
      </c>
      <c r="F161" s="6" t="s">
        <v>749</v>
      </c>
      <c r="G161" s="6" t="s">
        <v>750</v>
      </c>
      <c r="H161" s="6" t="s">
        <v>751</v>
      </c>
      <c r="I161" s="6" t="s">
        <v>752</v>
      </c>
      <c r="J161" s="6" t="s">
        <v>150</v>
      </c>
      <c r="K161" s="5"/>
      <c r="L161" s="4" t="s">
        <v>51</v>
      </c>
      <c r="M161" s="8" t="s">
        <v>28</v>
      </c>
      <c r="N161" s="9" t="s">
        <v>723</v>
      </c>
      <c r="O161" s="5"/>
      <c r="P161" s="5"/>
      <c r="Q161" s="6" t="s">
        <v>30</v>
      </c>
      <c r="R161" s="4" t="s">
        <v>31</v>
      </c>
      <c r="S161" s="7" t="s">
        <v>32</v>
      </c>
      <c r="T161" s="5"/>
    </row>
    <row r="162" customFormat="false" ht="29.25" hidden="false" customHeight="true" outlineLevel="0" collapsed="false">
      <c r="A162" s="4" t="n">
        <v>161</v>
      </c>
      <c r="B162" s="6" t="s">
        <v>95</v>
      </c>
      <c r="C162" s="6" t="s">
        <v>233</v>
      </c>
      <c r="D162" s="6" t="s">
        <v>234</v>
      </c>
      <c r="E162" s="7" t="s">
        <v>21</v>
      </c>
      <c r="F162" s="6" t="s">
        <v>753</v>
      </c>
      <c r="G162" s="6" t="s">
        <v>746</v>
      </c>
      <c r="H162" s="6" t="s">
        <v>747</v>
      </c>
      <c r="I162" s="6" t="s">
        <v>748</v>
      </c>
      <c r="J162" s="6" t="s">
        <v>150</v>
      </c>
      <c r="K162" s="5"/>
      <c r="L162" s="4" t="s">
        <v>62</v>
      </c>
      <c r="M162" s="8" t="s">
        <v>79</v>
      </c>
      <c r="N162" s="9" t="s">
        <v>723</v>
      </c>
      <c r="O162" s="5"/>
      <c r="P162" s="5"/>
      <c r="Q162" s="6" t="s">
        <v>30</v>
      </c>
      <c r="R162" s="4" t="s">
        <v>31</v>
      </c>
      <c r="S162" s="7" t="s">
        <v>32</v>
      </c>
      <c r="T162" s="5"/>
    </row>
    <row r="163" customFormat="false" ht="43.5" hidden="false" customHeight="true" outlineLevel="0" collapsed="false">
      <c r="A163" s="4" t="n">
        <v>162</v>
      </c>
      <c r="B163" s="6" t="s">
        <v>95</v>
      </c>
      <c r="C163" s="6" t="s">
        <v>233</v>
      </c>
      <c r="D163" s="6" t="s">
        <v>234</v>
      </c>
      <c r="E163" s="7" t="s">
        <v>21</v>
      </c>
      <c r="F163" s="6" t="s">
        <v>754</v>
      </c>
      <c r="G163" s="5" t="s">
        <v>755</v>
      </c>
      <c r="H163" s="5" t="s">
        <v>756</v>
      </c>
      <c r="I163" s="5" t="s">
        <v>757</v>
      </c>
      <c r="J163" s="5" t="s">
        <v>758</v>
      </c>
      <c r="K163" s="5"/>
      <c r="L163" s="4" t="s">
        <v>62</v>
      </c>
      <c r="M163" s="8" t="s">
        <v>28</v>
      </c>
      <c r="N163" s="9" t="s">
        <v>759</v>
      </c>
      <c r="O163" s="5"/>
      <c r="P163" s="5"/>
      <c r="Q163" s="6" t="s">
        <v>30</v>
      </c>
      <c r="R163" s="4" t="s">
        <v>31</v>
      </c>
      <c r="S163" s="7" t="s">
        <v>32</v>
      </c>
      <c r="T163" s="5"/>
    </row>
    <row r="164" customFormat="false" ht="43.5" hidden="false" customHeight="true" outlineLevel="0" collapsed="false">
      <c r="A164" s="4" t="n">
        <v>163</v>
      </c>
      <c r="B164" s="6" t="s">
        <v>95</v>
      </c>
      <c r="C164" s="6" t="s">
        <v>233</v>
      </c>
      <c r="D164" s="6" t="s">
        <v>234</v>
      </c>
      <c r="E164" s="7" t="s">
        <v>21</v>
      </c>
      <c r="F164" s="6" t="s">
        <v>760</v>
      </c>
      <c r="G164" s="6" t="s">
        <v>761</v>
      </c>
      <c r="H164" s="6" t="s">
        <v>762</v>
      </c>
      <c r="I164" s="6" t="s">
        <v>763</v>
      </c>
      <c r="J164" s="6" t="s">
        <v>764</v>
      </c>
      <c r="K164" s="5"/>
      <c r="L164" s="4" t="s">
        <v>44</v>
      </c>
      <c r="M164" s="8" t="s">
        <v>28</v>
      </c>
      <c r="N164" s="9" t="s">
        <v>317</v>
      </c>
      <c r="O164" s="5"/>
      <c r="P164" s="5"/>
      <c r="Q164" s="6" t="s">
        <v>30</v>
      </c>
      <c r="R164" s="4" t="s">
        <v>31</v>
      </c>
      <c r="S164" s="7" t="s">
        <v>32</v>
      </c>
      <c r="T164" s="5"/>
    </row>
    <row r="165" customFormat="false" ht="57.75" hidden="false" customHeight="true" outlineLevel="0" collapsed="false">
      <c r="A165" s="4" t="n">
        <v>164</v>
      </c>
      <c r="B165" s="6" t="s">
        <v>95</v>
      </c>
      <c r="C165" s="6" t="s">
        <v>233</v>
      </c>
      <c r="D165" s="6" t="s">
        <v>234</v>
      </c>
      <c r="E165" s="7" t="s">
        <v>21</v>
      </c>
      <c r="F165" s="6" t="s">
        <v>765</v>
      </c>
      <c r="G165" s="5" t="s">
        <v>766</v>
      </c>
      <c r="H165" s="5" t="s">
        <v>767</v>
      </c>
      <c r="I165" s="5" t="s">
        <v>768</v>
      </c>
      <c r="J165" s="5" t="s">
        <v>769</v>
      </c>
      <c r="K165" s="5"/>
      <c r="L165" s="4" t="s">
        <v>62</v>
      </c>
      <c r="M165" s="8" t="s">
        <v>28</v>
      </c>
      <c r="N165" s="9" t="s">
        <v>317</v>
      </c>
      <c r="O165" s="5"/>
      <c r="P165" s="5"/>
      <c r="Q165" s="6" t="s">
        <v>30</v>
      </c>
      <c r="R165" s="4" t="s">
        <v>31</v>
      </c>
      <c r="S165" s="7" t="s">
        <v>32</v>
      </c>
      <c r="T165" s="5"/>
    </row>
    <row r="166" customFormat="false" ht="29.25" hidden="false" customHeight="true" outlineLevel="0" collapsed="false">
      <c r="A166" s="4" t="n">
        <v>165</v>
      </c>
      <c r="B166" s="6" t="s">
        <v>95</v>
      </c>
      <c r="C166" s="6" t="s">
        <v>233</v>
      </c>
      <c r="D166" s="6" t="s">
        <v>234</v>
      </c>
      <c r="E166" s="7" t="s">
        <v>21</v>
      </c>
      <c r="F166" s="6" t="s">
        <v>770</v>
      </c>
      <c r="G166" s="6" t="s">
        <v>771</v>
      </c>
      <c r="H166" s="6" t="s">
        <v>772</v>
      </c>
      <c r="I166" s="6" t="s">
        <v>532</v>
      </c>
      <c r="J166" s="6" t="s">
        <v>773</v>
      </c>
      <c r="K166" s="5"/>
      <c r="L166" s="4" t="s">
        <v>27</v>
      </c>
      <c r="M166" s="8" t="s">
        <v>28</v>
      </c>
      <c r="N166" s="9" t="s">
        <v>246</v>
      </c>
      <c r="O166" s="5"/>
      <c r="P166" s="5"/>
      <c r="Q166" s="6" t="s">
        <v>30</v>
      </c>
      <c r="R166" s="4" t="s">
        <v>31</v>
      </c>
      <c r="S166" s="7" t="s">
        <v>32</v>
      </c>
      <c r="T166" s="5"/>
    </row>
    <row r="167" customFormat="false" ht="29.25" hidden="false" customHeight="true" outlineLevel="0" collapsed="false">
      <c r="A167" s="4" t="n">
        <v>166</v>
      </c>
      <c r="B167" s="6" t="s">
        <v>95</v>
      </c>
      <c r="C167" s="6" t="s">
        <v>233</v>
      </c>
      <c r="D167" s="6" t="s">
        <v>234</v>
      </c>
      <c r="E167" s="7" t="s">
        <v>21</v>
      </c>
      <c r="F167" s="6" t="s">
        <v>774</v>
      </c>
      <c r="G167" s="6" t="s">
        <v>775</v>
      </c>
      <c r="H167" s="6" t="s">
        <v>776</v>
      </c>
      <c r="I167" s="6" t="s">
        <v>777</v>
      </c>
      <c r="J167" s="6" t="s">
        <v>778</v>
      </c>
      <c r="K167" s="5"/>
      <c r="L167" s="4" t="s">
        <v>62</v>
      </c>
      <c r="M167" s="8" t="s">
        <v>28</v>
      </c>
      <c r="N167" s="9" t="s">
        <v>246</v>
      </c>
      <c r="O167" s="5"/>
      <c r="P167" s="5"/>
      <c r="Q167" s="6" t="s">
        <v>30</v>
      </c>
      <c r="R167" s="4" t="s">
        <v>31</v>
      </c>
      <c r="S167" s="7" t="s">
        <v>32</v>
      </c>
      <c r="T167" s="5"/>
    </row>
    <row r="168" customFormat="false" ht="29.25" hidden="false" customHeight="true" outlineLevel="0" collapsed="false">
      <c r="A168" s="4" t="n">
        <v>167</v>
      </c>
      <c r="B168" s="6" t="s">
        <v>95</v>
      </c>
      <c r="C168" s="6" t="s">
        <v>233</v>
      </c>
      <c r="D168" s="6" t="s">
        <v>234</v>
      </c>
      <c r="E168" s="7" t="s">
        <v>21</v>
      </c>
      <c r="F168" s="6" t="s">
        <v>779</v>
      </c>
      <c r="G168" s="6" t="s">
        <v>780</v>
      </c>
      <c r="H168" s="6" t="s">
        <v>213</v>
      </c>
      <c r="I168" s="6" t="s">
        <v>536</v>
      </c>
      <c r="J168" s="6" t="s">
        <v>781</v>
      </c>
      <c r="K168" s="5"/>
      <c r="L168" s="4" t="s">
        <v>62</v>
      </c>
      <c r="M168" s="8" t="s">
        <v>79</v>
      </c>
      <c r="N168" s="9" t="s">
        <v>246</v>
      </c>
      <c r="O168" s="5"/>
      <c r="P168" s="5"/>
      <c r="Q168" s="6" t="s">
        <v>30</v>
      </c>
      <c r="R168" s="4" t="s">
        <v>31</v>
      </c>
      <c r="S168" s="7" t="s">
        <v>32</v>
      </c>
      <c r="T168" s="5"/>
    </row>
    <row r="169" customFormat="false" ht="72" hidden="false" customHeight="true" outlineLevel="0" collapsed="false">
      <c r="A169" s="4" t="n">
        <v>168</v>
      </c>
      <c r="B169" s="6" t="s">
        <v>95</v>
      </c>
      <c r="C169" s="6" t="s">
        <v>233</v>
      </c>
      <c r="D169" s="6" t="s">
        <v>234</v>
      </c>
      <c r="E169" s="7" t="s">
        <v>21</v>
      </c>
      <c r="F169" s="6" t="s">
        <v>782</v>
      </c>
      <c r="G169" s="6" t="s">
        <v>783</v>
      </c>
      <c r="H169" s="6" t="s">
        <v>784</v>
      </c>
      <c r="I169" s="6" t="s">
        <v>785</v>
      </c>
      <c r="J169" s="6" t="s">
        <v>786</v>
      </c>
      <c r="K169" s="5"/>
      <c r="L169" s="4" t="s">
        <v>27</v>
      </c>
      <c r="M169" s="8" t="s">
        <v>28</v>
      </c>
      <c r="N169" s="9" t="s">
        <v>246</v>
      </c>
      <c r="O169" s="5"/>
      <c r="P169" s="5"/>
      <c r="Q169" s="6" t="s">
        <v>30</v>
      </c>
      <c r="R169" s="4" t="s">
        <v>31</v>
      </c>
      <c r="S169" s="7" t="s">
        <v>32</v>
      </c>
      <c r="T169" s="5"/>
    </row>
    <row r="170" customFormat="false" ht="29.25" hidden="false" customHeight="true" outlineLevel="0" collapsed="false">
      <c r="A170" s="4" t="n">
        <v>169</v>
      </c>
      <c r="B170" s="6" t="s">
        <v>95</v>
      </c>
      <c r="C170" s="6" t="s">
        <v>233</v>
      </c>
      <c r="D170" s="6" t="s">
        <v>234</v>
      </c>
      <c r="E170" s="7" t="s">
        <v>21</v>
      </c>
      <c r="F170" s="6" t="s">
        <v>787</v>
      </c>
      <c r="G170" s="5" t="s">
        <v>788</v>
      </c>
      <c r="H170" s="5" t="s">
        <v>789</v>
      </c>
      <c r="I170" s="5" t="s">
        <v>790</v>
      </c>
      <c r="J170" s="5" t="s">
        <v>338</v>
      </c>
      <c r="K170" s="5"/>
      <c r="L170" s="4" t="s">
        <v>44</v>
      </c>
      <c r="M170" s="8" t="s">
        <v>79</v>
      </c>
      <c r="N170" s="9" t="s">
        <v>246</v>
      </c>
      <c r="O170" s="5"/>
      <c r="P170" s="5"/>
      <c r="Q170" s="6" t="s">
        <v>30</v>
      </c>
      <c r="R170" s="4" t="s">
        <v>31</v>
      </c>
      <c r="S170" s="7" t="s">
        <v>32</v>
      </c>
      <c r="T170" s="5"/>
    </row>
    <row r="171" customFormat="false" ht="43.5" hidden="false" customHeight="true" outlineLevel="0" collapsed="false">
      <c r="A171" s="4" t="n">
        <v>170</v>
      </c>
      <c r="B171" s="6" t="s">
        <v>95</v>
      </c>
      <c r="C171" s="6" t="s">
        <v>233</v>
      </c>
      <c r="D171" s="6" t="s">
        <v>234</v>
      </c>
      <c r="E171" s="7" t="s">
        <v>21</v>
      </c>
      <c r="F171" s="6" t="s">
        <v>791</v>
      </c>
      <c r="G171" s="6" t="s">
        <v>792</v>
      </c>
      <c r="H171" s="6" t="s">
        <v>793</v>
      </c>
      <c r="I171" s="6" t="s">
        <v>794</v>
      </c>
      <c r="J171" s="6" t="s">
        <v>150</v>
      </c>
      <c r="K171" s="5"/>
      <c r="L171" s="4" t="s">
        <v>27</v>
      </c>
      <c r="M171" s="8" t="s">
        <v>28</v>
      </c>
      <c r="N171" s="9" t="s">
        <v>240</v>
      </c>
      <c r="O171" s="5"/>
      <c r="P171" s="5"/>
      <c r="Q171" s="6" t="s">
        <v>30</v>
      </c>
      <c r="R171" s="4" t="s">
        <v>31</v>
      </c>
      <c r="S171" s="7" t="s">
        <v>32</v>
      </c>
      <c r="T171" s="5"/>
    </row>
    <row r="172" customFormat="false" ht="43.5" hidden="false" customHeight="true" outlineLevel="0" collapsed="false">
      <c r="A172" s="4" t="n">
        <v>171</v>
      </c>
      <c r="B172" s="6" t="s">
        <v>95</v>
      </c>
      <c r="C172" s="6" t="s">
        <v>233</v>
      </c>
      <c r="D172" s="6" t="s">
        <v>234</v>
      </c>
      <c r="E172" s="7" t="s">
        <v>21</v>
      </c>
      <c r="F172" s="6" t="s">
        <v>795</v>
      </c>
      <c r="G172" s="6" t="s">
        <v>796</v>
      </c>
      <c r="H172" s="6" t="s">
        <v>797</v>
      </c>
      <c r="I172" s="6" t="s">
        <v>798</v>
      </c>
      <c r="J172" s="6" t="s">
        <v>686</v>
      </c>
      <c r="K172" s="5"/>
      <c r="L172" s="4" t="s">
        <v>51</v>
      </c>
      <c r="M172" s="8" t="s">
        <v>28</v>
      </c>
      <c r="N172" s="9" t="s">
        <v>240</v>
      </c>
      <c r="O172" s="5"/>
      <c r="P172" s="5"/>
      <c r="Q172" s="6" t="s">
        <v>30</v>
      </c>
      <c r="R172" s="4" t="s">
        <v>31</v>
      </c>
      <c r="S172" s="7" t="s">
        <v>32</v>
      </c>
      <c r="T172" s="5"/>
    </row>
    <row r="173" customFormat="false" ht="29.25" hidden="false" customHeight="true" outlineLevel="0" collapsed="false">
      <c r="A173" s="4" t="n">
        <v>172</v>
      </c>
      <c r="B173" s="6" t="s">
        <v>95</v>
      </c>
      <c r="C173" s="6" t="s">
        <v>233</v>
      </c>
      <c r="D173" s="6" t="s">
        <v>234</v>
      </c>
      <c r="E173" s="7" t="s">
        <v>21</v>
      </c>
      <c r="F173" s="6" t="s">
        <v>799</v>
      </c>
      <c r="G173" s="6" t="s">
        <v>800</v>
      </c>
      <c r="H173" s="6" t="s">
        <v>801</v>
      </c>
      <c r="I173" s="6" t="s">
        <v>802</v>
      </c>
      <c r="J173" s="6" t="s">
        <v>803</v>
      </c>
      <c r="K173" s="5"/>
      <c r="L173" s="4" t="s">
        <v>62</v>
      </c>
      <c r="M173" s="8" t="s">
        <v>79</v>
      </c>
      <c r="N173" s="9" t="s">
        <v>240</v>
      </c>
      <c r="O173" s="5"/>
      <c r="P173" s="5"/>
      <c r="Q173" s="6" t="s">
        <v>30</v>
      </c>
      <c r="R173" s="4" t="s">
        <v>31</v>
      </c>
      <c r="S173" s="7" t="s">
        <v>32</v>
      </c>
      <c r="T173" s="5"/>
    </row>
    <row r="174" customFormat="false" ht="57.75" hidden="false" customHeight="true" outlineLevel="0" collapsed="false">
      <c r="A174" s="4" t="n">
        <v>173</v>
      </c>
      <c r="B174" s="6" t="s">
        <v>95</v>
      </c>
      <c r="C174" s="6" t="s">
        <v>233</v>
      </c>
      <c r="D174" s="6" t="s">
        <v>234</v>
      </c>
      <c r="E174" s="7" t="s">
        <v>21</v>
      </c>
      <c r="F174" s="6" t="s">
        <v>804</v>
      </c>
      <c r="G174" s="6" t="s">
        <v>805</v>
      </c>
      <c r="H174" s="6" t="s">
        <v>806</v>
      </c>
      <c r="I174" s="6" t="s">
        <v>807</v>
      </c>
      <c r="J174" s="6" t="s">
        <v>808</v>
      </c>
      <c r="K174" s="5"/>
      <c r="L174" s="4" t="s">
        <v>27</v>
      </c>
      <c r="M174" s="8" t="s">
        <v>28</v>
      </c>
      <c r="N174" s="9" t="s">
        <v>252</v>
      </c>
      <c r="O174" s="5"/>
      <c r="P174" s="5"/>
      <c r="Q174" s="6" t="s">
        <v>30</v>
      </c>
      <c r="R174" s="4" t="s">
        <v>31</v>
      </c>
      <c r="S174" s="7" t="s">
        <v>32</v>
      </c>
      <c r="T174" s="5"/>
    </row>
    <row r="175" customFormat="false" ht="29.25" hidden="false" customHeight="true" outlineLevel="0" collapsed="false">
      <c r="A175" s="4" t="n">
        <v>174</v>
      </c>
      <c r="B175" s="6" t="s">
        <v>95</v>
      </c>
      <c r="C175" s="6" t="s">
        <v>233</v>
      </c>
      <c r="D175" s="6" t="s">
        <v>234</v>
      </c>
      <c r="E175" s="7" t="s">
        <v>21</v>
      </c>
      <c r="F175" s="6" t="s">
        <v>809</v>
      </c>
      <c r="G175" s="6" t="s">
        <v>689</v>
      </c>
      <c r="H175" s="6" t="s">
        <v>690</v>
      </c>
      <c r="I175" s="6" t="s">
        <v>810</v>
      </c>
      <c r="J175" s="6" t="s">
        <v>811</v>
      </c>
      <c r="K175" s="5"/>
      <c r="L175" s="4" t="s">
        <v>27</v>
      </c>
      <c r="M175" s="8" t="s">
        <v>79</v>
      </c>
      <c r="N175" s="9" t="s">
        <v>240</v>
      </c>
      <c r="O175" s="5"/>
      <c r="P175" s="5"/>
      <c r="Q175" s="6" t="s">
        <v>30</v>
      </c>
      <c r="R175" s="4" t="s">
        <v>31</v>
      </c>
      <c r="S175" s="7" t="s">
        <v>32</v>
      </c>
      <c r="T175" s="5"/>
    </row>
    <row r="176" customFormat="false" ht="57.75" hidden="false" customHeight="true" outlineLevel="0" collapsed="false">
      <c r="A176" s="4" t="n">
        <v>175</v>
      </c>
      <c r="B176" s="6" t="s">
        <v>95</v>
      </c>
      <c r="C176" s="6" t="s">
        <v>233</v>
      </c>
      <c r="D176" s="6" t="s">
        <v>234</v>
      </c>
      <c r="E176" s="7" t="s">
        <v>21</v>
      </c>
      <c r="F176" s="6" t="s">
        <v>812</v>
      </c>
      <c r="G176" s="6" t="s">
        <v>813</v>
      </c>
      <c r="H176" s="6" t="s">
        <v>814</v>
      </c>
      <c r="I176" s="6" t="s">
        <v>815</v>
      </c>
      <c r="J176" s="6" t="s">
        <v>816</v>
      </c>
      <c r="K176" s="5"/>
      <c r="L176" s="4" t="s">
        <v>44</v>
      </c>
      <c r="M176" s="8" t="s">
        <v>28</v>
      </c>
      <c r="N176" s="9" t="s">
        <v>447</v>
      </c>
      <c r="O176" s="5"/>
      <c r="P176" s="5"/>
      <c r="Q176" s="6" t="s">
        <v>30</v>
      </c>
      <c r="R176" s="4" t="s">
        <v>31</v>
      </c>
      <c r="S176" s="7" t="s">
        <v>32</v>
      </c>
      <c r="T176" s="5"/>
    </row>
    <row r="177" customFormat="false" ht="114.75" hidden="false" customHeight="true" outlineLevel="0" collapsed="false">
      <c r="A177" s="4" t="n">
        <v>176</v>
      </c>
      <c r="B177" s="6" t="s">
        <v>95</v>
      </c>
      <c r="C177" s="6" t="s">
        <v>233</v>
      </c>
      <c r="D177" s="6" t="s">
        <v>234</v>
      </c>
      <c r="E177" s="7" t="s">
        <v>21</v>
      </c>
      <c r="F177" s="6" t="s">
        <v>293</v>
      </c>
      <c r="G177" s="6" t="s">
        <v>817</v>
      </c>
      <c r="H177" s="6" t="s">
        <v>818</v>
      </c>
      <c r="I177" s="6" t="s">
        <v>819</v>
      </c>
      <c r="J177" s="6" t="s">
        <v>820</v>
      </c>
      <c r="K177" s="5"/>
      <c r="L177" s="4" t="s">
        <v>27</v>
      </c>
      <c r="M177" s="8" t="s">
        <v>28</v>
      </c>
      <c r="N177" s="9" t="s">
        <v>246</v>
      </c>
      <c r="O177" s="5"/>
      <c r="P177" s="5"/>
      <c r="Q177" s="6" t="s">
        <v>30</v>
      </c>
      <c r="R177" s="4" t="s">
        <v>31</v>
      </c>
      <c r="S177" s="7" t="s">
        <v>32</v>
      </c>
      <c r="T177" s="5"/>
    </row>
    <row r="178" customFormat="false" ht="29.25" hidden="false" customHeight="true" outlineLevel="0" collapsed="false">
      <c r="A178" s="4" t="n">
        <v>177</v>
      </c>
      <c r="B178" s="6" t="s">
        <v>95</v>
      </c>
      <c r="C178" s="6" t="s">
        <v>821</v>
      </c>
      <c r="D178" s="6" t="s">
        <v>822</v>
      </c>
      <c r="E178" s="7" t="s">
        <v>21</v>
      </c>
      <c r="F178" s="6" t="s">
        <v>823</v>
      </c>
      <c r="G178" s="5" t="s">
        <v>824</v>
      </c>
      <c r="H178" s="5" t="s">
        <v>825</v>
      </c>
      <c r="I178" s="5" t="s">
        <v>826</v>
      </c>
      <c r="J178" s="5" t="s">
        <v>827</v>
      </c>
      <c r="K178" s="5"/>
      <c r="L178" s="4" t="s">
        <v>44</v>
      </c>
      <c r="M178" s="8" t="s">
        <v>79</v>
      </c>
      <c r="N178" s="9" t="s">
        <v>828</v>
      </c>
      <c r="O178" s="5"/>
      <c r="P178" s="5"/>
      <c r="Q178" s="6" t="s">
        <v>30</v>
      </c>
      <c r="R178" s="4" t="s">
        <v>31</v>
      </c>
      <c r="S178" s="7" t="s">
        <v>32</v>
      </c>
      <c r="T178" s="5"/>
    </row>
    <row r="179" customFormat="false" ht="29.25" hidden="false" customHeight="true" outlineLevel="0" collapsed="false">
      <c r="A179" s="4" t="n">
        <v>178</v>
      </c>
      <c r="B179" s="6" t="s">
        <v>95</v>
      </c>
      <c r="C179" s="6" t="s">
        <v>821</v>
      </c>
      <c r="D179" s="6" t="s">
        <v>822</v>
      </c>
      <c r="E179" s="7" t="s">
        <v>21</v>
      </c>
      <c r="F179" s="6" t="s">
        <v>829</v>
      </c>
      <c r="G179" s="5" t="s">
        <v>830</v>
      </c>
      <c r="H179" s="5" t="s">
        <v>827</v>
      </c>
      <c r="I179" s="5" t="s">
        <v>831</v>
      </c>
      <c r="J179" s="5" t="s">
        <v>832</v>
      </c>
      <c r="K179" s="5"/>
      <c r="L179" s="4" t="s">
        <v>27</v>
      </c>
      <c r="M179" s="8" t="s">
        <v>79</v>
      </c>
      <c r="N179" s="9" t="s">
        <v>828</v>
      </c>
      <c r="O179" s="5"/>
      <c r="P179" s="5"/>
      <c r="Q179" s="6" t="s">
        <v>30</v>
      </c>
      <c r="R179" s="4" t="s">
        <v>31</v>
      </c>
      <c r="S179" s="7" t="s">
        <v>32</v>
      </c>
      <c r="T179" s="5"/>
    </row>
    <row r="180" customFormat="false" ht="29.25" hidden="false" customHeight="true" outlineLevel="0" collapsed="false">
      <c r="A180" s="4" t="n">
        <v>179</v>
      </c>
      <c r="B180" s="6" t="s">
        <v>95</v>
      </c>
      <c r="C180" s="6" t="s">
        <v>821</v>
      </c>
      <c r="D180" s="6" t="s">
        <v>822</v>
      </c>
      <c r="E180" s="7" t="s">
        <v>21</v>
      </c>
      <c r="F180" s="6" t="s">
        <v>833</v>
      </c>
      <c r="G180" s="5" t="s">
        <v>824</v>
      </c>
      <c r="H180" s="5" t="s">
        <v>825</v>
      </c>
      <c r="I180" s="5" t="s">
        <v>826</v>
      </c>
      <c r="J180" s="5" t="s">
        <v>827</v>
      </c>
      <c r="K180" s="5"/>
      <c r="L180" s="4" t="s">
        <v>27</v>
      </c>
      <c r="M180" s="8" t="s">
        <v>79</v>
      </c>
      <c r="N180" s="9" t="s">
        <v>828</v>
      </c>
      <c r="O180" s="5"/>
      <c r="P180" s="5"/>
      <c r="Q180" s="6" t="s">
        <v>30</v>
      </c>
      <c r="R180" s="4" t="s">
        <v>31</v>
      </c>
      <c r="S180" s="7" t="s">
        <v>32</v>
      </c>
      <c r="T180" s="5"/>
    </row>
    <row r="181" customFormat="false" ht="29.25" hidden="false" customHeight="true" outlineLevel="0" collapsed="false">
      <c r="A181" s="4" t="n">
        <v>180</v>
      </c>
      <c r="B181" s="6" t="s">
        <v>95</v>
      </c>
      <c r="C181" s="6" t="s">
        <v>821</v>
      </c>
      <c r="D181" s="6" t="s">
        <v>822</v>
      </c>
      <c r="E181" s="7" t="s">
        <v>21</v>
      </c>
      <c r="F181" s="6" t="s">
        <v>834</v>
      </c>
      <c r="G181" s="6" t="s">
        <v>835</v>
      </c>
      <c r="H181" s="6" t="s">
        <v>836</v>
      </c>
      <c r="I181" s="6" t="s">
        <v>837</v>
      </c>
      <c r="J181" s="6" t="s">
        <v>838</v>
      </c>
      <c r="K181" s="5"/>
      <c r="L181" s="4" t="s">
        <v>27</v>
      </c>
      <c r="M181" s="8" t="s">
        <v>129</v>
      </c>
      <c r="N181" s="9" t="s">
        <v>839</v>
      </c>
      <c r="O181" s="5"/>
      <c r="P181" s="5"/>
      <c r="Q181" s="6" t="s">
        <v>30</v>
      </c>
      <c r="R181" s="4" t="s">
        <v>31</v>
      </c>
      <c r="S181" s="7" t="s">
        <v>32</v>
      </c>
      <c r="T181" s="5"/>
    </row>
    <row r="182" customFormat="false" ht="100.5" hidden="false" customHeight="true" outlineLevel="0" collapsed="false">
      <c r="A182" s="4" t="n">
        <v>181</v>
      </c>
      <c r="B182" s="6" t="s">
        <v>95</v>
      </c>
      <c r="C182" s="6" t="s">
        <v>821</v>
      </c>
      <c r="D182" s="6" t="s">
        <v>822</v>
      </c>
      <c r="E182" s="7" t="s">
        <v>21</v>
      </c>
      <c r="F182" s="6" t="s">
        <v>840</v>
      </c>
      <c r="G182" s="6" t="s">
        <v>841</v>
      </c>
      <c r="H182" s="6" t="s">
        <v>842</v>
      </c>
      <c r="I182" s="6" t="s">
        <v>843</v>
      </c>
      <c r="J182" s="6" t="s">
        <v>844</v>
      </c>
      <c r="K182" s="5"/>
      <c r="L182" s="4" t="s">
        <v>44</v>
      </c>
      <c r="M182" s="8" t="s">
        <v>28</v>
      </c>
      <c r="N182" s="9" t="s">
        <v>828</v>
      </c>
      <c r="O182" s="5"/>
      <c r="P182" s="5"/>
      <c r="Q182" s="6" t="s">
        <v>30</v>
      </c>
      <c r="R182" s="4" t="s">
        <v>31</v>
      </c>
      <c r="S182" s="7" t="s">
        <v>32</v>
      </c>
      <c r="T182" s="5"/>
    </row>
    <row r="183" customFormat="false" ht="86.25" hidden="false" customHeight="true" outlineLevel="0" collapsed="false">
      <c r="A183" s="4" t="n">
        <v>182</v>
      </c>
      <c r="B183" s="6" t="s">
        <v>95</v>
      </c>
      <c r="C183" s="6" t="s">
        <v>821</v>
      </c>
      <c r="D183" s="6" t="s">
        <v>822</v>
      </c>
      <c r="E183" s="7" t="s">
        <v>21</v>
      </c>
      <c r="F183" s="6" t="s">
        <v>845</v>
      </c>
      <c r="G183" s="6" t="s">
        <v>846</v>
      </c>
      <c r="H183" s="6" t="s">
        <v>847</v>
      </c>
      <c r="I183" s="6" t="s">
        <v>848</v>
      </c>
      <c r="J183" s="6" t="s">
        <v>849</v>
      </c>
      <c r="K183" s="5"/>
      <c r="L183" s="4" t="s">
        <v>27</v>
      </c>
      <c r="M183" s="8" t="s">
        <v>28</v>
      </c>
      <c r="N183" s="9" t="s">
        <v>850</v>
      </c>
      <c r="O183" s="5"/>
      <c r="P183" s="5"/>
      <c r="Q183" s="6" t="s">
        <v>30</v>
      </c>
      <c r="R183" s="4" t="s">
        <v>31</v>
      </c>
      <c r="S183" s="7" t="s">
        <v>32</v>
      </c>
      <c r="T183" s="5"/>
    </row>
    <row r="184" customFormat="false" ht="29.25" hidden="false" customHeight="true" outlineLevel="0" collapsed="false">
      <c r="A184" s="4" t="n">
        <v>183</v>
      </c>
      <c r="B184" s="6" t="s">
        <v>95</v>
      </c>
      <c r="C184" s="6" t="s">
        <v>821</v>
      </c>
      <c r="D184" s="6" t="s">
        <v>822</v>
      </c>
      <c r="E184" s="7" t="s">
        <v>21</v>
      </c>
      <c r="F184" s="6" t="s">
        <v>851</v>
      </c>
      <c r="G184" s="5" t="s">
        <v>313</v>
      </c>
      <c r="H184" s="5" t="s">
        <v>314</v>
      </c>
      <c r="I184" s="5" t="s">
        <v>729</v>
      </c>
      <c r="J184" s="6" t="s">
        <v>852</v>
      </c>
      <c r="K184" s="5"/>
      <c r="L184" s="4" t="s">
        <v>62</v>
      </c>
      <c r="M184" s="8" t="s">
        <v>79</v>
      </c>
      <c r="N184" s="9" t="s">
        <v>853</v>
      </c>
      <c r="O184" s="5"/>
      <c r="P184" s="5"/>
      <c r="Q184" s="6" t="s">
        <v>30</v>
      </c>
      <c r="R184" s="4" t="s">
        <v>31</v>
      </c>
      <c r="S184" s="7" t="s">
        <v>32</v>
      </c>
      <c r="T184" s="5"/>
    </row>
    <row r="185" customFormat="false" ht="57.75" hidden="false" customHeight="true" outlineLevel="0" collapsed="false">
      <c r="A185" s="4" t="n">
        <v>184</v>
      </c>
      <c r="B185" s="6" t="s">
        <v>95</v>
      </c>
      <c r="C185" s="6" t="s">
        <v>821</v>
      </c>
      <c r="D185" s="6" t="s">
        <v>822</v>
      </c>
      <c r="E185" s="7" t="s">
        <v>21</v>
      </c>
      <c r="F185" s="6" t="s">
        <v>854</v>
      </c>
      <c r="G185" s="6" t="s">
        <v>855</v>
      </c>
      <c r="H185" s="6" t="s">
        <v>856</v>
      </c>
      <c r="I185" s="6" t="s">
        <v>857</v>
      </c>
      <c r="J185" s="6" t="s">
        <v>858</v>
      </c>
      <c r="K185" s="5"/>
      <c r="L185" s="4" t="s">
        <v>27</v>
      </c>
      <c r="M185" s="8" t="s">
        <v>28</v>
      </c>
      <c r="N185" s="9" t="s">
        <v>828</v>
      </c>
      <c r="O185" s="5"/>
      <c r="P185" s="5"/>
      <c r="Q185" s="6" t="s">
        <v>30</v>
      </c>
      <c r="R185" s="4" t="s">
        <v>31</v>
      </c>
      <c r="S185" s="7" t="s">
        <v>32</v>
      </c>
      <c r="T185" s="5"/>
    </row>
    <row r="186" customFormat="false" ht="86.25" hidden="false" customHeight="true" outlineLevel="0" collapsed="false">
      <c r="A186" s="4" t="n">
        <v>185</v>
      </c>
      <c r="B186" s="6" t="s">
        <v>95</v>
      </c>
      <c r="C186" s="6" t="s">
        <v>821</v>
      </c>
      <c r="D186" s="6" t="s">
        <v>822</v>
      </c>
      <c r="E186" s="7" t="s">
        <v>21</v>
      </c>
      <c r="F186" s="6" t="s">
        <v>859</v>
      </c>
      <c r="G186" s="6" t="s">
        <v>860</v>
      </c>
      <c r="H186" s="6" t="s">
        <v>861</v>
      </c>
      <c r="I186" s="6" t="s">
        <v>862</v>
      </c>
      <c r="J186" s="6" t="s">
        <v>863</v>
      </c>
      <c r="K186" s="5"/>
      <c r="L186" s="4" t="s">
        <v>27</v>
      </c>
      <c r="M186" s="8" t="s">
        <v>28</v>
      </c>
      <c r="N186" s="9" t="s">
        <v>828</v>
      </c>
      <c r="O186" s="5"/>
      <c r="P186" s="5"/>
      <c r="Q186" s="6" t="s">
        <v>30</v>
      </c>
      <c r="R186" s="4" t="s">
        <v>31</v>
      </c>
      <c r="S186" s="7" t="s">
        <v>32</v>
      </c>
      <c r="T186" s="5"/>
    </row>
    <row r="187" customFormat="false" ht="43.5" hidden="false" customHeight="true" outlineLevel="0" collapsed="false">
      <c r="A187" s="4" t="n">
        <v>186</v>
      </c>
      <c r="B187" s="6" t="s">
        <v>95</v>
      </c>
      <c r="C187" s="6" t="s">
        <v>821</v>
      </c>
      <c r="D187" s="6" t="s">
        <v>822</v>
      </c>
      <c r="E187" s="7" t="s">
        <v>21</v>
      </c>
      <c r="F187" s="6" t="s">
        <v>864</v>
      </c>
      <c r="G187" s="5" t="s">
        <v>865</v>
      </c>
      <c r="H187" s="5" t="s">
        <v>866</v>
      </c>
      <c r="I187" s="5" t="s">
        <v>867</v>
      </c>
      <c r="J187" s="5" t="s">
        <v>868</v>
      </c>
      <c r="K187" s="5"/>
      <c r="L187" s="4" t="s">
        <v>44</v>
      </c>
      <c r="M187" s="8" t="s">
        <v>28</v>
      </c>
      <c r="N187" s="9" t="s">
        <v>839</v>
      </c>
      <c r="O187" s="5"/>
      <c r="P187" s="5"/>
      <c r="Q187" s="6" t="s">
        <v>30</v>
      </c>
      <c r="R187" s="4" t="s">
        <v>31</v>
      </c>
      <c r="S187" s="7" t="s">
        <v>32</v>
      </c>
      <c r="T187" s="5"/>
    </row>
    <row r="188" customFormat="false" ht="57.75" hidden="false" customHeight="true" outlineLevel="0" collapsed="false">
      <c r="A188" s="4" t="n">
        <v>187</v>
      </c>
      <c r="B188" s="6" t="s">
        <v>95</v>
      </c>
      <c r="C188" s="6" t="s">
        <v>821</v>
      </c>
      <c r="D188" s="6" t="s">
        <v>822</v>
      </c>
      <c r="E188" s="7" t="s">
        <v>21</v>
      </c>
      <c r="F188" s="6" t="s">
        <v>869</v>
      </c>
      <c r="G188" s="6" t="s">
        <v>870</v>
      </c>
      <c r="H188" s="6" t="s">
        <v>871</v>
      </c>
      <c r="I188" s="6" t="s">
        <v>872</v>
      </c>
      <c r="J188" s="6" t="s">
        <v>873</v>
      </c>
      <c r="K188" s="5"/>
      <c r="L188" s="4" t="s">
        <v>27</v>
      </c>
      <c r="M188" s="8" t="s">
        <v>28</v>
      </c>
      <c r="N188" s="9" t="s">
        <v>839</v>
      </c>
      <c r="O188" s="5"/>
      <c r="P188" s="5"/>
      <c r="Q188" s="6" t="s">
        <v>30</v>
      </c>
      <c r="R188" s="4" t="s">
        <v>31</v>
      </c>
      <c r="S188" s="7" t="s">
        <v>32</v>
      </c>
      <c r="T188" s="5"/>
    </row>
    <row r="189" customFormat="false" ht="29.25" hidden="false" customHeight="true" outlineLevel="0" collapsed="false">
      <c r="A189" s="4" t="n">
        <v>188</v>
      </c>
      <c r="B189" s="6" t="s">
        <v>95</v>
      </c>
      <c r="C189" s="6" t="s">
        <v>821</v>
      </c>
      <c r="D189" s="6" t="s">
        <v>822</v>
      </c>
      <c r="E189" s="7" t="s">
        <v>21</v>
      </c>
      <c r="F189" s="6" t="s">
        <v>874</v>
      </c>
      <c r="G189" s="6" t="s">
        <v>875</v>
      </c>
      <c r="H189" s="6" t="s">
        <v>876</v>
      </c>
      <c r="I189" s="6" t="s">
        <v>877</v>
      </c>
      <c r="J189" s="6" t="s">
        <v>878</v>
      </c>
      <c r="K189" s="5"/>
      <c r="L189" s="4" t="s">
        <v>44</v>
      </c>
      <c r="M189" s="8" t="s">
        <v>28</v>
      </c>
      <c r="N189" s="9" t="s">
        <v>879</v>
      </c>
      <c r="O189" s="5"/>
      <c r="P189" s="5"/>
      <c r="Q189" s="6" t="s">
        <v>30</v>
      </c>
      <c r="R189" s="4" t="s">
        <v>31</v>
      </c>
      <c r="S189" s="7" t="s">
        <v>32</v>
      </c>
      <c r="T189" s="5"/>
    </row>
    <row r="190" customFormat="false" ht="29.25" hidden="false" customHeight="true" outlineLevel="0" collapsed="false">
      <c r="A190" s="4" t="n">
        <v>189</v>
      </c>
      <c r="B190" s="6" t="s">
        <v>95</v>
      </c>
      <c r="C190" s="6" t="s">
        <v>821</v>
      </c>
      <c r="D190" s="6" t="s">
        <v>822</v>
      </c>
      <c r="E190" s="7" t="s">
        <v>21</v>
      </c>
      <c r="F190" s="6" t="s">
        <v>880</v>
      </c>
      <c r="G190" s="6" t="s">
        <v>881</v>
      </c>
      <c r="H190" s="6" t="s">
        <v>882</v>
      </c>
      <c r="I190" s="6" t="s">
        <v>883</v>
      </c>
      <c r="J190" s="6" t="s">
        <v>878</v>
      </c>
      <c r="K190" s="5"/>
      <c r="L190" s="4" t="s">
        <v>27</v>
      </c>
      <c r="M190" s="8" t="s">
        <v>28</v>
      </c>
      <c r="N190" s="9" t="s">
        <v>879</v>
      </c>
      <c r="O190" s="5"/>
      <c r="P190" s="5"/>
      <c r="Q190" s="6" t="s">
        <v>30</v>
      </c>
      <c r="R190" s="4" t="s">
        <v>31</v>
      </c>
      <c r="S190" s="7" t="s">
        <v>32</v>
      </c>
      <c r="T190" s="5"/>
    </row>
    <row r="191" customFormat="false" ht="43.5" hidden="false" customHeight="true" outlineLevel="0" collapsed="false">
      <c r="A191" s="4" t="n">
        <v>190</v>
      </c>
      <c r="B191" s="6" t="s">
        <v>95</v>
      </c>
      <c r="C191" s="6" t="s">
        <v>821</v>
      </c>
      <c r="D191" s="6" t="s">
        <v>822</v>
      </c>
      <c r="E191" s="7" t="s">
        <v>21</v>
      </c>
      <c r="F191" s="6" t="s">
        <v>884</v>
      </c>
      <c r="G191" s="6" t="s">
        <v>885</v>
      </c>
      <c r="H191" s="6" t="s">
        <v>886</v>
      </c>
      <c r="I191" s="6" t="s">
        <v>887</v>
      </c>
      <c r="J191" s="6" t="s">
        <v>888</v>
      </c>
      <c r="K191" s="5"/>
      <c r="L191" s="4" t="s">
        <v>27</v>
      </c>
      <c r="M191" s="8" t="s">
        <v>28</v>
      </c>
      <c r="N191" s="9" t="s">
        <v>839</v>
      </c>
      <c r="O191" s="5"/>
      <c r="P191" s="5"/>
      <c r="Q191" s="6" t="s">
        <v>30</v>
      </c>
      <c r="R191" s="4" t="s">
        <v>31</v>
      </c>
      <c r="S191" s="7" t="s">
        <v>32</v>
      </c>
      <c r="T191" s="5"/>
    </row>
    <row r="192" customFormat="false" ht="86.25" hidden="false" customHeight="true" outlineLevel="0" collapsed="false">
      <c r="A192" s="4" t="n">
        <v>191</v>
      </c>
      <c r="B192" s="6" t="s">
        <v>95</v>
      </c>
      <c r="C192" s="6" t="s">
        <v>821</v>
      </c>
      <c r="D192" s="6" t="s">
        <v>822</v>
      </c>
      <c r="E192" s="7" t="s">
        <v>21</v>
      </c>
      <c r="F192" s="6" t="s">
        <v>889</v>
      </c>
      <c r="G192" s="6" t="s">
        <v>890</v>
      </c>
      <c r="H192" s="6" t="s">
        <v>891</v>
      </c>
      <c r="I192" s="6" t="s">
        <v>892</v>
      </c>
      <c r="J192" s="6" t="s">
        <v>893</v>
      </c>
      <c r="K192" s="5"/>
      <c r="L192" s="4" t="s">
        <v>62</v>
      </c>
      <c r="M192" s="8" t="s">
        <v>28</v>
      </c>
      <c r="N192" s="9" t="s">
        <v>828</v>
      </c>
      <c r="O192" s="5"/>
      <c r="P192" s="5"/>
      <c r="Q192" s="6" t="s">
        <v>30</v>
      </c>
      <c r="R192" s="4" t="s">
        <v>31</v>
      </c>
      <c r="S192" s="7" t="s">
        <v>32</v>
      </c>
      <c r="T192" s="5"/>
    </row>
    <row r="193" customFormat="false" ht="72" hidden="false" customHeight="true" outlineLevel="0" collapsed="false">
      <c r="A193" s="4" t="n">
        <v>192</v>
      </c>
      <c r="B193" s="6" t="s">
        <v>95</v>
      </c>
      <c r="C193" s="6" t="s">
        <v>821</v>
      </c>
      <c r="D193" s="6" t="s">
        <v>822</v>
      </c>
      <c r="E193" s="7" t="s">
        <v>21</v>
      </c>
      <c r="F193" s="6" t="s">
        <v>894</v>
      </c>
      <c r="G193" s="5" t="s">
        <v>895</v>
      </c>
      <c r="H193" s="5" t="s">
        <v>729</v>
      </c>
      <c r="I193" s="5" t="s">
        <v>896</v>
      </c>
      <c r="J193" s="5" t="s">
        <v>897</v>
      </c>
      <c r="K193" s="5"/>
      <c r="L193" s="4" t="s">
        <v>62</v>
      </c>
      <c r="M193" s="8" t="s">
        <v>28</v>
      </c>
      <c r="N193" s="9" t="s">
        <v>839</v>
      </c>
      <c r="O193" s="5"/>
      <c r="P193" s="5"/>
      <c r="Q193" s="6" t="s">
        <v>30</v>
      </c>
      <c r="R193" s="4" t="s">
        <v>31</v>
      </c>
      <c r="S193" s="7" t="s">
        <v>32</v>
      </c>
      <c r="T193" s="5"/>
    </row>
    <row r="194" customFormat="false" ht="29.25" hidden="false" customHeight="true" outlineLevel="0" collapsed="false">
      <c r="A194" s="4" t="n">
        <v>193</v>
      </c>
      <c r="B194" s="6" t="s">
        <v>95</v>
      </c>
      <c r="C194" s="6" t="s">
        <v>821</v>
      </c>
      <c r="D194" s="6" t="s">
        <v>822</v>
      </c>
      <c r="E194" s="7" t="s">
        <v>21</v>
      </c>
      <c r="F194" s="6" t="s">
        <v>898</v>
      </c>
      <c r="G194" s="6" t="s">
        <v>899</v>
      </c>
      <c r="H194" s="5" t="s">
        <v>314</v>
      </c>
      <c r="I194" s="5" t="s">
        <v>315</v>
      </c>
      <c r="J194" s="5" t="s">
        <v>900</v>
      </c>
      <c r="K194" s="5"/>
      <c r="L194" s="4" t="s">
        <v>62</v>
      </c>
      <c r="M194" s="8" t="s">
        <v>79</v>
      </c>
      <c r="N194" s="9" t="s">
        <v>901</v>
      </c>
      <c r="O194" s="5"/>
      <c r="P194" s="5"/>
      <c r="Q194" s="6" t="s">
        <v>30</v>
      </c>
      <c r="R194" s="4" t="s">
        <v>31</v>
      </c>
      <c r="S194" s="7" t="s">
        <v>32</v>
      </c>
      <c r="T194" s="5"/>
    </row>
    <row r="195" customFormat="false" ht="43.5" hidden="false" customHeight="true" outlineLevel="0" collapsed="false">
      <c r="A195" s="4" t="n">
        <v>194</v>
      </c>
      <c r="B195" s="6" t="s">
        <v>95</v>
      </c>
      <c r="C195" s="6" t="s">
        <v>821</v>
      </c>
      <c r="D195" s="6" t="s">
        <v>822</v>
      </c>
      <c r="E195" s="7" t="s">
        <v>21</v>
      </c>
      <c r="F195" s="6" t="s">
        <v>902</v>
      </c>
      <c r="G195" s="6" t="s">
        <v>903</v>
      </c>
      <c r="H195" s="6" t="s">
        <v>904</v>
      </c>
      <c r="I195" s="6" t="s">
        <v>905</v>
      </c>
      <c r="J195" s="6" t="s">
        <v>906</v>
      </c>
      <c r="K195" s="5"/>
      <c r="L195" s="4" t="s">
        <v>44</v>
      </c>
      <c r="M195" s="8" t="s">
        <v>28</v>
      </c>
      <c r="N195" s="9" t="s">
        <v>828</v>
      </c>
      <c r="O195" s="5"/>
      <c r="P195" s="5"/>
      <c r="Q195" s="6" t="s">
        <v>30</v>
      </c>
      <c r="R195" s="4" t="s">
        <v>31</v>
      </c>
      <c r="S195" s="7" t="s">
        <v>32</v>
      </c>
      <c r="T195" s="5"/>
    </row>
    <row r="196" customFormat="false" ht="29.25" hidden="false" customHeight="true" outlineLevel="0" collapsed="false">
      <c r="A196" s="4" t="n">
        <v>195</v>
      </c>
      <c r="B196" s="6" t="s">
        <v>95</v>
      </c>
      <c r="C196" s="6" t="s">
        <v>821</v>
      </c>
      <c r="D196" s="6" t="s">
        <v>822</v>
      </c>
      <c r="E196" s="7" t="s">
        <v>21</v>
      </c>
      <c r="F196" s="6" t="s">
        <v>907</v>
      </c>
      <c r="G196" s="6" t="s">
        <v>908</v>
      </c>
      <c r="H196" s="6" t="s">
        <v>909</v>
      </c>
      <c r="I196" s="6" t="s">
        <v>910</v>
      </c>
      <c r="J196" s="6" t="s">
        <v>911</v>
      </c>
      <c r="K196" s="5"/>
      <c r="L196" s="4" t="s">
        <v>51</v>
      </c>
      <c r="M196" s="8" t="s">
        <v>79</v>
      </c>
      <c r="N196" s="9" t="s">
        <v>828</v>
      </c>
      <c r="O196" s="5"/>
      <c r="P196" s="5"/>
      <c r="Q196" s="6" t="s">
        <v>30</v>
      </c>
      <c r="R196" s="4" t="s">
        <v>31</v>
      </c>
      <c r="S196" s="7" t="s">
        <v>32</v>
      </c>
      <c r="T196" s="5"/>
    </row>
    <row r="197" customFormat="false" ht="29.25" hidden="false" customHeight="true" outlineLevel="0" collapsed="false">
      <c r="A197" s="4" t="n">
        <v>196</v>
      </c>
      <c r="B197" s="6" t="s">
        <v>95</v>
      </c>
      <c r="C197" s="6" t="s">
        <v>821</v>
      </c>
      <c r="D197" s="6" t="s">
        <v>822</v>
      </c>
      <c r="E197" s="7" t="s">
        <v>21</v>
      </c>
      <c r="F197" s="6" t="s">
        <v>912</v>
      </c>
      <c r="G197" s="5" t="s">
        <v>913</v>
      </c>
      <c r="H197" s="5" t="s">
        <v>914</v>
      </c>
      <c r="I197" s="5" t="s">
        <v>348</v>
      </c>
      <c r="J197" s="5" t="s">
        <v>915</v>
      </c>
      <c r="K197" s="5"/>
      <c r="L197" s="4" t="s">
        <v>27</v>
      </c>
      <c r="M197" s="8" t="s">
        <v>28</v>
      </c>
      <c r="N197" s="9" t="s">
        <v>828</v>
      </c>
      <c r="O197" s="5"/>
      <c r="P197" s="5"/>
      <c r="Q197" s="6" t="s">
        <v>30</v>
      </c>
      <c r="R197" s="4" t="s">
        <v>31</v>
      </c>
      <c r="S197" s="7" t="s">
        <v>32</v>
      </c>
      <c r="T197" s="5"/>
    </row>
    <row r="198" customFormat="false" ht="29.25" hidden="false" customHeight="true" outlineLevel="0" collapsed="false">
      <c r="A198" s="4" t="n">
        <v>197</v>
      </c>
      <c r="B198" s="6" t="s">
        <v>95</v>
      </c>
      <c r="C198" s="6" t="s">
        <v>821</v>
      </c>
      <c r="D198" s="6" t="s">
        <v>822</v>
      </c>
      <c r="E198" s="7" t="s">
        <v>21</v>
      </c>
      <c r="F198" s="6" t="s">
        <v>916</v>
      </c>
      <c r="G198" s="6" t="s">
        <v>917</v>
      </c>
      <c r="H198" s="6" t="s">
        <v>918</v>
      </c>
      <c r="I198" s="6" t="s">
        <v>919</v>
      </c>
      <c r="J198" s="6" t="s">
        <v>920</v>
      </c>
      <c r="K198" s="5"/>
      <c r="L198" s="4" t="s">
        <v>44</v>
      </c>
      <c r="M198" s="8" t="s">
        <v>79</v>
      </c>
      <c r="N198" s="9" t="s">
        <v>828</v>
      </c>
      <c r="O198" s="5"/>
      <c r="P198" s="5"/>
      <c r="Q198" s="6" t="s">
        <v>30</v>
      </c>
      <c r="R198" s="4" t="s">
        <v>31</v>
      </c>
      <c r="S198" s="7" t="s">
        <v>32</v>
      </c>
      <c r="T198" s="5"/>
    </row>
    <row r="199" customFormat="false" ht="72" hidden="false" customHeight="true" outlineLevel="0" collapsed="false">
      <c r="A199" s="4" t="n">
        <v>198</v>
      </c>
      <c r="B199" s="6" t="s">
        <v>95</v>
      </c>
      <c r="C199" s="6" t="s">
        <v>821</v>
      </c>
      <c r="D199" s="6" t="s">
        <v>822</v>
      </c>
      <c r="E199" s="7" t="s">
        <v>21</v>
      </c>
      <c r="F199" s="6" t="s">
        <v>921</v>
      </c>
      <c r="G199" s="6" t="s">
        <v>922</v>
      </c>
      <c r="H199" s="6" t="s">
        <v>923</v>
      </c>
      <c r="I199" s="6" t="s">
        <v>924</v>
      </c>
      <c r="J199" s="6" t="s">
        <v>925</v>
      </c>
      <c r="K199" s="5"/>
      <c r="L199" s="4" t="s">
        <v>62</v>
      </c>
      <c r="M199" s="8" t="s">
        <v>28</v>
      </c>
      <c r="N199" s="9" t="s">
        <v>828</v>
      </c>
      <c r="O199" s="5"/>
      <c r="P199" s="5"/>
      <c r="Q199" s="6" t="s">
        <v>30</v>
      </c>
      <c r="R199" s="4" t="s">
        <v>31</v>
      </c>
      <c r="S199" s="7" t="s">
        <v>32</v>
      </c>
      <c r="T199" s="5"/>
    </row>
    <row r="200" customFormat="false" ht="72" hidden="false" customHeight="true" outlineLevel="0" collapsed="false">
      <c r="A200" s="4" t="n">
        <v>199</v>
      </c>
      <c r="B200" s="6" t="s">
        <v>95</v>
      </c>
      <c r="C200" s="6" t="s">
        <v>821</v>
      </c>
      <c r="D200" s="6" t="s">
        <v>822</v>
      </c>
      <c r="E200" s="7" t="s">
        <v>21</v>
      </c>
      <c r="F200" s="6" t="s">
        <v>926</v>
      </c>
      <c r="G200" s="6" t="s">
        <v>927</v>
      </c>
      <c r="H200" s="6" t="s">
        <v>928</v>
      </c>
      <c r="I200" s="6" t="s">
        <v>929</v>
      </c>
      <c r="J200" s="6" t="s">
        <v>930</v>
      </c>
      <c r="K200" s="5"/>
      <c r="L200" s="4" t="s">
        <v>62</v>
      </c>
      <c r="M200" s="8" t="s">
        <v>28</v>
      </c>
      <c r="N200" s="9" t="s">
        <v>828</v>
      </c>
      <c r="O200" s="5"/>
      <c r="P200" s="5"/>
      <c r="Q200" s="6" t="s">
        <v>30</v>
      </c>
      <c r="R200" s="4" t="s">
        <v>31</v>
      </c>
      <c r="S200" s="7" t="s">
        <v>32</v>
      </c>
      <c r="T200" s="5"/>
    </row>
    <row r="201" customFormat="false" ht="43.5" hidden="false" customHeight="true" outlineLevel="0" collapsed="false">
      <c r="A201" s="4" t="n">
        <v>200</v>
      </c>
      <c r="B201" s="6" t="s">
        <v>95</v>
      </c>
      <c r="C201" s="6" t="s">
        <v>821</v>
      </c>
      <c r="D201" s="6" t="s">
        <v>822</v>
      </c>
      <c r="E201" s="7" t="s">
        <v>21</v>
      </c>
      <c r="F201" s="6" t="s">
        <v>931</v>
      </c>
      <c r="G201" s="6" t="s">
        <v>932</v>
      </c>
      <c r="H201" s="6" t="s">
        <v>333</v>
      </c>
      <c r="I201" s="6" t="s">
        <v>332</v>
      </c>
      <c r="J201" s="6" t="s">
        <v>526</v>
      </c>
      <c r="K201" s="5"/>
      <c r="L201" s="4" t="s">
        <v>62</v>
      </c>
      <c r="M201" s="8" t="s">
        <v>28</v>
      </c>
      <c r="N201" s="9" t="s">
        <v>828</v>
      </c>
      <c r="O201" s="5"/>
      <c r="P201" s="5"/>
      <c r="Q201" s="6" t="s">
        <v>30</v>
      </c>
      <c r="R201" s="4" t="s">
        <v>31</v>
      </c>
      <c r="S201" s="7" t="s">
        <v>32</v>
      </c>
      <c r="T201" s="5"/>
    </row>
    <row r="202" customFormat="false" ht="43.5" hidden="false" customHeight="true" outlineLevel="0" collapsed="false">
      <c r="A202" s="4" t="n">
        <v>201</v>
      </c>
      <c r="B202" s="6" t="s">
        <v>95</v>
      </c>
      <c r="C202" s="6" t="s">
        <v>821</v>
      </c>
      <c r="D202" s="6" t="s">
        <v>822</v>
      </c>
      <c r="E202" s="7" t="s">
        <v>21</v>
      </c>
      <c r="F202" s="6" t="s">
        <v>933</v>
      </c>
      <c r="G202" s="6" t="s">
        <v>934</v>
      </c>
      <c r="H202" s="5" t="s">
        <v>935</v>
      </c>
      <c r="I202" s="6" t="s">
        <v>936</v>
      </c>
      <c r="J202" s="6" t="s">
        <v>937</v>
      </c>
      <c r="K202" s="5"/>
      <c r="L202" s="4" t="s">
        <v>44</v>
      </c>
      <c r="M202" s="8" t="s">
        <v>28</v>
      </c>
      <c r="N202" s="9" t="s">
        <v>938</v>
      </c>
      <c r="O202" s="5"/>
      <c r="P202" s="5"/>
      <c r="Q202" s="6" t="s">
        <v>30</v>
      </c>
      <c r="R202" s="4" t="s">
        <v>31</v>
      </c>
      <c r="S202" s="7" t="s">
        <v>32</v>
      </c>
      <c r="T202" s="5"/>
    </row>
    <row r="203" customFormat="false" ht="29.25" hidden="false" customHeight="true" outlineLevel="0" collapsed="false">
      <c r="A203" s="4" t="n">
        <v>202</v>
      </c>
      <c r="B203" s="6" t="s">
        <v>95</v>
      </c>
      <c r="C203" s="6" t="s">
        <v>821</v>
      </c>
      <c r="D203" s="6" t="s">
        <v>822</v>
      </c>
      <c r="E203" s="7" t="s">
        <v>21</v>
      </c>
      <c r="F203" s="6" t="s">
        <v>939</v>
      </c>
      <c r="G203" s="6" t="s">
        <v>932</v>
      </c>
      <c r="H203" s="6" t="s">
        <v>333</v>
      </c>
      <c r="I203" s="6" t="s">
        <v>332</v>
      </c>
      <c r="J203" s="6" t="s">
        <v>940</v>
      </c>
      <c r="K203" s="5"/>
      <c r="L203" s="4" t="s">
        <v>62</v>
      </c>
      <c r="M203" s="8" t="s">
        <v>79</v>
      </c>
      <c r="N203" s="9" t="s">
        <v>828</v>
      </c>
      <c r="O203" s="5"/>
      <c r="P203" s="5"/>
      <c r="Q203" s="6" t="s">
        <v>30</v>
      </c>
      <c r="R203" s="4" t="s">
        <v>31</v>
      </c>
      <c r="S203" s="7" t="s">
        <v>32</v>
      </c>
      <c r="T203" s="5"/>
    </row>
    <row r="204" customFormat="false" ht="29.25" hidden="false" customHeight="true" outlineLevel="0" collapsed="false">
      <c r="A204" s="4" t="n">
        <v>203</v>
      </c>
      <c r="B204" s="6" t="s">
        <v>95</v>
      </c>
      <c r="C204" s="6" t="s">
        <v>821</v>
      </c>
      <c r="D204" s="6" t="s">
        <v>822</v>
      </c>
      <c r="E204" s="7" t="s">
        <v>21</v>
      </c>
      <c r="F204" s="6" t="s">
        <v>941</v>
      </c>
      <c r="G204" s="6" t="s">
        <v>942</v>
      </c>
      <c r="H204" s="6" t="s">
        <v>943</v>
      </c>
      <c r="I204" s="6" t="s">
        <v>944</v>
      </c>
      <c r="J204" s="6" t="s">
        <v>945</v>
      </c>
      <c r="K204" s="5"/>
      <c r="L204" s="4" t="s">
        <v>27</v>
      </c>
      <c r="M204" s="8" t="s">
        <v>28</v>
      </c>
      <c r="N204" s="9" t="s">
        <v>839</v>
      </c>
      <c r="O204" s="5"/>
      <c r="P204" s="5"/>
      <c r="Q204" s="6" t="s">
        <v>30</v>
      </c>
      <c r="R204" s="4" t="s">
        <v>31</v>
      </c>
      <c r="S204" s="7" t="s">
        <v>32</v>
      </c>
      <c r="T204" s="5"/>
    </row>
    <row r="205" customFormat="false" ht="29.25" hidden="false" customHeight="true" outlineLevel="0" collapsed="false">
      <c r="A205" s="4" t="n">
        <v>204</v>
      </c>
      <c r="B205" s="6" t="s">
        <v>95</v>
      </c>
      <c r="C205" s="6" t="s">
        <v>821</v>
      </c>
      <c r="D205" s="6" t="s">
        <v>822</v>
      </c>
      <c r="E205" s="7" t="s">
        <v>21</v>
      </c>
      <c r="F205" s="6" t="s">
        <v>946</v>
      </c>
      <c r="G205" s="6" t="s">
        <v>947</v>
      </c>
      <c r="H205" s="6" t="s">
        <v>948</v>
      </c>
      <c r="I205" s="6" t="s">
        <v>949</v>
      </c>
      <c r="J205" s="6" t="s">
        <v>950</v>
      </c>
      <c r="K205" s="5"/>
      <c r="L205" s="4" t="s">
        <v>51</v>
      </c>
      <c r="M205" s="8" t="s">
        <v>28</v>
      </c>
      <c r="N205" s="9" t="s">
        <v>951</v>
      </c>
      <c r="O205" s="5"/>
      <c r="P205" s="5"/>
      <c r="Q205" s="6" t="s">
        <v>30</v>
      </c>
      <c r="R205" s="4" t="s">
        <v>31</v>
      </c>
      <c r="S205" s="7" t="s">
        <v>32</v>
      </c>
      <c r="T205" s="5"/>
    </row>
    <row r="206" customFormat="false" ht="29.25" hidden="false" customHeight="true" outlineLevel="0" collapsed="false">
      <c r="A206" s="4" t="n">
        <v>205</v>
      </c>
      <c r="B206" s="6" t="s">
        <v>95</v>
      </c>
      <c r="C206" s="6" t="s">
        <v>821</v>
      </c>
      <c r="D206" s="6" t="s">
        <v>822</v>
      </c>
      <c r="E206" s="7" t="s">
        <v>21</v>
      </c>
      <c r="F206" s="6" t="s">
        <v>952</v>
      </c>
      <c r="G206" s="6" t="s">
        <v>932</v>
      </c>
      <c r="H206" s="6" t="s">
        <v>333</v>
      </c>
      <c r="I206" s="6" t="s">
        <v>953</v>
      </c>
      <c r="J206" s="6" t="s">
        <v>954</v>
      </c>
      <c r="K206" s="5"/>
      <c r="L206" s="4" t="s">
        <v>51</v>
      </c>
      <c r="M206" s="8" t="s">
        <v>28</v>
      </c>
      <c r="N206" s="9" t="s">
        <v>839</v>
      </c>
      <c r="O206" s="5"/>
      <c r="P206" s="5"/>
      <c r="Q206" s="6" t="s">
        <v>30</v>
      </c>
      <c r="R206" s="4" t="s">
        <v>31</v>
      </c>
      <c r="S206" s="7" t="s">
        <v>32</v>
      </c>
      <c r="T206" s="5"/>
    </row>
    <row r="207" customFormat="false" ht="57.75" hidden="false" customHeight="true" outlineLevel="0" collapsed="false">
      <c r="A207" s="4" t="n">
        <v>206</v>
      </c>
      <c r="B207" s="6" t="s">
        <v>95</v>
      </c>
      <c r="C207" s="6" t="s">
        <v>821</v>
      </c>
      <c r="D207" s="6" t="s">
        <v>822</v>
      </c>
      <c r="E207" s="7" t="s">
        <v>21</v>
      </c>
      <c r="F207" s="6" t="s">
        <v>955</v>
      </c>
      <c r="G207" s="6" t="s">
        <v>956</v>
      </c>
      <c r="H207" s="6" t="s">
        <v>957</v>
      </c>
      <c r="I207" s="6" t="s">
        <v>958</v>
      </c>
      <c r="J207" s="6" t="s">
        <v>959</v>
      </c>
      <c r="K207" s="5"/>
      <c r="L207" s="4" t="s">
        <v>62</v>
      </c>
      <c r="M207" s="8" t="s">
        <v>28</v>
      </c>
      <c r="N207" s="9" t="s">
        <v>828</v>
      </c>
      <c r="O207" s="5"/>
      <c r="P207" s="5"/>
      <c r="Q207" s="6" t="s">
        <v>30</v>
      </c>
      <c r="R207" s="4" t="s">
        <v>31</v>
      </c>
      <c r="S207" s="7" t="s">
        <v>32</v>
      </c>
      <c r="T207" s="5"/>
    </row>
    <row r="208" customFormat="false" ht="57.75" hidden="false" customHeight="true" outlineLevel="0" collapsed="false">
      <c r="A208" s="4" t="n">
        <v>207</v>
      </c>
      <c r="B208" s="6" t="s">
        <v>95</v>
      </c>
      <c r="C208" s="6" t="s">
        <v>821</v>
      </c>
      <c r="D208" s="6" t="s">
        <v>822</v>
      </c>
      <c r="E208" s="7" t="s">
        <v>21</v>
      </c>
      <c r="F208" s="6" t="s">
        <v>955</v>
      </c>
      <c r="G208" s="6" t="s">
        <v>960</v>
      </c>
      <c r="H208" s="6" t="s">
        <v>961</v>
      </c>
      <c r="I208" s="6" t="s">
        <v>962</v>
      </c>
      <c r="J208" s="6" t="s">
        <v>963</v>
      </c>
      <c r="K208" s="5"/>
      <c r="L208" s="4" t="s">
        <v>27</v>
      </c>
      <c r="M208" s="8" t="s">
        <v>28</v>
      </c>
      <c r="N208" s="9" t="s">
        <v>828</v>
      </c>
      <c r="O208" s="5"/>
      <c r="P208" s="5"/>
      <c r="Q208" s="6" t="s">
        <v>30</v>
      </c>
      <c r="R208" s="4" t="s">
        <v>31</v>
      </c>
      <c r="S208" s="7" t="s">
        <v>32</v>
      </c>
      <c r="T208" s="5"/>
    </row>
    <row r="209" customFormat="false" ht="57.75" hidden="false" customHeight="true" outlineLevel="0" collapsed="false">
      <c r="A209" s="4" t="n">
        <v>208</v>
      </c>
      <c r="B209" s="6" t="s">
        <v>95</v>
      </c>
      <c r="C209" s="6" t="s">
        <v>821</v>
      </c>
      <c r="D209" s="6" t="s">
        <v>822</v>
      </c>
      <c r="E209" s="7" t="s">
        <v>21</v>
      </c>
      <c r="F209" s="6" t="s">
        <v>964</v>
      </c>
      <c r="G209" s="6" t="s">
        <v>965</v>
      </c>
      <c r="H209" s="6" t="s">
        <v>966</v>
      </c>
      <c r="I209" s="6" t="s">
        <v>967</v>
      </c>
      <c r="J209" s="6" t="s">
        <v>968</v>
      </c>
      <c r="K209" s="5"/>
      <c r="L209" s="4" t="s">
        <v>62</v>
      </c>
      <c r="M209" s="8" t="s">
        <v>28</v>
      </c>
      <c r="N209" s="9" t="s">
        <v>828</v>
      </c>
      <c r="O209" s="5"/>
      <c r="P209" s="5"/>
      <c r="Q209" s="6" t="s">
        <v>30</v>
      </c>
      <c r="R209" s="4" t="s">
        <v>31</v>
      </c>
      <c r="S209" s="7" t="s">
        <v>32</v>
      </c>
      <c r="T209" s="5"/>
    </row>
    <row r="210" customFormat="false" ht="100.5" hidden="false" customHeight="true" outlineLevel="0" collapsed="false">
      <c r="A210" s="4" t="n">
        <v>209</v>
      </c>
      <c r="B210" s="6" t="s">
        <v>95</v>
      </c>
      <c r="C210" s="6" t="s">
        <v>821</v>
      </c>
      <c r="D210" s="6" t="s">
        <v>822</v>
      </c>
      <c r="E210" s="7" t="s">
        <v>21</v>
      </c>
      <c r="F210" s="6" t="s">
        <v>366</v>
      </c>
      <c r="G210" s="6" t="s">
        <v>969</v>
      </c>
      <c r="H210" s="6" t="s">
        <v>970</v>
      </c>
      <c r="I210" s="6" t="s">
        <v>971</v>
      </c>
      <c r="J210" s="6" t="s">
        <v>972</v>
      </c>
      <c r="K210" s="5"/>
      <c r="L210" s="4" t="s">
        <v>51</v>
      </c>
      <c r="M210" s="8" t="s">
        <v>28</v>
      </c>
      <c r="N210" s="9" t="s">
        <v>973</v>
      </c>
      <c r="O210" s="5"/>
      <c r="P210" s="5"/>
      <c r="Q210" s="6" t="s">
        <v>30</v>
      </c>
      <c r="R210" s="4" t="s">
        <v>31</v>
      </c>
      <c r="S210" s="7" t="s">
        <v>32</v>
      </c>
      <c r="T210" s="5"/>
    </row>
    <row r="211" customFormat="false" ht="86.25" hidden="false" customHeight="true" outlineLevel="0" collapsed="false">
      <c r="A211" s="4" t="n">
        <v>210</v>
      </c>
      <c r="B211" s="6" t="s">
        <v>95</v>
      </c>
      <c r="C211" s="6" t="s">
        <v>821</v>
      </c>
      <c r="D211" s="6" t="s">
        <v>822</v>
      </c>
      <c r="E211" s="7" t="s">
        <v>21</v>
      </c>
      <c r="F211" s="6" t="s">
        <v>974</v>
      </c>
      <c r="G211" s="6" t="s">
        <v>975</v>
      </c>
      <c r="H211" s="6" t="s">
        <v>976</v>
      </c>
      <c r="I211" s="6" t="s">
        <v>977</v>
      </c>
      <c r="J211" s="6" t="s">
        <v>978</v>
      </c>
      <c r="K211" s="5"/>
      <c r="L211" s="4" t="s">
        <v>44</v>
      </c>
      <c r="M211" s="8" t="s">
        <v>28</v>
      </c>
      <c r="N211" s="9" t="s">
        <v>901</v>
      </c>
      <c r="O211" s="5"/>
      <c r="P211" s="5"/>
      <c r="Q211" s="6" t="s">
        <v>30</v>
      </c>
      <c r="R211" s="4" t="s">
        <v>31</v>
      </c>
      <c r="S211" s="7" t="s">
        <v>32</v>
      </c>
      <c r="T211" s="5"/>
    </row>
    <row r="212" customFormat="false" ht="86.25" hidden="false" customHeight="true" outlineLevel="0" collapsed="false">
      <c r="A212" s="4" t="n">
        <v>211</v>
      </c>
      <c r="B212" s="6" t="s">
        <v>95</v>
      </c>
      <c r="C212" s="6" t="s">
        <v>821</v>
      </c>
      <c r="D212" s="6" t="s">
        <v>822</v>
      </c>
      <c r="E212" s="7" t="s">
        <v>21</v>
      </c>
      <c r="F212" s="6" t="s">
        <v>979</v>
      </c>
      <c r="G212" s="6" t="s">
        <v>980</v>
      </c>
      <c r="H212" s="6" t="s">
        <v>981</v>
      </c>
      <c r="I212" s="6" t="s">
        <v>982</v>
      </c>
      <c r="J212" s="6" t="s">
        <v>983</v>
      </c>
      <c r="K212" s="5"/>
      <c r="L212" s="4" t="s">
        <v>27</v>
      </c>
      <c r="M212" s="8" t="s">
        <v>28</v>
      </c>
      <c r="N212" s="9" t="s">
        <v>828</v>
      </c>
      <c r="O212" s="5"/>
      <c r="P212" s="5"/>
      <c r="Q212" s="6" t="s">
        <v>30</v>
      </c>
      <c r="R212" s="4" t="s">
        <v>31</v>
      </c>
      <c r="S212" s="7" t="s">
        <v>32</v>
      </c>
      <c r="T212" s="5"/>
    </row>
    <row r="213" customFormat="false" ht="72" hidden="false" customHeight="true" outlineLevel="0" collapsed="false">
      <c r="A213" s="4" t="n">
        <v>212</v>
      </c>
      <c r="B213" s="6" t="s">
        <v>95</v>
      </c>
      <c r="C213" s="6" t="s">
        <v>821</v>
      </c>
      <c r="D213" s="6" t="s">
        <v>822</v>
      </c>
      <c r="E213" s="7" t="s">
        <v>21</v>
      </c>
      <c r="F213" s="6" t="s">
        <v>984</v>
      </c>
      <c r="G213" s="6" t="s">
        <v>985</v>
      </c>
      <c r="H213" s="6" t="s">
        <v>986</v>
      </c>
      <c r="I213" s="6" t="s">
        <v>987</v>
      </c>
      <c r="J213" s="6" t="s">
        <v>988</v>
      </c>
      <c r="K213" s="5"/>
      <c r="L213" s="4" t="s">
        <v>51</v>
      </c>
      <c r="M213" s="8" t="s">
        <v>28</v>
      </c>
      <c r="N213" s="9" t="s">
        <v>901</v>
      </c>
      <c r="O213" s="5"/>
      <c r="P213" s="5"/>
      <c r="Q213" s="6" t="s">
        <v>30</v>
      </c>
      <c r="R213" s="4" t="s">
        <v>31</v>
      </c>
      <c r="S213" s="7" t="s">
        <v>32</v>
      </c>
      <c r="T213" s="5"/>
    </row>
    <row r="214" customFormat="false" ht="43.5" hidden="false" customHeight="true" outlineLevel="0" collapsed="false">
      <c r="A214" s="4" t="n">
        <v>213</v>
      </c>
      <c r="B214" s="6" t="s">
        <v>95</v>
      </c>
      <c r="C214" s="6" t="s">
        <v>821</v>
      </c>
      <c r="D214" s="6" t="s">
        <v>822</v>
      </c>
      <c r="E214" s="7" t="s">
        <v>21</v>
      </c>
      <c r="F214" s="6" t="s">
        <v>989</v>
      </c>
      <c r="G214" s="6" t="s">
        <v>990</v>
      </c>
      <c r="H214" s="6" t="s">
        <v>991</v>
      </c>
      <c r="I214" s="6" t="s">
        <v>992</v>
      </c>
      <c r="J214" s="6" t="s">
        <v>993</v>
      </c>
      <c r="K214" s="5"/>
      <c r="L214" s="4" t="s">
        <v>27</v>
      </c>
      <c r="M214" s="8" t="s">
        <v>28</v>
      </c>
      <c r="N214" s="9" t="s">
        <v>901</v>
      </c>
      <c r="O214" s="5"/>
      <c r="P214" s="5"/>
      <c r="Q214" s="6" t="s">
        <v>30</v>
      </c>
      <c r="R214" s="4" t="s">
        <v>31</v>
      </c>
      <c r="S214" s="7" t="s">
        <v>32</v>
      </c>
      <c r="T214" s="5"/>
    </row>
    <row r="215" customFormat="false" ht="100.5" hidden="false" customHeight="true" outlineLevel="0" collapsed="false">
      <c r="A215" s="4" t="n">
        <v>214</v>
      </c>
      <c r="B215" s="6" t="s">
        <v>95</v>
      </c>
      <c r="C215" s="6" t="s">
        <v>821</v>
      </c>
      <c r="D215" s="6" t="s">
        <v>822</v>
      </c>
      <c r="E215" s="7" t="s">
        <v>21</v>
      </c>
      <c r="F215" s="6" t="s">
        <v>994</v>
      </c>
      <c r="G215" s="6" t="s">
        <v>995</v>
      </c>
      <c r="H215" s="6" t="s">
        <v>996</v>
      </c>
      <c r="I215" s="6" t="s">
        <v>997</v>
      </c>
      <c r="J215" s="6" t="s">
        <v>998</v>
      </c>
      <c r="K215" s="5"/>
      <c r="L215" s="4" t="s">
        <v>51</v>
      </c>
      <c r="M215" s="8" t="s">
        <v>28</v>
      </c>
      <c r="N215" s="9" t="s">
        <v>828</v>
      </c>
      <c r="O215" s="5"/>
      <c r="P215" s="5"/>
      <c r="Q215" s="6" t="s">
        <v>30</v>
      </c>
      <c r="R215" s="4" t="s">
        <v>31</v>
      </c>
      <c r="S215" s="7" t="s">
        <v>32</v>
      </c>
      <c r="T215" s="5"/>
    </row>
    <row r="216" customFormat="false" ht="57.75" hidden="false" customHeight="true" outlineLevel="0" collapsed="false">
      <c r="A216" s="4" t="n">
        <v>215</v>
      </c>
      <c r="B216" s="6" t="s">
        <v>95</v>
      </c>
      <c r="C216" s="6" t="s">
        <v>821</v>
      </c>
      <c r="D216" s="6" t="s">
        <v>822</v>
      </c>
      <c r="E216" s="7" t="s">
        <v>21</v>
      </c>
      <c r="F216" s="6" t="s">
        <v>999</v>
      </c>
      <c r="G216" s="6" t="s">
        <v>1000</v>
      </c>
      <c r="H216" s="6" t="s">
        <v>1001</v>
      </c>
      <c r="I216" s="6" t="s">
        <v>1002</v>
      </c>
      <c r="J216" s="6" t="s">
        <v>1003</v>
      </c>
      <c r="K216" s="5"/>
      <c r="L216" s="4" t="s">
        <v>62</v>
      </c>
      <c r="M216" s="8" t="s">
        <v>28</v>
      </c>
      <c r="N216" s="9" t="s">
        <v>828</v>
      </c>
      <c r="O216" s="5"/>
      <c r="P216" s="5"/>
      <c r="Q216" s="6" t="s">
        <v>30</v>
      </c>
      <c r="R216" s="4" t="s">
        <v>31</v>
      </c>
      <c r="S216" s="7" t="s">
        <v>32</v>
      </c>
      <c r="T216" s="5"/>
    </row>
    <row r="217" customFormat="false" ht="43.5" hidden="false" customHeight="true" outlineLevel="0" collapsed="false">
      <c r="A217" s="4" t="n">
        <v>216</v>
      </c>
      <c r="B217" s="6" t="s">
        <v>95</v>
      </c>
      <c r="C217" s="6" t="s">
        <v>821</v>
      </c>
      <c r="D217" s="6" t="s">
        <v>822</v>
      </c>
      <c r="E217" s="7" t="s">
        <v>21</v>
      </c>
      <c r="F217" s="6" t="s">
        <v>1004</v>
      </c>
      <c r="G217" s="6" t="s">
        <v>1005</v>
      </c>
      <c r="H217" s="6" t="s">
        <v>1006</v>
      </c>
      <c r="I217" s="6" t="s">
        <v>1007</v>
      </c>
      <c r="J217" s="6" t="s">
        <v>1008</v>
      </c>
      <c r="K217" s="5"/>
      <c r="L217" s="4" t="s">
        <v>44</v>
      </c>
      <c r="M217" s="8" t="s">
        <v>28</v>
      </c>
      <c r="N217" s="9" t="s">
        <v>828</v>
      </c>
      <c r="O217" s="5"/>
      <c r="P217" s="5"/>
      <c r="Q217" s="6" t="s">
        <v>30</v>
      </c>
      <c r="R217" s="4" t="s">
        <v>31</v>
      </c>
      <c r="S217" s="7" t="s">
        <v>32</v>
      </c>
      <c r="T217" s="5"/>
    </row>
    <row r="218" customFormat="false" ht="72" hidden="false" customHeight="true" outlineLevel="0" collapsed="false">
      <c r="A218" s="4" t="n">
        <v>217</v>
      </c>
      <c r="B218" s="6" t="s">
        <v>95</v>
      </c>
      <c r="C218" s="6" t="s">
        <v>821</v>
      </c>
      <c r="D218" s="6" t="s">
        <v>822</v>
      </c>
      <c r="E218" s="7" t="s">
        <v>21</v>
      </c>
      <c r="F218" s="6" t="s">
        <v>1009</v>
      </c>
      <c r="G218" s="6" t="s">
        <v>1010</v>
      </c>
      <c r="H218" s="6" t="s">
        <v>1011</v>
      </c>
      <c r="I218" s="6" t="s">
        <v>1012</v>
      </c>
      <c r="J218" s="6" t="s">
        <v>1013</v>
      </c>
      <c r="K218" s="5"/>
      <c r="L218" s="4" t="s">
        <v>62</v>
      </c>
      <c r="M218" s="8" t="s">
        <v>28</v>
      </c>
      <c r="N218" s="9" t="s">
        <v>828</v>
      </c>
      <c r="O218" s="5"/>
      <c r="P218" s="5"/>
      <c r="Q218" s="6" t="s">
        <v>30</v>
      </c>
      <c r="R218" s="4" t="s">
        <v>31</v>
      </c>
      <c r="S218" s="7" t="s">
        <v>32</v>
      </c>
      <c r="T218" s="5"/>
    </row>
    <row r="219" customFormat="false" ht="86.25" hidden="false" customHeight="true" outlineLevel="0" collapsed="false">
      <c r="A219" s="4" t="n">
        <v>218</v>
      </c>
      <c r="B219" s="6" t="s">
        <v>95</v>
      </c>
      <c r="C219" s="6" t="s">
        <v>821</v>
      </c>
      <c r="D219" s="6" t="s">
        <v>822</v>
      </c>
      <c r="E219" s="7" t="s">
        <v>21</v>
      </c>
      <c r="F219" s="6" t="s">
        <v>1014</v>
      </c>
      <c r="G219" s="6" t="s">
        <v>1015</v>
      </c>
      <c r="H219" s="6" t="s">
        <v>1016</v>
      </c>
      <c r="I219" s="6" t="s">
        <v>1017</v>
      </c>
      <c r="J219" s="6" t="s">
        <v>1018</v>
      </c>
      <c r="K219" s="5"/>
      <c r="L219" s="4" t="s">
        <v>51</v>
      </c>
      <c r="M219" s="8" t="s">
        <v>28</v>
      </c>
      <c r="N219" s="9" t="s">
        <v>828</v>
      </c>
      <c r="O219" s="5"/>
      <c r="P219" s="5"/>
      <c r="Q219" s="6" t="s">
        <v>30</v>
      </c>
      <c r="R219" s="4" t="s">
        <v>31</v>
      </c>
      <c r="S219" s="7" t="s">
        <v>32</v>
      </c>
      <c r="T219" s="5"/>
    </row>
    <row r="220" customFormat="false" ht="57.75" hidden="false" customHeight="true" outlineLevel="0" collapsed="false">
      <c r="A220" s="4" t="n">
        <v>219</v>
      </c>
      <c r="B220" s="6" t="s">
        <v>95</v>
      </c>
      <c r="C220" s="6" t="s">
        <v>821</v>
      </c>
      <c r="D220" s="6" t="s">
        <v>822</v>
      </c>
      <c r="E220" s="7" t="s">
        <v>21</v>
      </c>
      <c r="F220" s="6" t="s">
        <v>1019</v>
      </c>
      <c r="G220" s="6" t="s">
        <v>1020</v>
      </c>
      <c r="H220" s="6" t="s">
        <v>1021</v>
      </c>
      <c r="I220" s="6" t="s">
        <v>1022</v>
      </c>
      <c r="J220" s="6" t="s">
        <v>1023</v>
      </c>
      <c r="K220" s="5"/>
      <c r="L220" s="4" t="s">
        <v>62</v>
      </c>
      <c r="M220" s="8" t="s">
        <v>28</v>
      </c>
      <c r="N220" s="9" t="s">
        <v>828</v>
      </c>
      <c r="O220" s="5"/>
      <c r="P220" s="5"/>
      <c r="Q220" s="6" t="s">
        <v>30</v>
      </c>
      <c r="R220" s="4" t="s">
        <v>31</v>
      </c>
      <c r="S220" s="7" t="s">
        <v>32</v>
      </c>
      <c r="T220" s="5"/>
    </row>
    <row r="221" customFormat="false" ht="43.5" hidden="false" customHeight="true" outlineLevel="0" collapsed="false">
      <c r="A221" s="4" t="n">
        <v>220</v>
      </c>
      <c r="B221" s="6" t="s">
        <v>95</v>
      </c>
      <c r="C221" s="6" t="s">
        <v>821</v>
      </c>
      <c r="D221" s="6" t="s">
        <v>822</v>
      </c>
      <c r="E221" s="7" t="s">
        <v>21</v>
      </c>
      <c r="F221" s="6" t="s">
        <v>1024</v>
      </c>
      <c r="G221" s="6" t="s">
        <v>1025</v>
      </c>
      <c r="H221" s="6" t="s">
        <v>1026</v>
      </c>
      <c r="I221" s="6" t="s">
        <v>1027</v>
      </c>
      <c r="J221" s="6" t="s">
        <v>1028</v>
      </c>
      <c r="K221" s="5"/>
      <c r="L221" s="4" t="s">
        <v>62</v>
      </c>
      <c r="M221" s="8" t="s">
        <v>28</v>
      </c>
      <c r="N221" s="9" t="s">
        <v>828</v>
      </c>
      <c r="O221" s="5"/>
      <c r="P221" s="5"/>
      <c r="Q221" s="6" t="s">
        <v>30</v>
      </c>
      <c r="R221" s="4" t="s">
        <v>31</v>
      </c>
      <c r="S221" s="7" t="s">
        <v>32</v>
      </c>
      <c r="T221" s="5"/>
    </row>
    <row r="222" customFormat="false" ht="57.75" hidden="false" customHeight="true" outlineLevel="0" collapsed="false">
      <c r="A222" s="4" t="n">
        <v>221</v>
      </c>
      <c r="B222" s="6" t="s">
        <v>95</v>
      </c>
      <c r="C222" s="6" t="s">
        <v>821</v>
      </c>
      <c r="D222" s="6" t="s">
        <v>822</v>
      </c>
      <c r="E222" s="7" t="s">
        <v>21</v>
      </c>
      <c r="F222" s="6" t="s">
        <v>1029</v>
      </c>
      <c r="G222" s="6" t="s">
        <v>1030</v>
      </c>
      <c r="H222" s="6" t="s">
        <v>1031</v>
      </c>
      <c r="I222" s="6" t="s">
        <v>1032</v>
      </c>
      <c r="J222" s="6" t="s">
        <v>1033</v>
      </c>
      <c r="K222" s="5"/>
      <c r="L222" s="4" t="s">
        <v>62</v>
      </c>
      <c r="M222" s="8" t="s">
        <v>28</v>
      </c>
      <c r="N222" s="9" t="s">
        <v>828</v>
      </c>
      <c r="O222" s="5"/>
      <c r="P222" s="5"/>
      <c r="Q222" s="6" t="s">
        <v>30</v>
      </c>
      <c r="R222" s="4" t="s">
        <v>31</v>
      </c>
      <c r="S222" s="7" t="s">
        <v>32</v>
      </c>
      <c r="T222" s="5"/>
    </row>
    <row r="223" customFormat="false" ht="43.5" hidden="false" customHeight="true" outlineLevel="0" collapsed="false">
      <c r="A223" s="4" t="n">
        <v>222</v>
      </c>
      <c r="B223" s="6" t="s">
        <v>95</v>
      </c>
      <c r="C223" s="6" t="s">
        <v>821</v>
      </c>
      <c r="D223" s="6" t="s">
        <v>822</v>
      </c>
      <c r="E223" s="7" t="s">
        <v>21</v>
      </c>
      <c r="F223" s="6" t="s">
        <v>1034</v>
      </c>
      <c r="G223" s="6" t="s">
        <v>1035</v>
      </c>
      <c r="H223" s="6" t="s">
        <v>1036</v>
      </c>
      <c r="I223" s="6" t="s">
        <v>1037</v>
      </c>
      <c r="J223" s="6" t="s">
        <v>1038</v>
      </c>
      <c r="K223" s="5"/>
      <c r="L223" s="4" t="s">
        <v>44</v>
      </c>
      <c r="M223" s="8" t="s">
        <v>79</v>
      </c>
      <c r="N223" s="9" t="s">
        <v>828</v>
      </c>
      <c r="O223" s="5"/>
      <c r="P223" s="5"/>
      <c r="Q223" s="6" t="s">
        <v>30</v>
      </c>
      <c r="R223" s="4" t="s">
        <v>31</v>
      </c>
      <c r="S223" s="7" t="s">
        <v>32</v>
      </c>
      <c r="T223" s="5"/>
    </row>
    <row r="224" customFormat="false" ht="72" hidden="false" customHeight="true" outlineLevel="0" collapsed="false">
      <c r="A224" s="4" t="n">
        <v>223</v>
      </c>
      <c r="B224" s="6" t="s">
        <v>95</v>
      </c>
      <c r="C224" s="6" t="s">
        <v>821</v>
      </c>
      <c r="D224" s="6" t="s">
        <v>822</v>
      </c>
      <c r="E224" s="7" t="s">
        <v>21</v>
      </c>
      <c r="F224" s="6" t="s">
        <v>1039</v>
      </c>
      <c r="G224" s="6" t="s">
        <v>1040</v>
      </c>
      <c r="H224" s="6" t="s">
        <v>1041</v>
      </c>
      <c r="I224" s="6" t="s">
        <v>1042</v>
      </c>
      <c r="J224" s="6" t="s">
        <v>1043</v>
      </c>
      <c r="K224" s="5"/>
      <c r="L224" s="4" t="s">
        <v>62</v>
      </c>
      <c r="M224" s="8" t="s">
        <v>28</v>
      </c>
      <c r="N224" s="9" t="s">
        <v>828</v>
      </c>
      <c r="O224" s="5"/>
      <c r="P224" s="5"/>
      <c r="Q224" s="6" t="s">
        <v>30</v>
      </c>
      <c r="R224" s="4" t="s">
        <v>31</v>
      </c>
      <c r="S224" s="7" t="s">
        <v>32</v>
      </c>
      <c r="T224" s="5"/>
    </row>
    <row r="225" customFormat="false" ht="86.25" hidden="false" customHeight="true" outlineLevel="0" collapsed="false">
      <c r="A225" s="4" t="n">
        <v>224</v>
      </c>
      <c r="B225" s="6" t="s">
        <v>95</v>
      </c>
      <c r="C225" s="6" t="s">
        <v>821</v>
      </c>
      <c r="D225" s="6" t="s">
        <v>822</v>
      </c>
      <c r="E225" s="7" t="s">
        <v>21</v>
      </c>
      <c r="F225" s="6" t="s">
        <v>1044</v>
      </c>
      <c r="G225" s="6" t="s">
        <v>249</v>
      </c>
      <c r="H225" s="6" t="s">
        <v>1045</v>
      </c>
      <c r="I225" s="6" t="s">
        <v>1046</v>
      </c>
      <c r="J225" s="6" t="s">
        <v>1047</v>
      </c>
      <c r="K225" s="5"/>
      <c r="L225" s="4" t="s">
        <v>27</v>
      </c>
      <c r="M225" s="8" t="s">
        <v>28</v>
      </c>
      <c r="N225" s="9" t="s">
        <v>853</v>
      </c>
      <c r="O225" s="5"/>
      <c r="P225" s="5"/>
      <c r="Q225" s="6" t="s">
        <v>30</v>
      </c>
      <c r="R225" s="4" t="s">
        <v>31</v>
      </c>
      <c r="S225" s="7" t="s">
        <v>32</v>
      </c>
      <c r="T225" s="5"/>
    </row>
    <row r="226" customFormat="false" ht="86.25" hidden="false" customHeight="true" outlineLevel="0" collapsed="false">
      <c r="A226" s="4" t="n">
        <v>225</v>
      </c>
      <c r="B226" s="6" t="s">
        <v>95</v>
      </c>
      <c r="C226" s="6" t="s">
        <v>821</v>
      </c>
      <c r="D226" s="6" t="s">
        <v>822</v>
      </c>
      <c r="E226" s="7" t="s">
        <v>21</v>
      </c>
      <c r="F226" s="6" t="s">
        <v>1048</v>
      </c>
      <c r="G226" s="6" t="s">
        <v>1049</v>
      </c>
      <c r="H226" s="6" t="s">
        <v>1050</v>
      </c>
      <c r="I226" s="6" t="s">
        <v>1051</v>
      </c>
      <c r="J226" s="6" t="s">
        <v>1052</v>
      </c>
      <c r="K226" s="5"/>
      <c r="L226" s="4" t="s">
        <v>62</v>
      </c>
      <c r="M226" s="8" t="s">
        <v>28</v>
      </c>
      <c r="N226" s="9" t="s">
        <v>828</v>
      </c>
      <c r="O226" s="5"/>
      <c r="P226" s="5"/>
      <c r="Q226" s="6" t="s">
        <v>30</v>
      </c>
      <c r="R226" s="4" t="s">
        <v>31</v>
      </c>
      <c r="S226" s="7" t="s">
        <v>32</v>
      </c>
      <c r="T226" s="5"/>
    </row>
    <row r="227" customFormat="false" ht="100.5" hidden="false" customHeight="true" outlineLevel="0" collapsed="false">
      <c r="A227" s="4" t="n">
        <v>226</v>
      </c>
      <c r="B227" s="6" t="s">
        <v>95</v>
      </c>
      <c r="C227" s="6" t="s">
        <v>821</v>
      </c>
      <c r="D227" s="6" t="s">
        <v>822</v>
      </c>
      <c r="E227" s="7" t="s">
        <v>21</v>
      </c>
      <c r="F227" s="6" t="s">
        <v>276</v>
      </c>
      <c r="G227" s="6" t="s">
        <v>1053</v>
      </c>
      <c r="H227" s="6" t="s">
        <v>1054</v>
      </c>
      <c r="I227" s="6" t="s">
        <v>1055</v>
      </c>
      <c r="J227" s="6" t="s">
        <v>1056</v>
      </c>
      <c r="K227" s="5"/>
      <c r="L227" s="4" t="s">
        <v>62</v>
      </c>
      <c r="M227" s="8" t="s">
        <v>28</v>
      </c>
      <c r="N227" s="9" t="s">
        <v>828</v>
      </c>
      <c r="O227" s="5"/>
      <c r="P227" s="5"/>
      <c r="Q227" s="6" t="s">
        <v>30</v>
      </c>
      <c r="R227" s="4" t="s">
        <v>31</v>
      </c>
      <c r="S227" s="7" t="s">
        <v>32</v>
      </c>
      <c r="T227" s="5"/>
    </row>
    <row r="228" customFormat="false" ht="57.75" hidden="false" customHeight="true" outlineLevel="0" collapsed="false">
      <c r="A228" s="4" t="n">
        <v>227</v>
      </c>
      <c r="B228" s="6" t="s">
        <v>95</v>
      </c>
      <c r="C228" s="6" t="s">
        <v>821</v>
      </c>
      <c r="D228" s="6" t="s">
        <v>822</v>
      </c>
      <c r="E228" s="7" t="s">
        <v>21</v>
      </c>
      <c r="F228" s="6" t="s">
        <v>1057</v>
      </c>
      <c r="G228" s="6" t="s">
        <v>1058</v>
      </c>
      <c r="H228" s="6" t="s">
        <v>1059</v>
      </c>
      <c r="I228" s="6" t="s">
        <v>1060</v>
      </c>
      <c r="J228" s="6" t="s">
        <v>1061</v>
      </c>
      <c r="K228" s="5"/>
      <c r="L228" s="4" t="s">
        <v>44</v>
      </c>
      <c r="M228" s="8" t="s">
        <v>28</v>
      </c>
      <c r="N228" s="9" t="s">
        <v>901</v>
      </c>
      <c r="O228" s="5"/>
      <c r="P228" s="5"/>
      <c r="Q228" s="6" t="s">
        <v>30</v>
      </c>
      <c r="R228" s="4" t="s">
        <v>31</v>
      </c>
      <c r="S228" s="7" t="s">
        <v>32</v>
      </c>
      <c r="T228" s="5"/>
    </row>
    <row r="229" customFormat="false" ht="86.25" hidden="false" customHeight="true" outlineLevel="0" collapsed="false">
      <c r="A229" s="4" t="n">
        <v>228</v>
      </c>
      <c r="B229" s="6" t="s">
        <v>95</v>
      </c>
      <c r="C229" s="6" t="s">
        <v>821</v>
      </c>
      <c r="D229" s="6" t="s">
        <v>822</v>
      </c>
      <c r="E229" s="7" t="s">
        <v>21</v>
      </c>
      <c r="F229" s="6" t="s">
        <v>1062</v>
      </c>
      <c r="G229" s="6" t="s">
        <v>1063</v>
      </c>
      <c r="H229" s="6" t="s">
        <v>1064</v>
      </c>
      <c r="I229" s="6" t="s">
        <v>1065</v>
      </c>
      <c r="J229" s="6" t="s">
        <v>1066</v>
      </c>
      <c r="K229" s="5"/>
      <c r="L229" s="4" t="s">
        <v>62</v>
      </c>
      <c r="M229" s="8" t="s">
        <v>28</v>
      </c>
      <c r="N229" s="9" t="s">
        <v>828</v>
      </c>
      <c r="O229" s="5"/>
      <c r="P229" s="5"/>
      <c r="Q229" s="6" t="s">
        <v>30</v>
      </c>
      <c r="R229" s="4" t="s">
        <v>31</v>
      </c>
      <c r="S229" s="7" t="s">
        <v>32</v>
      </c>
      <c r="T229" s="5"/>
    </row>
    <row r="230" customFormat="false" ht="43.5" hidden="false" customHeight="true" outlineLevel="0" collapsed="false">
      <c r="A230" s="4" t="n">
        <v>229</v>
      </c>
      <c r="B230" s="6" t="s">
        <v>95</v>
      </c>
      <c r="C230" s="6" t="s">
        <v>821</v>
      </c>
      <c r="D230" s="6" t="s">
        <v>822</v>
      </c>
      <c r="E230" s="7" t="s">
        <v>21</v>
      </c>
      <c r="F230" s="6" t="s">
        <v>1067</v>
      </c>
      <c r="G230" s="6" t="s">
        <v>1068</v>
      </c>
      <c r="H230" s="6" t="s">
        <v>1069</v>
      </c>
      <c r="I230" s="6" t="s">
        <v>1070</v>
      </c>
      <c r="J230" s="6" t="s">
        <v>1071</v>
      </c>
      <c r="K230" s="5"/>
      <c r="L230" s="4" t="s">
        <v>27</v>
      </c>
      <c r="M230" s="8" t="s">
        <v>79</v>
      </c>
      <c r="N230" s="9" t="s">
        <v>828</v>
      </c>
      <c r="O230" s="5"/>
      <c r="P230" s="5"/>
      <c r="Q230" s="6" t="s">
        <v>30</v>
      </c>
      <c r="R230" s="4" t="s">
        <v>31</v>
      </c>
      <c r="S230" s="7" t="s">
        <v>32</v>
      </c>
      <c r="T230" s="5"/>
    </row>
    <row r="231" customFormat="false" ht="86.25" hidden="false" customHeight="true" outlineLevel="0" collapsed="false">
      <c r="A231" s="4" t="n">
        <v>230</v>
      </c>
      <c r="B231" s="6" t="s">
        <v>95</v>
      </c>
      <c r="C231" s="6" t="s">
        <v>821</v>
      </c>
      <c r="D231" s="6" t="s">
        <v>822</v>
      </c>
      <c r="E231" s="7" t="s">
        <v>21</v>
      </c>
      <c r="F231" s="6" t="s">
        <v>1072</v>
      </c>
      <c r="G231" s="6" t="s">
        <v>1073</v>
      </c>
      <c r="H231" s="6" t="s">
        <v>1074</v>
      </c>
      <c r="I231" s="6" t="s">
        <v>1075</v>
      </c>
      <c r="J231" s="6" t="s">
        <v>1076</v>
      </c>
      <c r="K231" s="5"/>
      <c r="L231" s="4" t="s">
        <v>44</v>
      </c>
      <c r="M231" s="8" t="s">
        <v>28</v>
      </c>
      <c r="N231" s="9" t="s">
        <v>901</v>
      </c>
      <c r="O231" s="5"/>
      <c r="P231" s="5"/>
      <c r="Q231" s="6" t="s">
        <v>30</v>
      </c>
      <c r="R231" s="4" t="s">
        <v>31</v>
      </c>
      <c r="S231" s="7" t="s">
        <v>32</v>
      </c>
      <c r="T231" s="5"/>
    </row>
    <row r="232" customFormat="false" ht="72" hidden="false" customHeight="true" outlineLevel="0" collapsed="false">
      <c r="A232" s="4" t="n">
        <v>231</v>
      </c>
      <c r="B232" s="6" t="s">
        <v>95</v>
      </c>
      <c r="C232" s="6" t="s">
        <v>821</v>
      </c>
      <c r="D232" s="6" t="s">
        <v>822</v>
      </c>
      <c r="E232" s="7" t="s">
        <v>21</v>
      </c>
      <c r="F232" s="6" t="s">
        <v>1077</v>
      </c>
      <c r="G232" s="6" t="s">
        <v>1078</v>
      </c>
      <c r="H232" s="6" t="s">
        <v>1079</v>
      </c>
      <c r="I232" s="6" t="s">
        <v>1080</v>
      </c>
      <c r="J232" s="6" t="s">
        <v>1081</v>
      </c>
      <c r="K232" s="5"/>
      <c r="L232" s="4" t="s">
        <v>62</v>
      </c>
      <c r="M232" s="8" t="s">
        <v>28</v>
      </c>
      <c r="N232" s="9" t="s">
        <v>828</v>
      </c>
      <c r="O232" s="5"/>
      <c r="P232" s="5"/>
      <c r="Q232" s="6" t="s">
        <v>30</v>
      </c>
      <c r="R232" s="4" t="s">
        <v>31</v>
      </c>
      <c r="S232" s="7" t="s">
        <v>32</v>
      </c>
      <c r="T232" s="5"/>
    </row>
    <row r="233" customFormat="false" ht="143.25" hidden="false" customHeight="true" outlineLevel="0" collapsed="false">
      <c r="A233" s="4" t="n">
        <v>232</v>
      </c>
      <c r="B233" s="6" t="s">
        <v>95</v>
      </c>
      <c r="C233" s="6" t="s">
        <v>821</v>
      </c>
      <c r="D233" s="6" t="s">
        <v>822</v>
      </c>
      <c r="E233" s="7" t="s">
        <v>21</v>
      </c>
      <c r="F233" s="6" t="s">
        <v>1082</v>
      </c>
      <c r="G233" s="6" t="s">
        <v>1083</v>
      </c>
      <c r="H233" s="6" t="s">
        <v>1084</v>
      </c>
      <c r="I233" s="6" t="s">
        <v>1085</v>
      </c>
      <c r="J233" s="6" t="s">
        <v>1086</v>
      </c>
      <c r="K233" s="5"/>
      <c r="L233" s="4" t="s">
        <v>44</v>
      </c>
      <c r="M233" s="8" t="s">
        <v>28</v>
      </c>
      <c r="N233" s="9" t="s">
        <v>828</v>
      </c>
      <c r="O233" s="5"/>
      <c r="P233" s="5"/>
      <c r="Q233" s="6" t="s">
        <v>30</v>
      </c>
      <c r="R233" s="4" t="s">
        <v>31</v>
      </c>
      <c r="S233" s="7" t="s">
        <v>32</v>
      </c>
      <c r="T233" s="5"/>
    </row>
    <row r="234" customFormat="false" ht="100.5" hidden="false" customHeight="true" outlineLevel="0" collapsed="false">
      <c r="A234" s="4" t="n">
        <v>233</v>
      </c>
      <c r="B234" s="6" t="s">
        <v>95</v>
      </c>
      <c r="C234" s="6" t="s">
        <v>821</v>
      </c>
      <c r="D234" s="6" t="s">
        <v>822</v>
      </c>
      <c r="E234" s="7" t="s">
        <v>21</v>
      </c>
      <c r="F234" s="6" t="s">
        <v>1087</v>
      </c>
      <c r="G234" s="6" t="s">
        <v>1088</v>
      </c>
      <c r="H234" s="6" t="s">
        <v>1089</v>
      </c>
      <c r="I234" s="6" t="s">
        <v>1090</v>
      </c>
      <c r="J234" s="6" t="s">
        <v>1091</v>
      </c>
      <c r="K234" s="5"/>
      <c r="L234" s="4" t="s">
        <v>62</v>
      </c>
      <c r="M234" s="8" t="s">
        <v>28</v>
      </c>
      <c r="N234" s="9" t="s">
        <v>850</v>
      </c>
      <c r="O234" s="5"/>
      <c r="P234" s="5"/>
      <c r="Q234" s="6" t="s">
        <v>30</v>
      </c>
      <c r="R234" s="4" t="s">
        <v>31</v>
      </c>
      <c r="S234" s="7" t="s">
        <v>32</v>
      </c>
      <c r="T234" s="5"/>
    </row>
    <row r="235" customFormat="false" ht="114.75" hidden="false" customHeight="true" outlineLevel="0" collapsed="false">
      <c r="A235" s="4" t="n">
        <v>234</v>
      </c>
      <c r="B235" s="6" t="s">
        <v>95</v>
      </c>
      <c r="C235" s="6" t="s">
        <v>821</v>
      </c>
      <c r="D235" s="6" t="s">
        <v>822</v>
      </c>
      <c r="E235" s="7" t="s">
        <v>21</v>
      </c>
      <c r="F235" s="6" t="s">
        <v>293</v>
      </c>
      <c r="G235" s="6" t="s">
        <v>1092</v>
      </c>
      <c r="H235" s="6" t="s">
        <v>1093</v>
      </c>
      <c r="I235" s="6" t="s">
        <v>1094</v>
      </c>
      <c r="J235" s="6" t="s">
        <v>1095</v>
      </c>
      <c r="K235" s="5"/>
      <c r="L235" s="4" t="s">
        <v>27</v>
      </c>
      <c r="M235" s="8" t="s">
        <v>28</v>
      </c>
      <c r="N235" s="9" t="s">
        <v>828</v>
      </c>
      <c r="O235" s="5"/>
      <c r="P235" s="5"/>
      <c r="Q235" s="6" t="s">
        <v>30</v>
      </c>
      <c r="R235" s="4" t="s">
        <v>31</v>
      </c>
      <c r="S235" s="7" t="s">
        <v>32</v>
      </c>
      <c r="T235" s="5"/>
    </row>
    <row r="236" customFormat="false" ht="86.25" hidden="false" customHeight="true" outlineLevel="0" collapsed="false">
      <c r="A236" s="4" t="n">
        <v>235</v>
      </c>
      <c r="B236" s="6" t="s">
        <v>95</v>
      </c>
      <c r="C236" s="6" t="s">
        <v>821</v>
      </c>
      <c r="D236" s="6" t="s">
        <v>822</v>
      </c>
      <c r="E236" s="7" t="s">
        <v>21</v>
      </c>
      <c r="F236" s="6" t="s">
        <v>1096</v>
      </c>
      <c r="G236" s="6" t="s">
        <v>1097</v>
      </c>
      <c r="H236" s="6" t="s">
        <v>1098</v>
      </c>
      <c r="I236" s="6" t="s">
        <v>1099</v>
      </c>
      <c r="J236" s="6" t="s">
        <v>1100</v>
      </c>
      <c r="K236" s="5"/>
      <c r="L236" s="4" t="s">
        <v>51</v>
      </c>
      <c r="M236" s="8" t="s">
        <v>28</v>
      </c>
      <c r="N236" s="9" t="s">
        <v>828</v>
      </c>
      <c r="O236" s="5"/>
      <c r="P236" s="5"/>
      <c r="Q236" s="6" t="s">
        <v>30</v>
      </c>
      <c r="R236" s="4" t="s">
        <v>31</v>
      </c>
      <c r="S236" s="7" t="s">
        <v>32</v>
      </c>
      <c r="T236" s="5"/>
    </row>
    <row r="237" customFormat="false" ht="86.25" hidden="false" customHeight="true" outlineLevel="0" collapsed="false">
      <c r="A237" s="4" t="n">
        <v>236</v>
      </c>
      <c r="B237" s="6" t="s">
        <v>95</v>
      </c>
      <c r="C237" s="6" t="s">
        <v>821</v>
      </c>
      <c r="D237" s="6" t="s">
        <v>822</v>
      </c>
      <c r="E237" s="7" t="s">
        <v>21</v>
      </c>
      <c r="F237" s="6" t="s">
        <v>1101</v>
      </c>
      <c r="G237" s="6" t="s">
        <v>1102</v>
      </c>
      <c r="H237" s="6" t="s">
        <v>1103</v>
      </c>
      <c r="I237" s="6" t="s">
        <v>1104</v>
      </c>
      <c r="J237" s="6" t="s">
        <v>1105</v>
      </c>
      <c r="K237" s="5"/>
      <c r="L237" s="4" t="s">
        <v>44</v>
      </c>
      <c r="M237" s="8" t="s">
        <v>28</v>
      </c>
      <c r="N237" s="9" t="s">
        <v>828</v>
      </c>
      <c r="O237" s="5"/>
      <c r="P237" s="5"/>
      <c r="Q237" s="6" t="s">
        <v>30</v>
      </c>
      <c r="R237" s="4" t="s">
        <v>31</v>
      </c>
      <c r="S237" s="7" t="s">
        <v>32</v>
      </c>
      <c r="T237" s="5"/>
    </row>
    <row r="238" customFormat="false" ht="29.25" hidden="false" customHeight="true" outlineLevel="0" collapsed="false">
      <c r="A238" s="4" t="n">
        <v>237</v>
      </c>
      <c r="B238" s="6" t="s">
        <v>95</v>
      </c>
      <c r="C238" s="6" t="s">
        <v>821</v>
      </c>
      <c r="D238" s="6" t="s">
        <v>822</v>
      </c>
      <c r="E238" s="7" t="s">
        <v>21</v>
      </c>
      <c r="F238" s="6" t="s">
        <v>1106</v>
      </c>
      <c r="G238" s="6" t="s">
        <v>1107</v>
      </c>
      <c r="H238" s="6" t="s">
        <v>1108</v>
      </c>
      <c r="I238" s="6" t="s">
        <v>1109</v>
      </c>
      <c r="J238" s="6" t="s">
        <v>78</v>
      </c>
      <c r="K238" s="5"/>
      <c r="L238" s="4" t="s">
        <v>44</v>
      </c>
      <c r="M238" s="8" t="s">
        <v>79</v>
      </c>
      <c r="N238" s="9" t="s">
        <v>839</v>
      </c>
      <c r="O238" s="5"/>
      <c r="P238" s="5"/>
      <c r="Q238" s="6" t="s">
        <v>30</v>
      </c>
      <c r="R238" s="4" t="s">
        <v>31</v>
      </c>
      <c r="S238" s="7" t="s">
        <v>32</v>
      </c>
      <c r="T238" s="5"/>
    </row>
    <row r="239" customFormat="false" ht="86.25" hidden="false" customHeight="true" outlineLevel="0" collapsed="false">
      <c r="A239" s="4" t="n">
        <v>238</v>
      </c>
      <c r="B239" s="6" t="s">
        <v>95</v>
      </c>
      <c r="C239" s="6" t="s">
        <v>821</v>
      </c>
      <c r="D239" s="6" t="s">
        <v>822</v>
      </c>
      <c r="E239" s="7" t="s">
        <v>21</v>
      </c>
      <c r="F239" s="6" t="s">
        <v>1096</v>
      </c>
      <c r="G239" s="6" t="s">
        <v>1110</v>
      </c>
      <c r="H239" s="6" t="s">
        <v>1111</v>
      </c>
      <c r="I239" s="6" t="s">
        <v>1112</v>
      </c>
      <c r="J239" s="6" t="s">
        <v>1113</v>
      </c>
      <c r="K239" s="5"/>
      <c r="L239" s="4" t="s">
        <v>44</v>
      </c>
      <c r="M239" s="8" t="s">
        <v>28</v>
      </c>
      <c r="N239" s="9" t="s">
        <v>828</v>
      </c>
      <c r="O239" s="5"/>
      <c r="P239" s="5"/>
      <c r="Q239" s="6" t="s">
        <v>30</v>
      </c>
      <c r="R239" s="4" t="s">
        <v>31</v>
      </c>
      <c r="S239" s="7" t="s">
        <v>32</v>
      </c>
      <c r="T239" s="5"/>
    </row>
    <row r="240" customFormat="false" ht="15" hidden="false" customHeight="true" outlineLevel="0" collapsed="false">
      <c r="A240" s="4" t="n">
        <v>239</v>
      </c>
      <c r="B240" s="6" t="s">
        <v>95</v>
      </c>
      <c r="C240" s="6" t="s">
        <v>821</v>
      </c>
      <c r="D240" s="6" t="s">
        <v>822</v>
      </c>
      <c r="E240" s="7" t="s">
        <v>21</v>
      </c>
      <c r="F240" s="6" t="s">
        <v>1114</v>
      </c>
      <c r="G240" s="6" t="s">
        <v>1115</v>
      </c>
      <c r="H240" s="6" t="s">
        <v>1116</v>
      </c>
      <c r="I240" s="6" t="s">
        <v>1117</v>
      </c>
      <c r="J240" s="6" t="s">
        <v>1118</v>
      </c>
      <c r="K240" s="5"/>
      <c r="L240" s="4" t="s">
        <v>27</v>
      </c>
      <c r="M240" s="8" t="s">
        <v>79</v>
      </c>
      <c r="N240" s="9" t="s">
        <v>828</v>
      </c>
      <c r="O240" s="5"/>
      <c r="P240" s="5"/>
      <c r="Q240" s="6" t="s">
        <v>30</v>
      </c>
      <c r="R240" s="4" t="s">
        <v>31</v>
      </c>
      <c r="S240" s="7" t="s">
        <v>32</v>
      </c>
      <c r="T240" s="5"/>
    </row>
    <row r="241" customFormat="false" ht="100.5" hidden="false" customHeight="true" outlineLevel="0" collapsed="false">
      <c r="A241" s="4" t="n">
        <v>240</v>
      </c>
      <c r="B241" s="6" t="s">
        <v>95</v>
      </c>
      <c r="C241" s="6" t="s">
        <v>821</v>
      </c>
      <c r="D241" s="6" t="s">
        <v>822</v>
      </c>
      <c r="E241" s="7" t="s">
        <v>21</v>
      </c>
      <c r="F241" s="6" t="s">
        <v>1119</v>
      </c>
      <c r="G241" s="6" t="s">
        <v>1120</v>
      </c>
      <c r="H241" s="6" t="s">
        <v>1121</v>
      </c>
      <c r="I241" s="6" t="s">
        <v>1122</v>
      </c>
      <c r="J241" s="6" t="s">
        <v>1123</v>
      </c>
      <c r="K241" s="5"/>
      <c r="L241" s="4" t="s">
        <v>27</v>
      </c>
      <c r="M241" s="8" t="s">
        <v>28</v>
      </c>
      <c r="N241" s="9" t="s">
        <v>828</v>
      </c>
      <c r="O241" s="5"/>
      <c r="P241" s="5"/>
      <c r="Q241" s="6" t="s">
        <v>30</v>
      </c>
      <c r="R241" s="4" t="s">
        <v>31</v>
      </c>
      <c r="S241" s="7" t="s">
        <v>32</v>
      </c>
      <c r="T241" s="5"/>
    </row>
    <row r="242" customFormat="false" ht="100.5" hidden="false" customHeight="true" outlineLevel="0" collapsed="false">
      <c r="A242" s="4" t="n">
        <v>241</v>
      </c>
      <c r="B242" s="6" t="s">
        <v>95</v>
      </c>
      <c r="C242" s="6" t="s">
        <v>821</v>
      </c>
      <c r="D242" s="6" t="s">
        <v>822</v>
      </c>
      <c r="E242" s="7" t="s">
        <v>21</v>
      </c>
      <c r="F242" s="6" t="s">
        <v>1124</v>
      </c>
      <c r="G242" s="6" t="s">
        <v>1125</v>
      </c>
      <c r="H242" s="6" t="s">
        <v>1126</v>
      </c>
      <c r="I242" s="6" t="s">
        <v>1127</v>
      </c>
      <c r="J242" s="6" t="s">
        <v>1128</v>
      </c>
      <c r="K242" s="5"/>
      <c r="L242" s="4" t="s">
        <v>62</v>
      </c>
      <c r="M242" s="8" t="s">
        <v>28</v>
      </c>
      <c r="N242" s="9" t="s">
        <v>973</v>
      </c>
      <c r="O242" s="5"/>
      <c r="P242" s="5"/>
      <c r="Q242" s="6" t="s">
        <v>30</v>
      </c>
      <c r="R242" s="4" t="s">
        <v>31</v>
      </c>
      <c r="S242" s="7" t="s">
        <v>32</v>
      </c>
      <c r="T242" s="5"/>
    </row>
    <row r="243" customFormat="false" ht="72" hidden="false" customHeight="true" outlineLevel="0" collapsed="false">
      <c r="A243" s="4" t="n">
        <v>242</v>
      </c>
      <c r="B243" s="6" t="s">
        <v>95</v>
      </c>
      <c r="C243" s="6" t="s">
        <v>821</v>
      </c>
      <c r="D243" s="6" t="s">
        <v>822</v>
      </c>
      <c r="E243" s="7" t="s">
        <v>21</v>
      </c>
      <c r="F243" s="6" t="s">
        <v>1129</v>
      </c>
      <c r="G243" s="6" t="s">
        <v>1130</v>
      </c>
      <c r="H243" s="6" t="s">
        <v>1131</v>
      </c>
      <c r="I243" s="6" t="s">
        <v>1132</v>
      </c>
      <c r="J243" s="6" t="s">
        <v>1126</v>
      </c>
      <c r="K243" s="5"/>
      <c r="L243" s="4" t="s">
        <v>44</v>
      </c>
      <c r="M243" s="8" t="s">
        <v>28</v>
      </c>
      <c r="N243" s="9" t="s">
        <v>973</v>
      </c>
      <c r="O243" s="5"/>
      <c r="P243" s="5"/>
      <c r="Q243" s="6" t="s">
        <v>30</v>
      </c>
      <c r="R243" s="4" t="s">
        <v>31</v>
      </c>
      <c r="S243" s="7" t="s">
        <v>32</v>
      </c>
      <c r="T243" s="5"/>
    </row>
    <row r="244" customFormat="false" ht="72" hidden="false" customHeight="true" outlineLevel="0" collapsed="false">
      <c r="A244" s="4" t="n">
        <v>243</v>
      </c>
      <c r="B244" s="6" t="s">
        <v>95</v>
      </c>
      <c r="C244" s="6" t="s">
        <v>821</v>
      </c>
      <c r="D244" s="6" t="s">
        <v>822</v>
      </c>
      <c r="E244" s="7" t="s">
        <v>21</v>
      </c>
      <c r="F244" s="6" t="s">
        <v>1133</v>
      </c>
      <c r="G244" s="6" t="s">
        <v>1134</v>
      </c>
      <c r="H244" s="6" t="s">
        <v>1135</v>
      </c>
      <c r="I244" s="6" t="s">
        <v>1136</v>
      </c>
      <c r="J244" s="6" t="s">
        <v>1137</v>
      </c>
      <c r="K244" s="5"/>
      <c r="L244" s="4" t="s">
        <v>27</v>
      </c>
      <c r="M244" s="8" t="s">
        <v>28</v>
      </c>
      <c r="N244" s="9" t="s">
        <v>828</v>
      </c>
      <c r="O244" s="5"/>
      <c r="P244" s="5"/>
      <c r="Q244" s="6" t="s">
        <v>30</v>
      </c>
      <c r="R244" s="4" t="s">
        <v>31</v>
      </c>
      <c r="S244" s="7" t="s">
        <v>32</v>
      </c>
      <c r="T244" s="5"/>
    </row>
    <row r="245" customFormat="false" ht="114.75" hidden="false" customHeight="true" outlineLevel="0" collapsed="false">
      <c r="A245" s="4" t="n">
        <v>244</v>
      </c>
      <c r="B245" s="6" t="s">
        <v>95</v>
      </c>
      <c r="C245" s="6" t="s">
        <v>821</v>
      </c>
      <c r="D245" s="6" t="s">
        <v>822</v>
      </c>
      <c r="E245" s="7" t="s">
        <v>21</v>
      </c>
      <c r="F245" s="6" t="s">
        <v>1138</v>
      </c>
      <c r="G245" s="6" t="s">
        <v>1139</v>
      </c>
      <c r="H245" s="6" t="s">
        <v>1140</v>
      </c>
      <c r="I245" s="6" t="s">
        <v>1141</v>
      </c>
      <c r="J245" s="6" t="s">
        <v>1142</v>
      </c>
      <c r="K245" s="5"/>
      <c r="L245" s="4" t="s">
        <v>62</v>
      </c>
      <c r="M245" s="8" t="s">
        <v>28</v>
      </c>
      <c r="N245" s="9" t="s">
        <v>850</v>
      </c>
      <c r="O245" s="5"/>
      <c r="P245" s="5"/>
      <c r="Q245" s="6" t="s">
        <v>30</v>
      </c>
      <c r="R245" s="4" t="s">
        <v>31</v>
      </c>
      <c r="S245" s="7" t="s">
        <v>32</v>
      </c>
      <c r="T245" s="5"/>
    </row>
    <row r="246" customFormat="false" ht="72" hidden="false" customHeight="true" outlineLevel="0" collapsed="false">
      <c r="A246" s="4" t="n">
        <v>245</v>
      </c>
      <c r="B246" s="6" t="s">
        <v>95</v>
      </c>
      <c r="C246" s="6" t="s">
        <v>821</v>
      </c>
      <c r="D246" s="6" t="s">
        <v>822</v>
      </c>
      <c r="E246" s="7" t="s">
        <v>21</v>
      </c>
      <c r="F246" s="6" t="s">
        <v>1143</v>
      </c>
      <c r="G246" s="6" t="s">
        <v>1144</v>
      </c>
      <c r="H246" s="6" t="s">
        <v>1145</v>
      </c>
      <c r="I246" s="6" t="s">
        <v>1146</v>
      </c>
      <c r="J246" s="6" t="s">
        <v>1147</v>
      </c>
      <c r="K246" s="5"/>
      <c r="L246" s="4" t="s">
        <v>44</v>
      </c>
      <c r="M246" s="8" t="s">
        <v>28</v>
      </c>
      <c r="N246" s="9" t="s">
        <v>828</v>
      </c>
      <c r="O246" s="5"/>
      <c r="P246" s="5"/>
      <c r="Q246" s="6" t="s">
        <v>30</v>
      </c>
      <c r="R246" s="4" t="s">
        <v>31</v>
      </c>
      <c r="S246" s="7" t="s">
        <v>32</v>
      </c>
      <c r="T246" s="5"/>
    </row>
    <row r="247" customFormat="false" ht="57.75" hidden="false" customHeight="true" outlineLevel="0" collapsed="false">
      <c r="A247" s="4" t="n">
        <v>246</v>
      </c>
      <c r="B247" s="6" t="s">
        <v>95</v>
      </c>
      <c r="C247" s="6" t="s">
        <v>821</v>
      </c>
      <c r="D247" s="6" t="s">
        <v>822</v>
      </c>
      <c r="E247" s="7" t="s">
        <v>21</v>
      </c>
      <c r="F247" s="6" t="s">
        <v>1148</v>
      </c>
      <c r="G247" s="6" t="s">
        <v>1149</v>
      </c>
      <c r="H247" s="6" t="s">
        <v>1150</v>
      </c>
      <c r="I247" s="6" t="s">
        <v>1151</v>
      </c>
      <c r="J247" s="6" t="s">
        <v>1152</v>
      </c>
      <c r="K247" s="5"/>
      <c r="L247" s="4" t="s">
        <v>27</v>
      </c>
      <c r="M247" s="8" t="s">
        <v>28</v>
      </c>
      <c r="N247" s="9" t="s">
        <v>839</v>
      </c>
      <c r="O247" s="5"/>
      <c r="P247" s="5"/>
      <c r="Q247" s="6" t="s">
        <v>30</v>
      </c>
      <c r="R247" s="4" t="s">
        <v>31</v>
      </c>
      <c r="S247" s="7" t="s">
        <v>32</v>
      </c>
      <c r="T247" s="5"/>
    </row>
    <row r="248" customFormat="false" ht="57.75" hidden="false" customHeight="true" outlineLevel="0" collapsed="false">
      <c r="A248" s="4" t="n">
        <v>247</v>
      </c>
      <c r="B248" s="6" t="s">
        <v>95</v>
      </c>
      <c r="C248" s="6" t="s">
        <v>821</v>
      </c>
      <c r="D248" s="6" t="s">
        <v>822</v>
      </c>
      <c r="E248" s="7" t="s">
        <v>21</v>
      </c>
      <c r="F248" s="6" t="s">
        <v>1153</v>
      </c>
      <c r="G248" s="6" t="s">
        <v>1154</v>
      </c>
      <c r="H248" s="6" t="s">
        <v>1155</v>
      </c>
      <c r="I248" s="6" t="s">
        <v>1156</v>
      </c>
      <c r="J248" s="6" t="s">
        <v>1157</v>
      </c>
      <c r="K248" s="5"/>
      <c r="L248" s="4" t="s">
        <v>62</v>
      </c>
      <c r="M248" s="8" t="s">
        <v>28</v>
      </c>
      <c r="N248" s="9" t="s">
        <v>828</v>
      </c>
      <c r="O248" s="5"/>
      <c r="P248" s="5"/>
      <c r="Q248" s="6" t="s">
        <v>30</v>
      </c>
      <c r="R248" s="4" t="s">
        <v>31</v>
      </c>
      <c r="S248" s="7" t="s">
        <v>32</v>
      </c>
      <c r="T248" s="5"/>
    </row>
    <row r="249" customFormat="false" ht="86.25" hidden="false" customHeight="true" outlineLevel="0" collapsed="false">
      <c r="A249" s="4" t="n">
        <v>248</v>
      </c>
      <c r="B249" s="6" t="s">
        <v>95</v>
      </c>
      <c r="C249" s="6" t="s">
        <v>821</v>
      </c>
      <c r="D249" s="6" t="s">
        <v>822</v>
      </c>
      <c r="E249" s="7" t="s">
        <v>21</v>
      </c>
      <c r="F249" s="6" t="s">
        <v>1158</v>
      </c>
      <c r="G249" s="6" t="s">
        <v>1159</v>
      </c>
      <c r="H249" s="6" t="s">
        <v>1160</v>
      </c>
      <c r="I249" s="6" t="s">
        <v>1161</v>
      </c>
      <c r="J249" s="6" t="s">
        <v>1162</v>
      </c>
      <c r="K249" s="5"/>
      <c r="L249" s="4" t="s">
        <v>62</v>
      </c>
      <c r="M249" s="8" t="s">
        <v>28</v>
      </c>
      <c r="N249" s="9" t="s">
        <v>828</v>
      </c>
      <c r="O249" s="5"/>
      <c r="P249" s="5"/>
      <c r="Q249" s="6" t="s">
        <v>30</v>
      </c>
      <c r="R249" s="4" t="s">
        <v>31</v>
      </c>
      <c r="S249" s="7" t="s">
        <v>32</v>
      </c>
      <c r="T249" s="5"/>
    </row>
    <row r="250" customFormat="false" ht="43.5" hidden="false" customHeight="true" outlineLevel="0" collapsed="false">
      <c r="A250" s="4" t="n">
        <v>249</v>
      </c>
      <c r="B250" s="6" t="s">
        <v>95</v>
      </c>
      <c r="C250" s="6" t="s">
        <v>821</v>
      </c>
      <c r="D250" s="6" t="s">
        <v>822</v>
      </c>
      <c r="E250" s="7" t="s">
        <v>21</v>
      </c>
      <c r="F250" s="6" t="s">
        <v>1163</v>
      </c>
      <c r="G250" s="6" t="s">
        <v>1164</v>
      </c>
      <c r="H250" s="6" t="s">
        <v>1165</v>
      </c>
      <c r="I250" s="6" t="s">
        <v>1166</v>
      </c>
      <c r="J250" s="6" t="s">
        <v>1167</v>
      </c>
      <c r="K250" s="5"/>
      <c r="L250" s="4" t="s">
        <v>27</v>
      </c>
      <c r="M250" s="8" t="s">
        <v>79</v>
      </c>
      <c r="N250" s="9" t="s">
        <v>828</v>
      </c>
      <c r="O250" s="5"/>
      <c r="P250" s="5"/>
      <c r="Q250" s="6" t="s">
        <v>30</v>
      </c>
      <c r="R250" s="4" t="s">
        <v>31</v>
      </c>
      <c r="S250" s="7" t="s">
        <v>32</v>
      </c>
      <c r="T250" s="5"/>
    </row>
    <row r="251" customFormat="false" ht="86.25" hidden="false" customHeight="true" outlineLevel="0" collapsed="false">
      <c r="A251" s="4" t="n">
        <v>250</v>
      </c>
      <c r="B251" s="6" t="s">
        <v>95</v>
      </c>
      <c r="C251" s="6" t="s">
        <v>821</v>
      </c>
      <c r="D251" s="6" t="s">
        <v>822</v>
      </c>
      <c r="E251" s="7" t="s">
        <v>21</v>
      </c>
      <c r="F251" s="6" t="s">
        <v>1168</v>
      </c>
      <c r="G251" s="6" t="s">
        <v>1169</v>
      </c>
      <c r="H251" s="6" t="s">
        <v>1170</v>
      </c>
      <c r="I251" s="6" t="s">
        <v>1171</v>
      </c>
      <c r="J251" s="6" t="s">
        <v>1172</v>
      </c>
      <c r="K251" s="5"/>
      <c r="L251" s="4" t="s">
        <v>51</v>
      </c>
      <c r="M251" s="8" t="s">
        <v>28</v>
      </c>
      <c r="N251" s="9" t="s">
        <v>879</v>
      </c>
      <c r="O251" s="5"/>
      <c r="P251" s="5"/>
      <c r="Q251" s="6" t="s">
        <v>30</v>
      </c>
      <c r="R251" s="4" t="s">
        <v>31</v>
      </c>
      <c r="S251" s="7" t="s">
        <v>32</v>
      </c>
      <c r="T251" s="5"/>
    </row>
    <row r="252" customFormat="false" ht="86.25" hidden="false" customHeight="true" outlineLevel="0" collapsed="false">
      <c r="A252" s="4" t="n">
        <v>251</v>
      </c>
      <c r="B252" s="6" t="s">
        <v>95</v>
      </c>
      <c r="C252" s="6" t="s">
        <v>821</v>
      </c>
      <c r="D252" s="6" t="s">
        <v>822</v>
      </c>
      <c r="E252" s="7" t="s">
        <v>21</v>
      </c>
      <c r="F252" s="6" t="s">
        <v>1173</v>
      </c>
      <c r="G252" s="6" t="s">
        <v>1174</v>
      </c>
      <c r="H252" s="6" t="s">
        <v>1175</v>
      </c>
      <c r="I252" s="6" t="s">
        <v>1176</v>
      </c>
      <c r="J252" s="6" t="s">
        <v>1177</v>
      </c>
      <c r="K252" s="5"/>
      <c r="L252" s="4" t="s">
        <v>62</v>
      </c>
      <c r="M252" s="8" t="s">
        <v>28</v>
      </c>
      <c r="N252" s="9" t="s">
        <v>828</v>
      </c>
      <c r="O252" s="5"/>
      <c r="P252" s="5"/>
      <c r="Q252" s="6" t="s">
        <v>30</v>
      </c>
      <c r="R252" s="4" t="s">
        <v>31</v>
      </c>
      <c r="S252" s="7" t="s">
        <v>32</v>
      </c>
      <c r="T252" s="5"/>
    </row>
    <row r="253" customFormat="false" ht="57.75" hidden="false" customHeight="true" outlineLevel="0" collapsed="false">
      <c r="A253" s="4" t="n">
        <v>252</v>
      </c>
      <c r="B253" s="6" t="s">
        <v>95</v>
      </c>
      <c r="C253" s="6" t="s">
        <v>821</v>
      </c>
      <c r="D253" s="6" t="s">
        <v>822</v>
      </c>
      <c r="E253" s="7" t="s">
        <v>21</v>
      </c>
      <c r="F253" s="6" t="s">
        <v>1178</v>
      </c>
      <c r="G253" s="6" t="s">
        <v>1179</v>
      </c>
      <c r="H253" s="6" t="s">
        <v>1180</v>
      </c>
      <c r="I253" s="6" t="s">
        <v>1181</v>
      </c>
      <c r="J253" s="6" t="s">
        <v>1182</v>
      </c>
      <c r="K253" s="5"/>
      <c r="L253" s="4" t="s">
        <v>62</v>
      </c>
      <c r="M253" s="8" t="s">
        <v>28</v>
      </c>
      <c r="N253" s="9" t="s">
        <v>828</v>
      </c>
      <c r="O253" s="5"/>
      <c r="P253" s="5"/>
      <c r="Q253" s="6" t="s">
        <v>30</v>
      </c>
      <c r="R253" s="4" t="s">
        <v>31</v>
      </c>
      <c r="S253" s="7" t="s">
        <v>32</v>
      </c>
      <c r="T253" s="5"/>
    </row>
    <row r="254" customFormat="false" ht="86.25" hidden="false" customHeight="true" outlineLevel="0" collapsed="false">
      <c r="A254" s="4" t="n">
        <v>253</v>
      </c>
      <c r="B254" s="6" t="s">
        <v>95</v>
      </c>
      <c r="C254" s="6" t="s">
        <v>821</v>
      </c>
      <c r="D254" s="6" t="s">
        <v>822</v>
      </c>
      <c r="E254" s="7" t="s">
        <v>21</v>
      </c>
      <c r="F254" s="6" t="s">
        <v>1183</v>
      </c>
      <c r="G254" s="6" t="s">
        <v>1184</v>
      </c>
      <c r="H254" s="6" t="s">
        <v>1185</v>
      </c>
      <c r="I254" s="6" t="s">
        <v>1186</v>
      </c>
      <c r="J254" s="6" t="s">
        <v>1187</v>
      </c>
      <c r="K254" s="5"/>
      <c r="L254" s="4" t="s">
        <v>44</v>
      </c>
      <c r="M254" s="8" t="s">
        <v>28</v>
      </c>
      <c r="N254" s="9" t="s">
        <v>828</v>
      </c>
      <c r="O254" s="5"/>
      <c r="P254" s="5"/>
      <c r="Q254" s="6" t="s">
        <v>30</v>
      </c>
      <c r="R254" s="4" t="s">
        <v>31</v>
      </c>
      <c r="S254" s="7" t="s">
        <v>32</v>
      </c>
      <c r="T254" s="5"/>
    </row>
    <row r="255" customFormat="false" ht="43.5" hidden="false" customHeight="true" outlineLevel="0" collapsed="false">
      <c r="A255" s="4" t="n">
        <v>254</v>
      </c>
      <c r="B255" s="6" t="s">
        <v>95</v>
      </c>
      <c r="C255" s="6" t="s">
        <v>821</v>
      </c>
      <c r="D255" s="6" t="s">
        <v>822</v>
      </c>
      <c r="E255" s="7" t="s">
        <v>21</v>
      </c>
      <c r="F255" s="6" t="s">
        <v>1188</v>
      </c>
      <c r="G255" s="6" t="s">
        <v>1189</v>
      </c>
      <c r="H255" s="6" t="s">
        <v>1190</v>
      </c>
      <c r="I255" s="6" t="s">
        <v>1191</v>
      </c>
      <c r="J255" s="6" t="s">
        <v>1192</v>
      </c>
      <c r="K255" s="5"/>
      <c r="L255" s="4" t="s">
        <v>51</v>
      </c>
      <c r="M255" s="8" t="s">
        <v>28</v>
      </c>
      <c r="N255" s="9" t="s">
        <v>828</v>
      </c>
      <c r="O255" s="5"/>
      <c r="P255" s="5"/>
      <c r="Q255" s="6" t="s">
        <v>30</v>
      </c>
      <c r="R255" s="4" t="s">
        <v>31</v>
      </c>
      <c r="S255" s="7" t="s">
        <v>32</v>
      </c>
      <c r="T255" s="5"/>
    </row>
    <row r="256" customFormat="false" ht="29.25" hidden="false" customHeight="true" outlineLevel="0" collapsed="false">
      <c r="A256" s="4" t="n">
        <v>255</v>
      </c>
      <c r="B256" s="6" t="s">
        <v>95</v>
      </c>
      <c r="C256" s="6" t="s">
        <v>821</v>
      </c>
      <c r="D256" s="6" t="s">
        <v>822</v>
      </c>
      <c r="E256" s="7" t="s">
        <v>21</v>
      </c>
      <c r="F256" s="6" t="s">
        <v>1193</v>
      </c>
      <c r="G256" s="6" t="s">
        <v>1194</v>
      </c>
      <c r="H256" s="6" t="s">
        <v>1195</v>
      </c>
      <c r="I256" s="6" t="s">
        <v>1196</v>
      </c>
      <c r="J256" s="6" t="s">
        <v>1197</v>
      </c>
      <c r="K256" s="5"/>
      <c r="L256" s="4" t="s">
        <v>27</v>
      </c>
      <c r="M256" s="8" t="s">
        <v>79</v>
      </c>
      <c r="N256" s="9" t="s">
        <v>828</v>
      </c>
      <c r="O256" s="5"/>
      <c r="P256" s="5"/>
      <c r="Q256" s="6" t="s">
        <v>30</v>
      </c>
      <c r="R256" s="4" t="s">
        <v>31</v>
      </c>
      <c r="S256" s="7" t="s">
        <v>32</v>
      </c>
      <c r="T256" s="5"/>
    </row>
    <row r="257" customFormat="false" ht="43.5" hidden="false" customHeight="true" outlineLevel="0" collapsed="false">
      <c r="A257" s="4" t="n">
        <v>256</v>
      </c>
      <c r="B257" s="6" t="s">
        <v>95</v>
      </c>
      <c r="C257" s="6" t="s">
        <v>821</v>
      </c>
      <c r="D257" s="6" t="s">
        <v>822</v>
      </c>
      <c r="E257" s="7" t="s">
        <v>21</v>
      </c>
      <c r="F257" s="6" t="s">
        <v>1198</v>
      </c>
      <c r="G257" s="6" t="s">
        <v>1199</v>
      </c>
      <c r="H257" s="6" t="s">
        <v>1200</v>
      </c>
      <c r="I257" s="6" t="s">
        <v>1201</v>
      </c>
      <c r="J257" s="6" t="s">
        <v>1202</v>
      </c>
      <c r="K257" s="5"/>
      <c r="L257" s="4" t="s">
        <v>62</v>
      </c>
      <c r="M257" s="8" t="s">
        <v>28</v>
      </c>
      <c r="N257" s="9" t="s">
        <v>828</v>
      </c>
      <c r="O257" s="5"/>
      <c r="P257" s="5"/>
      <c r="Q257" s="6" t="s">
        <v>30</v>
      </c>
      <c r="R257" s="4" t="s">
        <v>31</v>
      </c>
      <c r="S257" s="7" t="s">
        <v>32</v>
      </c>
      <c r="T257" s="5"/>
    </row>
    <row r="258" customFormat="false" ht="15" hidden="false" customHeight="true" outlineLevel="0" collapsed="false">
      <c r="A258" s="4" t="n">
        <v>257</v>
      </c>
      <c r="B258" s="6" t="s">
        <v>95</v>
      </c>
      <c r="C258" s="6" t="s">
        <v>821</v>
      </c>
      <c r="D258" s="6" t="s">
        <v>822</v>
      </c>
      <c r="E258" s="7" t="s">
        <v>21</v>
      </c>
      <c r="F258" s="6" t="s">
        <v>1203</v>
      </c>
      <c r="G258" s="6" t="s">
        <v>1204</v>
      </c>
      <c r="H258" s="6" t="s">
        <v>1205</v>
      </c>
      <c r="I258" s="6" t="s">
        <v>1206</v>
      </c>
      <c r="J258" s="6" t="s">
        <v>1207</v>
      </c>
      <c r="K258" s="5"/>
      <c r="L258" s="4" t="s">
        <v>44</v>
      </c>
      <c r="M258" s="8" t="s">
        <v>129</v>
      </c>
      <c r="N258" s="9" t="s">
        <v>973</v>
      </c>
      <c r="O258" s="5"/>
      <c r="P258" s="5"/>
      <c r="Q258" s="6" t="s">
        <v>30</v>
      </c>
      <c r="R258" s="4" t="s">
        <v>31</v>
      </c>
      <c r="S258" s="7" t="s">
        <v>32</v>
      </c>
      <c r="T258" s="5"/>
    </row>
    <row r="259" customFormat="false" ht="29.25" hidden="false" customHeight="true" outlineLevel="0" collapsed="false">
      <c r="A259" s="4" t="n">
        <v>258</v>
      </c>
      <c r="B259" s="6" t="s">
        <v>95</v>
      </c>
      <c r="C259" s="6" t="s">
        <v>821</v>
      </c>
      <c r="D259" s="6" t="s">
        <v>822</v>
      </c>
      <c r="E259" s="7" t="s">
        <v>21</v>
      </c>
      <c r="F259" s="6" t="s">
        <v>1208</v>
      </c>
      <c r="G259" s="6" t="s">
        <v>1209</v>
      </c>
      <c r="H259" s="6" t="s">
        <v>1210</v>
      </c>
      <c r="I259" s="6" t="s">
        <v>1211</v>
      </c>
      <c r="J259" s="6" t="s">
        <v>150</v>
      </c>
      <c r="K259" s="5"/>
      <c r="L259" s="4" t="s">
        <v>62</v>
      </c>
      <c r="M259" s="8" t="s">
        <v>28</v>
      </c>
      <c r="N259" s="9" t="s">
        <v>1212</v>
      </c>
      <c r="O259" s="5"/>
      <c r="P259" s="5"/>
      <c r="Q259" s="6" t="s">
        <v>30</v>
      </c>
      <c r="R259" s="4" t="s">
        <v>31</v>
      </c>
      <c r="S259" s="7" t="s">
        <v>32</v>
      </c>
      <c r="T259" s="5"/>
    </row>
    <row r="260" customFormat="false" ht="43.5" hidden="false" customHeight="true" outlineLevel="0" collapsed="false">
      <c r="A260" s="4" t="n">
        <v>259</v>
      </c>
      <c r="B260" s="6" t="s">
        <v>95</v>
      </c>
      <c r="C260" s="6" t="s">
        <v>821</v>
      </c>
      <c r="D260" s="6" t="s">
        <v>822</v>
      </c>
      <c r="E260" s="7" t="s">
        <v>21</v>
      </c>
      <c r="F260" s="6" t="s">
        <v>1213</v>
      </c>
      <c r="G260" s="5" t="s">
        <v>1214</v>
      </c>
      <c r="H260" s="5" t="s">
        <v>1215</v>
      </c>
      <c r="I260" s="5" t="s">
        <v>1216</v>
      </c>
      <c r="J260" s="5" t="s">
        <v>1217</v>
      </c>
      <c r="K260" s="5"/>
      <c r="L260" s="4" t="s">
        <v>27</v>
      </c>
      <c r="M260" s="8" t="s">
        <v>79</v>
      </c>
      <c r="N260" s="9" t="s">
        <v>1218</v>
      </c>
      <c r="O260" s="5"/>
      <c r="P260" s="5"/>
      <c r="Q260" s="6" t="s">
        <v>30</v>
      </c>
      <c r="R260" s="4" t="s">
        <v>31</v>
      </c>
      <c r="S260" s="7" t="s">
        <v>32</v>
      </c>
      <c r="T260" s="5"/>
    </row>
    <row r="261" customFormat="false" ht="29.25" hidden="false" customHeight="true" outlineLevel="0" collapsed="false">
      <c r="A261" s="4" t="n">
        <v>260</v>
      </c>
      <c r="B261" s="6" t="s">
        <v>95</v>
      </c>
      <c r="C261" s="6" t="s">
        <v>821</v>
      </c>
      <c r="D261" s="6" t="s">
        <v>822</v>
      </c>
      <c r="E261" s="7" t="s">
        <v>21</v>
      </c>
      <c r="F261" s="6" t="s">
        <v>1219</v>
      </c>
      <c r="G261" s="5" t="s">
        <v>1215</v>
      </c>
      <c r="H261" s="5" t="s">
        <v>1220</v>
      </c>
      <c r="I261" s="5" t="s">
        <v>1221</v>
      </c>
      <c r="J261" s="5" t="s">
        <v>1222</v>
      </c>
      <c r="K261" s="5"/>
      <c r="L261" s="4" t="s">
        <v>44</v>
      </c>
      <c r="M261" s="8" t="s">
        <v>129</v>
      </c>
      <c r="N261" s="9" t="s">
        <v>828</v>
      </c>
      <c r="O261" s="5"/>
      <c r="P261" s="5"/>
      <c r="Q261" s="6" t="s">
        <v>30</v>
      </c>
      <c r="R261" s="4" t="s">
        <v>31</v>
      </c>
      <c r="S261" s="7" t="s">
        <v>32</v>
      </c>
      <c r="T261" s="5"/>
    </row>
    <row r="262" customFormat="false" ht="57.75" hidden="false" customHeight="true" outlineLevel="0" collapsed="false">
      <c r="A262" s="4" t="n">
        <v>261</v>
      </c>
      <c r="B262" s="6" t="s">
        <v>95</v>
      </c>
      <c r="C262" s="6" t="s">
        <v>821</v>
      </c>
      <c r="D262" s="6" t="s">
        <v>822</v>
      </c>
      <c r="E262" s="7" t="s">
        <v>21</v>
      </c>
      <c r="F262" s="6" t="s">
        <v>1223</v>
      </c>
      <c r="G262" s="5" t="s">
        <v>1224</v>
      </c>
      <c r="H262" s="5" t="s">
        <v>1225</v>
      </c>
      <c r="I262" s="5" t="s">
        <v>1226</v>
      </c>
      <c r="J262" s="5" t="s">
        <v>1227</v>
      </c>
      <c r="K262" s="5"/>
      <c r="L262" s="4" t="s">
        <v>62</v>
      </c>
      <c r="M262" s="8" t="s">
        <v>79</v>
      </c>
      <c r="N262" s="9" t="s">
        <v>1228</v>
      </c>
      <c r="O262" s="5"/>
      <c r="P262" s="5"/>
      <c r="Q262" s="6" t="s">
        <v>30</v>
      </c>
      <c r="R262" s="4" t="s">
        <v>31</v>
      </c>
      <c r="S262" s="7" t="s">
        <v>32</v>
      </c>
      <c r="T262" s="5"/>
    </row>
    <row r="263" customFormat="false" ht="57.75" hidden="false" customHeight="true" outlineLevel="0" collapsed="false">
      <c r="A263" s="4" t="n">
        <v>262</v>
      </c>
      <c r="B263" s="6" t="s">
        <v>95</v>
      </c>
      <c r="C263" s="6" t="s">
        <v>821</v>
      </c>
      <c r="D263" s="6" t="s">
        <v>822</v>
      </c>
      <c r="E263" s="7" t="s">
        <v>21</v>
      </c>
      <c r="F263" s="6" t="s">
        <v>1229</v>
      </c>
      <c r="G263" s="6" t="s">
        <v>1230</v>
      </c>
      <c r="H263" s="6" t="s">
        <v>1231</v>
      </c>
      <c r="I263" s="6" t="s">
        <v>1232</v>
      </c>
      <c r="J263" s="6" t="s">
        <v>1233</v>
      </c>
      <c r="K263" s="5"/>
      <c r="L263" s="4" t="s">
        <v>27</v>
      </c>
      <c r="M263" s="8" t="s">
        <v>28</v>
      </c>
      <c r="N263" s="9" t="s">
        <v>853</v>
      </c>
      <c r="O263" s="5"/>
      <c r="P263" s="5"/>
      <c r="Q263" s="6" t="s">
        <v>30</v>
      </c>
      <c r="R263" s="4" t="s">
        <v>31</v>
      </c>
      <c r="S263" s="7" t="s">
        <v>32</v>
      </c>
      <c r="T263" s="5"/>
    </row>
    <row r="264" customFormat="false" ht="72" hidden="false" customHeight="true" outlineLevel="0" collapsed="false">
      <c r="A264" s="4" t="n">
        <v>263</v>
      </c>
      <c r="B264" s="6" t="s">
        <v>95</v>
      </c>
      <c r="C264" s="6" t="s">
        <v>821</v>
      </c>
      <c r="D264" s="6" t="s">
        <v>822</v>
      </c>
      <c r="E264" s="7" t="s">
        <v>21</v>
      </c>
      <c r="F264" s="6" t="s">
        <v>1234</v>
      </c>
      <c r="G264" s="5" t="s">
        <v>176</v>
      </c>
      <c r="H264" s="5" t="s">
        <v>1235</v>
      </c>
      <c r="I264" s="5" t="s">
        <v>1224</v>
      </c>
      <c r="J264" s="5" t="s">
        <v>1236</v>
      </c>
      <c r="K264" s="5"/>
      <c r="L264" s="4" t="s">
        <v>27</v>
      </c>
      <c r="M264" s="8" t="s">
        <v>28</v>
      </c>
      <c r="N264" s="9" t="s">
        <v>828</v>
      </c>
      <c r="O264" s="5"/>
      <c r="P264" s="5"/>
      <c r="Q264" s="6" t="s">
        <v>30</v>
      </c>
      <c r="R264" s="4" t="s">
        <v>31</v>
      </c>
      <c r="S264" s="7" t="s">
        <v>32</v>
      </c>
      <c r="T264" s="5"/>
    </row>
    <row r="265" customFormat="false" ht="29.25" hidden="false" customHeight="true" outlineLevel="0" collapsed="false">
      <c r="A265" s="4" t="n">
        <v>264</v>
      </c>
      <c r="B265" s="6" t="s">
        <v>95</v>
      </c>
      <c r="C265" s="6" t="s">
        <v>821</v>
      </c>
      <c r="D265" s="6" t="s">
        <v>822</v>
      </c>
      <c r="E265" s="7" t="s">
        <v>21</v>
      </c>
      <c r="F265" s="6" t="s">
        <v>1237</v>
      </c>
      <c r="G265" s="5" t="s">
        <v>176</v>
      </c>
      <c r="H265" s="5" t="s">
        <v>1235</v>
      </c>
      <c r="I265" s="5" t="s">
        <v>1224</v>
      </c>
      <c r="J265" s="5" t="s">
        <v>1238</v>
      </c>
      <c r="K265" s="5"/>
      <c r="L265" s="4" t="s">
        <v>27</v>
      </c>
      <c r="M265" s="8" t="s">
        <v>129</v>
      </c>
      <c r="N265" s="9" t="s">
        <v>828</v>
      </c>
      <c r="O265" s="5"/>
      <c r="P265" s="5"/>
      <c r="Q265" s="6" t="s">
        <v>30</v>
      </c>
      <c r="R265" s="4" t="s">
        <v>31</v>
      </c>
      <c r="S265" s="7" t="s">
        <v>32</v>
      </c>
      <c r="T265" s="5"/>
    </row>
    <row r="266" customFormat="false" ht="29.25" hidden="false" customHeight="true" outlineLevel="0" collapsed="false">
      <c r="A266" s="4" t="n">
        <v>265</v>
      </c>
      <c r="B266" s="6" t="s">
        <v>95</v>
      </c>
      <c r="C266" s="6" t="s">
        <v>821</v>
      </c>
      <c r="D266" s="6" t="s">
        <v>822</v>
      </c>
      <c r="E266" s="7" t="s">
        <v>21</v>
      </c>
      <c r="F266" s="6" t="s">
        <v>1239</v>
      </c>
      <c r="G266" s="5" t="s">
        <v>1240</v>
      </c>
      <c r="H266" s="5" t="s">
        <v>1241</v>
      </c>
      <c r="I266" s="5" t="s">
        <v>1242</v>
      </c>
      <c r="J266" s="5" t="s">
        <v>1217</v>
      </c>
      <c r="K266" s="5"/>
      <c r="L266" s="4" t="s">
        <v>62</v>
      </c>
      <c r="M266" s="8" t="s">
        <v>79</v>
      </c>
      <c r="N266" s="9" t="s">
        <v>1212</v>
      </c>
      <c r="O266" s="5"/>
      <c r="P266" s="5"/>
      <c r="Q266" s="6" t="s">
        <v>30</v>
      </c>
      <c r="R266" s="4" t="s">
        <v>31</v>
      </c>
      <c r="S266" s="7" t="s">
        <v>32</v>
      </c>
      <c r="T266" s="5"/>
    </row>
    <row r="267" customFormat="false" ht="29.25" hidden="false" customHeight="true" outlineLevel="0" collapsed="false">
      <c r="A267" s="4" t="n">
        <v>266</v>
      </c>
      <c r="B267" s="6" t="s">
        <v>95</v>
      </c>
      <c r="C267" s="6" t="s">
        <v>821</v>
      </c>
      <c r="D267" s="6" t="s">
        <v>822</v>
      </c>
      <c r="E267" s="7" t="s">
        <v>21</v>
      </c>
      <c r="F267" s="6" t="s">
        <v>1243</v>
      </c>
      <c r="G267" s="6" t="s">
        <v>1244</v>
      </c>
      <c r="H267" s="6" t="s">
        <v>535</v>
      </c>
      <c r="I267" s="6" t="s">
        <v>1245</v>
      </c>
      <c r="J267" s="6" t="s">
        <v>302</v>
      </c>
      <c r="K267" s="5"/>
      <c r="L267" s="4" t="s">
        <v>44</v>
      </c>
      <c r="M267" s="8" t="s">
        <v>79</v>
      </c>
      <c r="N267" s="9" t="s">
        <v>1246</v>
      </c>
      <c r="O267" s="5"/>
      <c r="P267" s="5"/>
      <c r="Q267" s="6" t="s">
        <v>30</v>
      </c>
      <c r="R267" s="4" t="s">
        <v>31</v>
      </c>
      <c r="S267" s="7" t="s">
        <v>32</v>
      </c>
      <c r="T267" s="5"/>
    </row>
    <row r="268" customFormat="false" ht="15" hidden="false" customHeight="true" outlineLevel="0" collapsed="false">
      <c r="A268" s="4" t="n">
        <v>267</v>
      </c>
      <c r="B268" s="6" t="s">
        <v>95</v>
      </c>
      <c r="C268" s="6" t="s">
        <v>821</v>
      </c>
      <c r="D268" s="6" t="s">
        <v>822</v>
      </c>
      <c r="E268" s="7" t="s">
        <v>21</v>
      </c>
      <c r="F268" s="6" t="s">
        <v>1247</v>
      </c>
      <c r="G268" s="6" t="s">
        <v>1248</v>
      </c>
      <c r="H268" s="6" t="s">
        <v>1249</v>
      </c>
      <c r="I268" s="6" t="s">
        <v>1250</v>
      </c>
      <c r="J268" s="6" t="s">
        <v>1251</v>
      </c>
      <c r="K268" s="5"/>
      <c r="L268" s="4" t="s">
        <v>44</v>
      </c>
      <c r="M268" s="8" t="s">
        <v>129</v>
      </c>
      <c r="N268" s="9" t="s">
        <v>828</v>
      </c>
      <c r="O268" s="5"/>
      <c r="P268" s="5"/>
      <c r="Q268" s="6" t="s">
        <v>30</v>
      </c>
      <c r="R268" s="4" t="s">
        <v>31</v>
      </c>
      <c r="S268" s="7" t="s">
        <v>32</v>
      </c>
      <c r="T268" s="5"/>
    </row>
    <row r="269" customFormat="false" ht="15" hidden="false" customHeight="true" outlineLevel="0" collapsed="false">
      <c r="A269" s="4" t="n">
        <v>268</v>
      </c>
      <c r="B269" s="6" t="s">
        <v>95</v>
      </c>
      <c r="C269" s="6" t="s">
        <v>821</v>
      </c>
      <c r="D269" s="6" t="s">
        <v>822</v>
      </c>
      <c r="E269" s="7" t="s">
        <v>21</v>
      </c>
      <c r="F269" s="6" t="s">
        <v>1252</v>
      </c>
      <c r="G269" s="5" t="s">
        <v>1253</v>
      </c>
      <c r="H269" s="5" t="s">
        <v>1254</v>
      </c>
      <c r="I269" s="5" t="s">
        <v>1255</v>
      </c>
      <c r="J269" s="5" t="s">
        <v>1256</v>
      </c>
      <c r="K269" s="5"/>
      <c r="L269" s="4" t="s">
        <v>62</v>
      </c>
      <c r="M269" s="8" t="s">
        <v>129</v>
      </c>
      <c r="N269" s="9" t="s">
        <v>828</v>
      </c>
      <c r="O269" s="5"/>
      <c r="P269" s="5"/>
      <c r="Q269" s="6" t="s">
        <v>30</v>
      </c>
      <c r="R269" s="4" t="s">
        <v>31</v>
      </c>
      <c r="S269" s="7" t="s">
        <v>32</v>
      </c>
      <c r="T269" s="5"/>
    </row>
    <row r="270" customFormat="false" ht="15" hidden="false" customHeight="true" outlineLevel="0" collapsed="false">
      <c r="A270" s="4" t="n">
        <v>269</v>
      </c>
      <c r="B270" s="6" t="s">
        <v>95</v>
      </c>
      <c r="C270" s="6" t="s">
        <v>821</v>
      </c>
      <c r="D270" s="6" t="s">
        <v>822</v>
      </c>
      <c r="E270" s="7" t="s">
        <v>21</v>
      </c>
      <c r="F270" s="6" t="s">
        <v>1257</v>
      </c>
      <c r="G270" s="6" t="s">
        <v>1258</v>
      </c>
      <c r="H270" s="6" t="s">
        <v>210</v>
      </c>
      <c r="I270" s="6" t="s">
        <v>1259</v>
      </c>
      <c r="J270" s="6" t="s">
        <v>1260</v>
      </c>
      <c r="K270" s="5"/>
      <c r="L270" s="4" t="s">
        <v>27</v>
      </c>
      <c r="M270" s="8" t="s">
        <v>129</v>
      </c>
      <c r="N270" s="9" t="s">
        <v>1261</v>
      </c>
      <c r="O270" s="5"/>
      <c r="P270" s="5"/>
      <c r="Q270" s="6" t="s">
        <v>30</v>
      </c>
      <c r="R270" s="4" t="s">
        <v>31</v>
      </c>
      <c r="S270" s="7" t="s">
        <v>32</v>
      </c>
      <c r="T270" s="5"/>
    </row>
    <row r="271" customFormat="false" ht="43.5" hidden="false" customHeight="true" outlineLevel="0" collapsed="false">
      <c r="A271" s="4" t="n">
        <v>270</v>
      </c>
      <c r="B271" s="6" t="s">
        <v>95</v>
      </c>
      <c r="C271" s="6" t="s">
        <v>821</v>
      </c>
      <c r="D271" s="6" t="s">
        <v>822</v>
      </c>
      <c r="E271" s="7" t="s">
        <v>21</v>
      </c>
      <c r="F271" s="6" t="s">
        <v>1262</v>
      </c>
      <c r="G271" s="6" t="s">
        <v>1263</v>
      </c>
      <c r="H271" s="6" t="s">
        <v>1264</v>
      </c>
      <c r="I271" s="6" t="s">
        <v>1265</v>
      </c>
      <c r="J271" s="6" t="s">
        <v>1266</v>
      </c>
      <c r="K271" s="5"/>
      <c r="L271" s="4" t="s">
        <v>62</v>
      </c>
      <c r="M271" s="8" t="s">
        <v>79</v>
      </c>
      <c r="N271" s="9" t="s">
        <v>828</v>
      </c>
      <c r="O271" s="5"/>
      <c r="P271" s="5"/>
      <c r="Q271" s="6" t="s">
        <v>30</v>
      </c>
      <c r="R271" s="4" t="s">
        <v>31</v>
      </c>
      <c r="S271" s="7" t="s">
        <v>32</v>
      </c>
      <c r="T271" s="5"/>
    </row>
    <row r="272" customFormat="false" ht="57.75" hidden="false" customHeight="true" outlineLevel="0" collapsed="false">
      <c r="A272" s="4" t="n">
        <v>271</v>
      </c>
      <c r="B272" s="6" t="s">
        <v>95</v>
      </c>
      <c r="C272" s="6" t="s">
        <v>821</v>
      </c>
      <c r="D272" s="6" t="s">
        <v>822</v>
      </c>
      <c r="E272" s="7" t="s">
        <v>21</v>
      </c>
      <c r="F272" s="6" t="s">
        <v>1267</v>
      </c>
      <c r="G272" s="5" t="s">
        <v>1268</v>
      </c>
      <c r="H272" s="5" t="s">
        <v>1269</v>
      </c>
      <c r="I272" s="5" t="s">
        <v>1270</v>
      </c>
      <c r="J272" s="5" t="s">
        <v>1271</v>
      </c>
      <c r="K272" s="5"/>
      <c r="L272" s="4" t="s">
        <v>27</v>
      </c>
      <c r="M272" s="8" t="s">
        <v>28</v>
      </c>
      <c r="N272" s="9" t="s">
        <v>901</v>
      </c>
      <c r="O272" s="5"/>
      <c r="P272" s="5"/>
      <c r="Q272" s="6" t="s">
        <v>30</v>
      </c>
      <c r="R272" s="4" t="s">
        <v>31</v>
      </c>
      <c r="S272" s="7" t="s">
        <v>32</v>
      </c>
      <c r="T272" s="5"/>
    </row>
    <row r="273" customFormat="false" ht="29.25" hidden="false" customHeight="true" outlineLevel="0" collapsed="false">
      <c r="A273" s="4" t="n">
        <v>272</v>
      </c>
      <c r="B273" s="6" t="s">
        <v>95</v>
      </c>
      <c r="C273" s="6" t="s">
        <v>821</v>
      </c>
      <c r="D273" s="6" t="s">
        <v>822</v>
      </c>
      <c r="E273" s="7" t="s">
        <v>21</v>
      </c>
      <c r="F273" s="6" t="s">
        <v>1272</v>
      </c>
      <c r="G273" s="6" t="s">
        <v>1273</v>
      </c>
      <c r="H273" s="6" t="s">
        <v>1274</v>
      </c>
      <c r="I273" s="6" t="s">
        <v>1275</v>
      </c>
      <c r="J273" s="6" t="s">
        <v>1251</v>
      </c>
      <c r="K273" s="5"/>
      <c r="L273" s="4" t="s">
        <v>44</v>
      </c>
      <c r="M273" s="8" t="s">
        <v>79</v>
      </c>
      <c r="N273" s="9" t="s">
        <v>1276</v>
      </c>
      <c r="O273" s="5"/>
      <c r="P273" s="5"/>
      <c r="Q273" s="6" t="s">
        <v>30</v>
      </c>
      <c r="R273" s="4" t="s">
        <v>31</v>
      </c>
      <c r="S273" s="7" t="s">
        <v>32</v>
      </c>
      <c r="T273" s="5"/>
    </row>
    <row r="274" customFormat="false" ht="15" hidden="false" customHeight="true" outlineLevel="0" collapsed="false">
      <c r="A274" s="4" t="n">
        <v>273</v>
      </c>
      <c r="B274" s="6" t="s">
        <v>95</v>
      </c>
      <c r="C274" s="6" t="s">
        <v>821</v>
      </c>
      <c r="D274" s="6" t="s">
        <v>822</v>
      </c>
      <c r="E274" s="7" t="s">
        <v>21</v>
      </c>
      <c r="F274" s="6" t="s">
        <v>1277</v>
      </c>
      <c r="G274" s="6" t="s">
        <v>1278</v>
      </c>
      <c r="H274" s="6" t="s">
        <v>1279</v>
      </c>
      <c r="I274" s="6" t="s">
        <v>1280</v>
      </c>
      <c r="J274" s="6" t="s">
        <v>1251</v>
      </c>
      <c r="K274" s="5"/>
      <c r="L274" s="4" t="s">
        <v>62</v>
      </c>
      <c r="M274" s="8" t="s">
        <v>129</v>
      </c>
      <c r="N274" s="9" t="s">
        <v>828</v>
      </c>
      <c r="O274" s="5"/>
      <c r="P274" s="5"/>
      <c r="Q274" s="6" t="s">
        <v>30</v>
      </c>
      <c r="R274" s="4" t="s">
        <v>31</v>
      </c>
      <c r="S274" s="7" t="s">
        <v>32</v>
      </c>
      <c r="T274" s="5"/>
    </row>
    <row r="275" customFormat="false" ht="29.25" hidden="false" customHeight="true" outlineLevel="0" collapsed="false">
      <c r="A275" s="4" t="n">
        <v>274</v>
      </c>
      <c r="B275" s="6" t="s">
        <v>95</v>
      </c>
      <c r="C275" s="6" t="s">
        <v>821</v>
      </c>
      <c r="D275" s="6" t="s">
        <v>822</v>
      </c>
      <c r="E275" s="7" t="s">
        <v>21</v>
      </c>
      <c r="F275" s="6" t="s">
        <v>1281</v>
      </c>
      <c r="G275" s="5" t="s">
        <v>1282</v>
      </c>
      <c r="H275" s="5" t="s">
        <v>1283</v>
      </c>
      <c r="I275" s="5" t="s">
        <v>1284</v>
      </c>
      <c r="J275" s="5" t="s">
        <v>1285</v>
      </c>
      <c r="K275" s="5"/>
      <c r="L275" s="4" t="s">
        <v>27</v>
      </c>
      <c r="M275" s="8" t="s">
        <v>79</v>
      </c>
      <c r="N275" s="9" t="s">
        <v>828</v>
      </c>
      <c r="O275" s="5"/>
      <c r="P275" s="5"/>
      <c r="Q275" s="6" t="s">
        <v>30</v>
      </c>
      <c r="R275" s="4" t="s">
        <v>31</v>
      </c>
      <c r="S275" s="7" t="s">
        <v>32</v>
      </c>
      <c r="T275" s="5"/>
    </row>
    <row r="276" customFormat="false" ht="29.25" hidden="false" customHeight="true" outlineLevel="0" collapsed="false">
      <c r="A276" s="4" t="n">
        <v>275</v>
      </c>
      <c r="B276" s="6" t="s">
        <v>95</v>
      </c>
      <c r="C276" s="6" t="s">
        <v>821</v>
      </c>
      <c r="D276" s="6" t="s">
        <v>822</v>
      </c>
      <c r="E276" s="7" t="s">
        <v>21</v>
      </c>
      <c r="F276" s="6" t="s">
        <v>1286</v>
      </c>
      <c r="G276" s="6" t="s">
        <v>1287</v>
      </c>
      <c r="H276" s="6" t="s">
        <v>1288</v>
      </c>
      <c r="I276" s="6" t="s">
        <v>1289</v>
      </c>
      <c r="J276" s="6" t="s">
        <v>1251</v>
      </c>
      <c r="K276" s="5"/>
      <c r="L276" s="4" t="s">
        <v>44</v>
      </c>
      <c r="M276" s="8" t="s">
        <v>79</v>
      </c>
      <c r="N276" s="9" t="s">
        <v>901</v>
      </c>
      <c r="O276" s="5"/>
      <c r="P276" s="5"/>
      <c r="Q276" s="6" t="s">
        <v>30</v>
      </c>
      <c r="R276" s="4" t="s">
        <v>31</v>
      </c>
      <c r="S276" s="7" t="s">
        <v>32</v>
      </c>
      <c r="T276" s="5"/>
    </row>
    <row r="277" customFormat="false" ht="29.25" hidden="false" customHeight="true" outlineLevel="0" collapsed="false">
      <c r="A277" s="4" t="n">
        <v>276</v>
      </c>
      <c r="B277" s="6" t="s">
        <v>95</v>
      </c>
      <c r="C277" s="6" t="s">
        <v>821</v>
      </c>
      <c r="D277" s="6" t="s">
        <v>822</v>
      </c>
      <c r="E277" s="7" t="s">
        <v>21</v>
      </c>
      <c r="F277" s="6" t="s">
        <v>1290</v>
      </c>
      <c r="G277" s="5" t="s">
        <v>1291</v>
      </c>
      <c r="H277" s="5" t="s">
        <v>1292</v>
      </c>
      <c r="I277" s="5" t="s">
        <v>1293</v>
      </c>
      <c r="J277" s="5" t="s">
        <v>1294</v>
      </c>
      <c r="K277" s="5"/>
      <c r="L277" s="4" t="s">
        <v>44</v>
      </c>
      <c r="M277" s="8" t="s">
        <v>79</v>
      </c>
      <c r="N277" s="9" t="s">
        <v>1295</v>
      </c>
      <c r="O277" s="5"/>
      <c r="P277" s="5"/>
      <c r="Q277" s="6" t="s">
        <v>30</v>
      </c>
      <c r="R277" s="4" t="s">
        <v>31</v>
      </c>
      <c r="S277" s="7" t="s">
        <v>32</v>
      </c>
      <c r="T277" s="5"/>
    </row>
    <row r="278" customFormat="false" ht="15" hidden="false" customHeight="true" outlineLevel="0" collapsed="false">
      <c r="A278" s="4" t="n">
        <v>277</v>
      </c>
      <c r="B278" s="6" t="s">
        <v>95</v>
      </c>
      <c r="C278" s="6" t="s">
        <v>821</v>
      </c>
      <c r="D278" s="6" t="s">
        <v>822</v>
      </c>
      <c r="E278" s="7" t="s">
        <v>21</v>
      </c>
      <c r="F278" s="6" t="s">
        <v>1296</v>
      </c>
      <c r="G278" s="6" t="s">
        <v>1297</v>
      </c>
      <c r="H278" s="6" t="s">
        <v>1298</v>
      </c>
      <c r="I278" s="6" t="s">
        <v>1299</v>
      </c>
      <c r="J278" s="6" t="s">
        <v>1251</v>
      </c>
      <c r="K278" s="5"/>
      <c r="L278" s="4" t="s">
        <v>44</v>
      </c>
      <c r="M278" s="8" t="s">
        <v>129</v>
      </c>
      <c r="N278" s="9" t="s">
        <v>828</v>
      </c>
      <c r="O278" s="5"/>
      <c r="P278" s="5"/>
      <c r="Q278" s="6" t="s">
        <v>30</v>
      </c>
      <c r="R278" s="4" t="s">
        <v>31</v>
      </c>
      <c r="S278" s="7" t="s">
        <v>32</v>
      </c>
      <c r="T278" s="5"/>
    </row>
    <row r="279" customFormat="false" ht="29.25" hidden="false" customHeight="true" outlineLevel="0" collapsed="false">
      <c r="A279" s="4" t="n">
        <v>278</v>
      </c>
      <c r="B279" s="6" t="s">
        <v>95</v>
      </c>
      <c r="C279" s="6" t="s">
        <v>821</v>
      </c>
      <c r="D279" s="6" t="s">
        <v>822</v>
      </c>
      <c r="E279" s="7" t="s">
        <v>21</v>
      </c>
      <c r="F279" s="6" t="s">
        <v>1300</v>
      </c>
      <c r="G279" s="6" t="s">
        <v>1301</v>
      </c>
      <c r="H279" s="6" t="s">
        <v>1302</v>
      </c>
      <c r="I279" s="6" t="s">
        <v>1303</v>
      </c>
      <c r="J279" s="6" t="s">
        <v>1304</v>
      </c>
      <c r="K279" s="5"/>
      <c r="L279" s="4" t="s">
        <v>27</v>
      </c>
      <c r="M279" s="8" t="s">
        <v>79</v>
      </c>
      <c r="N279" s="9" t="s">
        <v>879</v>
      </c>
      <c r="O279" s="5"/>
      <c r="P279" s="5"/>
      <c r="Q279" s="6" t="s">
        <v>30</v>
      </c>
      <c r="R279" s="4" t="s">
        <v>31</v>
      </c>
      <c r="S279" s="7" t="s">
        <v>32</v>
      </c>
      <c r="T279" s="5"/>
    </row>
    <row r="280" customFormat="false" ht="15" hidden="false" customHeight="true" outlineLevel="0" collapsed="false">
      <c r="A280" s="4" t="n">
        <v>279</v>
      </c>
      <c r="B280" s="6" t="s">
        <v>95</v>
      </c>
      <c r="C280" s="6" t="s">
        <v>821</v>
      </c>
      <c r="D280" s="6" t="s">
        <v>822</v>
      </c>
      <c r="E280" s="7" t="s">
        <v>21</v>
      </c>
      <c r="F280" s="6" t="s">
        <v>1305</v>
      </c>
      <c r="G280" s="6" t="s">
        <v>1306</v>
      </c>
      <c r="H280" s="6" t="s">
        <v>1307</v>
      </c>
      <c r="I280" s="6" t="s">
        <v>1308</v>
      </c>
      <c r="J280" s="6" t="s">
        <v>1309</v>
      </c>
      <c r="K280" s="5"/>
      <c r="L280" s="4" t="s">
        <v>62</v>
      </c>
      <c r="M280" s="8" t="s">
        <v>129</v>
      </c>
      <c r="N280" s="9" t="s">
        <v>853</v>
      </c>
      <c r="O280" s="5"/>
      <c r="P280" s="5"/>
      <c r="Q280" s="6" t="s">
        <v>30</v>
      </c>
      <c r="R280" s="4" t="s">
        <v>31</v>
      </c>
      <c r="S280" s="7" t="s">
        <v>32</v>
      </c>
      <c r="T280" s="5"/>
    </row>
    <row r="281" customFormat="false" ht="29.25" hidden="false" customHeight="true" outlineLevel="0" collapsed="false">
      <c r="A281" s="4" t="n">
        <v>280</v>
      </c>
      <c r="B281" s="6" t="s">
        <v>95</v>
      </c>
      <c r="C281" s="6" t="s">
        <v>821</v>
      </c>
      <c r="D281" s="6" t="s">
        <v>822</v>
      </c>
      <c r="E281" s="7" t="s">
        <v>21</v>
      </c>
      <c r="F281" s="6" t="s">
        <v>1310</v>
      </c>
      <c r="G281" s="5" t="s">
        <v>1311</v>
      </c>
      <c r="H281" s="5" t="s">
        <v>1312</v>
      </c>
      <c r="I281" s="5" t="s">
        <v>1313</v>
      </c>
      <c r="J281" s="5" t="s">
        <v>895</v>
      </c>
      <c r="K281" s="5"/>
      <c r="L281" s="4" t="s">
        <v>27</v>
      </c>
      <c r="M281" s="8" t="s">
        <v>79</v>
      </c>
      <c r="N281" s="9" t="s">
        <v>901</v>
      </c>
      <c r="O281" s="5"/>
      <c r="P281" s="5"/>
      <c r="Q281" s="6" t="s">
        <v>30</v>
      </c>
      <c r="R281" s="4" t="s">
        <v>31</v>
      </c>
      <c r="S281" s="7" t="s">
        <v>32</v>
      </c>
      <c r="T281" s="5"/>
    </row>
    <row r="282" customFormat="false" ht="29.25" hidden="false" customHeight="true" outlineLevel="0" collapsed="false">
      <c r="A282" s="4" t="n">
        <v>281</v>
      </c>
      <c r="B282" s="6" t="s">
        <v>95</v>
      </c>
      <c r="C282" s="6" t="s">
        <v>821</v>
      </c>
      <c r="D282" s="6" t="s">
        <v>822</v>
      </c>
      <c r="E282" s="7" t="s">
        <v>21</v>
      </c>
      <c r="F282" s="6" t="s">
        <v>1314</v>
      </c>
      <c r="G282" s="6" t="s">
        <v>1315</v>
      </c>
      <c r="H282" s="6" t="s">
        <v>1316</v>
      </c>
      <c r="I282" s="6" t="s">
        <v>1317</v>
      </c>
      <c r="J282" s="6" t="s">
        <v>1251</v>
      </c>
      <c r="K282" s="5"/>
      <c r="L282" s="4" t="s">
        <v>44</v>
      </c>
      <c r="M282" s="8" t="s">
        <v>79</v>
      </c>
      <c r="N282" s="9" t="s">
        <v>901</v>
      </c>
      <c r="O282" s="5"/>
      <c r="P282" s="5"/>
      <c r="Q282" s="6" t="s">
        <v>30</v>
      </c>
      <c r="R282" s="4" t="s">
        <v>31</v>
      </c>
      <c r="S282" s="7" t="s">
        <v>32</v>
      </c>
      <c r="T282" s="5"/>
    </row>
    <row r="283" customFormat="false" ht="29.25" hidden="false" customHeight="true" outlineLevel="0" collapsed="false">
      <c r="A283" s="4" t="n">
        <v>282</v>
      </c>
      <c r="B283" s="6" t="s">
        <v>95</v>
      </c>
      <c r="C283" s="6" t="s">
        <v>821</v>
      </c>
      <c r="D283" s="6" t="s">
        <v>822</v>
      </c>
      <c r="E283" s="7" t="s">
        <v>21</v>
      </c>
      <c r="F283" s="6" t="s">
        <v>1318</v>
      </c>
      <c r="G283" s="5" t="s">
        <v>1224</v>
      </c>
      <c r="H283" s="5" t="s">
        <v>1225</v>
      </c>
      <c r="I283" s="5" t="s">
        <v>1226</v>
      </c>
      <c r="J283" s="5" t="s">
        <v>1319</v>
      </c>
      <c r="K283" s="5"/>
      <c r="L283" s="4" t="s">
        <v>27</v>
      </c>
      <c r="M283" s="8" t="s">
        <v>79</v>
      </c>
      <c r="N283" s="9" t="s">
        <v>973</v>
      </c>
      <c r="O283" s="5"/>
      <c r="P283" s="5"/>
      <c r="Q283" s="6" t="s">
        <v>30</v>
      </c>
      <c r="R283" s="4" t="s">
        <v>31</v>
      </c>
      <c r="S283" s="7" t="s">
        <v>32</v>
      </c>
      <c r="T283" s="5"/>
    </row>
    <row r="284" customFormat="false" ht="43.5" hidden="false" customHeight="true" outlineLevel="0" collapsed="false">
      <c r="A284" s="4" t="n">
        <v>283</v>
      </c>
      <c r="B284" s="6" t="s">
        <v>95</v>
      </c>
      <c r="C284" s="6" t="s">
        <v>821</v>
      </c>
      <c r="D284" s="6" t="s">
        <v>822</v>
      </c>
      <c r="E284" s="7" t="s">
        <v>21</v>
      </c>
      <c r="F284" s="6" t="s">
        <v>1320</v>
      </c>
      <c r="G284" s="5" t="s">
        <v>1225</v>
      </c>
      <c r="H284" s="5" t="s">
        <v>1321</v>
      </c>
      <c r="I284" s="5" t="s">
        <v>1226</v>
      </c>
      <c r="J284" s="5" t="s">
        <v>1322</v>
      </c>
      <c r="K284" s="5"/>
      <c r="L284" s="4" t="s">
        <v>27</v>
      </c>
      <c r="M284" s="8" t="s">
        <v>129</v>
      </c>
      <c r="N284" s="9" t="s">
        <v>973</v>
      </c>
      <c r="O284" s="5"/>
      <c r="P284" s="5"/>
      <c r="Q284" s="6" t="s">
        <v>30</v>
      </c>
      <c r="R284" s="4" t="s">
        <v>31</v>
      </c>
      <c r="S284" s="7" t="s">
        <v>32</v>
      </c>
      <c r="T284" s="5"/>
    </row>
    <row r="285" customFormat="false" ht="29.25" hidden="false" customHeight="true" outlineLevel="0" collapsed="false">
      <c r="A285" s="4" t="n">
        <v>284</v>
      </c>
      <c r="B285" s="6" t="s">
        <v>95</v>
      </c>
      <c r="C285" s="6" t="s">
        <v>821</v>
      </c>
      <c r="D285" s="6" t="s">
        <v>822</v>
      </c>
      <c r="E285" s="7" t="s">
        <v>21</v>
      </c>
      <c r="F285" s="6" t="s">
        <v>1323</v>
      </c>
      <c r="G285" s="5" t="s">
        <v>1225</v>
      </c>
      <c r="H285" s="5" t="s">
        <v>1321</v>
      </c>
      <c r="I285" s="5" t="s">
        <v>1324</v>
      </c>
      <c r="J285" s="5" t="s">
        <v>1325</v>
      </c>
      <c r="K285" s="5"/>
      <c r="L285" s="4" t="s">
        <v>27</v>
      </c>
      <c r="M285" s="8" t="s">
        <v>129</v>
      </c>
      <c r="N285" s="9" t="s">
        <v>901</v>
      </c>
      <c r="O285" s="5"/>
      <c r="P285" s="5"/>
      <c r="Q285" s="6" t="s">
        <v>30</v>
      </c>
      <c r="R285" s="4" t="s">
        <v>31</v>
      </c>
      <c r="S285" s="7" t="s">
        <v>32</v>
      </c>
      <c r="T285" s="5"/>
    </row>
    <row r="286" customFormat="false" ht="29.25" hidden="false" customHeight="true" outlineLevel="0" collapsed="false">
      <c r="A286" s="4" t="n">
        <v>285</v>
      </c>
      <c r="B286" s="6" t="s">
        <v>95</v>
      </c>
      <c r="C286" s="6" t="s">
        <v>821</v>
      </c>
      <c r="D286" s="6" t="s">
        <v>822</v>
      </c>
      <c r="E286" s="7" t="s">
        <v>21</v>
      </c>
      <c r="F286" s="6" t="s">
        <v>1326</v>
      </c>
      <c r="G286" s="5" t="s">
        <v>1327</v>
      </c>
      <c r="H286" s="5" t="s">
        <v>1324</v>
      </c>
      <c r="I286" s="5" t="s">
        <v>1321</v>
      </c>
      <c r="J286" s="5" t="s">
        <v>1328</v>
      </c>
      <c r="K286" s="5"/>
      <c r="L286" s="4" t="s">
        <v>51</v>
      </c>
      <c r="M286" s="8" t="s">
        <v>79</v>
      </c>
      <c r="N286" s="9" t="s">
        <v>1212</v>
      </c>
      <c r="O286" s="5"/>
      <c r="P286" s="5"/>
      <c r="Q286" s="6" t="s">
        <v>30</v>
      </c>
      <c r="R286" s="4" t="s">
        <v>31</v>
      </c>
      <c r="S286" s="7" t="s">
        <v>32</v>
      </c>
      <c r="T286" s="5"/>
    </row>
    <row r="287" customFormat="false" ht="29.25" hidden="false" customHeight="true" outlineLevel="0" collapsed="false">
      <c r="A287" s="4" t="n">
        <v>286</v>
      </c>
      <c r="B287" s="6" t="s">
        <v>95</v>
      </c>
      <c r="C287" s="6" t="s">
        <v>821</v>
      </c>
      <c r="D287" s="6" t="s">
        <v>822</v>
      </c>
      <c r="E287" s="7" t="s">
        <v>21</v>
      </c>
      <c r="F287" s="6" t="s">
        <v>1329</v>
      </c>
      <c r="G287" s="5" t="s">
        <v>313</v>
      </c>
      <c r="H287" s="5" t="s">
        <v>314</v>
      </c>
      <c r="I287" s="5" t="s">
        <v>1330</v>
      </c>
      <c r="J287" s="5" t="s">
        <v>729</v>
      </c>
      <c r="K287" s="5"/>
      <c r="L287" s="4" t="s">
        <v>27</v>
      </c>
      <c r="M287" s="8" t="s">
        <v>79</v>
      </c>
      <c r="N287" s="9" t="s">
        <v>901</v>
      </c>
      <c r="O287" s="5"/>
      <c r="P287" s="5"/>
      <c r="Q287" s="6" t="s">
        <v>30</v>
      </c>
      <c r="R287" s="4" t="s">
        <v>31</v>
      </c>
      <c r="S287" s="7" t="s">
        <v>32</v>
      </c>
      <c r="T287" s="5"/>
    </row>
    <row r="288" customFormat="false" ht="57.75" hidden="false" customHeight="true" outlineLevel="0" collapsed="false">
      <c r="A288" s="4" t="n">
        <v>287</v>
      </c>
      <c r="B288" s="6" t="s">
        <v>95</v>
      </c>
      <c r="C288" s="6" t="s">
        <v>821</v>
      </c>
      <c r="D288" s="6" t="s">
        <v>822</v>
      </c>
      <c r="E288" s="7" t="s">
        <v>21</v>
      </c>
      <c r="F288" s="6" t="s">
        <v>1331</v>
      </c>
      <c r="G288" s="5" t="s">
        <v>1225</v>
      </c>
      <c r="H288" s="5" t="s">
        <v>1321</v>
      </c>
      <c r="I288" s="5" t="s">
        <v>1324</v>
      </c>
      <c r="J288" s="5" t="s">
        <v>1327</v>
      </c>
      <c r="K288" s="5"/>
      <c r="L288" s="4" t="s">
        <v>51</v>
      </c>
      <c r="M288" s="8" t="s">
        <v>28</v>
      </c>
      <c r="N288" s="9" t="s">
        <v>1228</v>
      </c>
      <c r="O288" s="5"/>
      <c r="P288" s="5"/>
      <c r="Q288" s="6" t="s">
        <v>30</v>
      </c>
      <c r="R288" s="4" t="s">
        <v>31</v>
      </c>
      <c r="S288" s="7" t="s">
        <v>32</v>
      </c>
      <c r="T288" s="5"/>
    </row>
    <row r="289" customFormat="false" ht="29.25" hidden="false" customHeight="true" outlineLevel="0" collapsed="false">
      <c r="A289" s="4" t="n">
        <v>288</v>
      </c>
      <c r="B289" s="6" t="s">
        <v>95</v>
      </c>
      <c r="C289" s="6" t="s">
        <v>821</v>
      </c>
      <c r="D289" s="6" t="s">
        <v>822</v>
      </c>
      <c r="E289" s="7" t="s">
        <v>21</v>
      </c>
      <c r="F289" s="6" t="s">
        <v>1332</v>
      </c>
      <c r="G289" s="5" t="s">
        <v>315</v>
      </c>
      <c r="H289" s="5" t="s">
        <v>729</v>
      </c>
      <c r="I289" s="5" t="s">
        <v>1333</v>
      </c>
      <c r="J289" s="5" t="s">
        <v>1334</v>
      </c>
      <c r="K289" s="5"/>
      <c r="L289" s="4" t="s">
        <v>27</v>
      </c>
      <c r="M289" s="8" t="s">
        <v>79</v>
      </c>
      <c r="N289" s="9" t="s">
        <v>901</v>
      </c>
      <c r="O289" s="5"/>
      <c r="P289" s="5"/>
      <c r="Q289" s="6" t="s">
        <v>30</v>
      </c>
      <c r="R289" s="4" t="s">
        <v>31</v>
      </c>
      <c r="S289" s="7" t="s">
        <v>32</v>
      </c>
      <c r="T289" s="5"/>
    </row>
    <row r="290" customFormat="false" ht="29.25" hidden="false" customHeight="true" outlineLevel="0" collapsed="false">
      <c r="A290" s="4" t="n">
        <v>289</v>
      </c>
      <c r="B290" s="6" t="s">
        <v>95</v>
      </c>
      <c r="C290" s="6" t="s">
        <v>821</v>
      </c>
      <c r="D290" s="6" t="s">
        <v>822</v>
      </c>
      <c r="E290" s="7" t="s">
        <v>21</v>
      </c>
      <c r="F290" s="6" t="s">
        <v>1335</v>
      </c>
      <c r="G290" s="6" t="s">
        <v>1336</v>
      </c>
      <c r="H290" s="6" t="s">
        <v>1337</v>
      </c>
      <c r="I290" s="6" t="s">
        <v>1338</v>
      </c>
      <c r="J290" s="6" t="s">
        <v>1339</v>
      </c>
      <c r="K290" s="5"/>
      <c r="L290" s="4" t="s">
        <v>62</v>
      </c>
      <c r="M290" s="8" t="s">
        <v>79</v>
      </c>
      <c r="N290" s="9" t="s">
        <v>853</v>
      </c>
      <c r="O290" s="5"/>
      <c r="P290" s="5"/>
      <c r="Q290" s="6" t="s">
        <v>30</v>
      </c>
      <c r="R290" s="4" t="s">
        <v>31</v>
      </c>
      <c r="S290" s="7" t="s">
        <v>32</v>
      </c>
      <c r="T290" s="5"/>
    </row>
    <row r="291" customFormat="false" ht="43.5" hidden="false" customHeight="true" outlineLevel="0" collapsed="false">
      <c r="A291" s="4" t="n">
        <v>290</v>
      </c>
      <c r="B291" s="6" t="s">
        <v>95</v>
      </c>
      <c r="C291" s="6" t="s">
        <v>821</v>
      </c>
      <c r="D291" s="6" t="s">
        <v>822</v>
      </c>
      <c r="E291" s="7" t="s">
        <v>21</v>
      </c>
      <c r="F291" s="6" t="s">
        <v>1340</v>
      </c>
      <c r="G291" s="6" t="s">
        <v>992</v>
      </c>
      <c r="H291" s="6" t="s">
        <v>1341</v>
      </c>
      <c r="I291" s="6" t="s">
        <v>990</v>
      </c>
      <c r="J291" s="6" t="s">
        <v>1342</v>
      </c>
      <c r="K291" s="5"/>
      <c r="L291" s="4" t="s">
        <v>27</v>
      </c>
      <c r="M291" s="8" t="s">
        <v>79</v>
      </c>
      <c r="N291" s="9" t="s">
        <v>853</v>
      </c>
      <c r="O291" s="5"/>
      <c r="P291" s="5"/>
      <c r="Q291" s="6" t="s">
        <v>30</v>
      </c>
      <c r="R291" s="4" t="s">
        <v>31</v>
      </c>
      <c r="S291" s="7" t="s">
        <v>32</v>
      </c>
      <c r="T291" s="5"/>
    </row>
    <row r="292" customFormat="false" ht="57.75" hidden="false" customHeight="true" outlineLevel="0" collapsed="false">
      <c r="A292" s="4" t="n">
        <v>291</v>
      </c>
      <c r="B292" s="6" t="s">
        <v>95</v>
      </c>
      <c r="C292" s="6" t="s">
        <v>821</v>
      </c>
      <c r="D292" s="6" t="s">
        <v>822</v>
      </c>
      <c r="E292" s="7" t="s">
        <v>21</v>
      </c>
      <c r="F292" s="6" t="s">
        <v>1343</v>
      </c>
      <c r="G292" s="5" t="s">
        <v>1344</v>
      </c>
      <c r="H292" s="5" t="s">
        <v>1345</v>
      </c>
      <c r="I292" s="5" t="s">
        <v>1346</v>
      </c>
      <c r="J292" s="5" t="s">
        <v>1347</v>
      </c>
      <c r="K292" s="5"/>
      <c r="L292" s="4" t="s">
        <v>62</v>
      </c>
      <c r="M292" s="8" t="s">
        <v>28</v>
      </c>
      <c r="N292" s="9" t="s">
        <v>853</v>
      </c>
      <c r="O292" s="5"/>
      <c r="P292" s="5"/>
      <c r="Q292" s="6" t="s">
        <v>30</v>
      </c>
      <c r="R292" s="4" t="s">
        <v>31</v>
      </c>
      <c r="S292" s="7" t="s">
        <v>32</v>
      </c>
      <c r="T292" s="5"/>
    </row>
    <row r="293" customFormat="false" ht="29.25" hidden="false" customHeight="true" outlineLevel="0" collapsed="false">
      <c r="A293" s="4" t="n">
        <v>292</v>
      </c>
      <c r="B293" s="6" t="s">
        <v>95</v>
      </c>
      <c r="C293" s="6" t="s">
        <v>821</v>
      </c>
      <c r="D293" s="6" t="s">
        <v>822</v>
      </c>
      <c r="E293" s="7" t="s">
        <v>21</v>
      </c>
      <c r="F293" s="6" t="s">
        <v>1348</v>
      </c>
      <c r="G293" s="6" t="s">
        <v>1349</v>
      </c>
      <c r="H293" s="6" t="s">
        <v>1350</v>
      </c>
      <c r="I293" s="6" t="s">
        <v>1351</v>
      </c>
      <c r="J293" s="6" t="s">
        <v>1352</v>
      </c>
      <c r="K293" s="5"/>
      <c r="L293" s="4" t="s">
        <v>62</v>
      </c>
      <c r="M293" s="8" t="s">
        <v>79</v>
      </c>
      <c r="N293" s="9" t="s">
        <v>828</v>
      </c>
      <c r="O293" s="5"/>
      <c r="P293" s="5"/>
      <c r="Q293" s="6" t="s">
        <v>30</v>
      </c>
      <c r="R293" s="4" t="s">
        <v>31</v>
      </c>
      <c r="S293" s="7" t="s">
        <v>32</v>
      </c>
      <c r="T293" s="5"/>
    </row>
    <row r="294" customFormat="false" ht="29.25" hidden="false" customHeight="true" outlineLevel="0" collapsed="false">
      <c r="A294" s="4" t="n">
        <v>293</v>
      </c>
      <c r="B294" s="6" t="s">
        <v>95</v>
      </c>
      <c r="C294" s="6" t="s">
        <v>821</v>
      </c>
      <c r="D294" s="6" t="s">
        <v>822</v>
      </c>
      <c r="E294" s="7" t="s">
        <v>21</v>
      </c>
      <c r="F294" s="6" t="s">
        <v>1353</v>
      </c>
      <c r="G294" s="6" t="s">
        <v>1354</v>
      </c>
      <c r="H294" s="6" t="s">
        <v>127</v>
      </c>
      <c r="I294" s="6" t="s">
        <v>1351</v>
      </c>
      <c r="J294" s="6" t="s">
        <v>1355</v>
      </c>
      <c r="K294" s="5"/>
      <c r="L294" s="4" t="s">
        <v>62</v>
      </c>
      <c r="M294" s="8" t="s">
        <v>79</v>
      </c>
      <c r="N294" s="9" t="s">
        <v>1228</v>
      </c>
      <c r="O294" s="5"/>
      <c r="P294" s="5"/>
      <c r="Q294" s="6" t="s">
        <v>30</v>
      </c>
      <c r="R294" s="4" t="s">
        <v>31</v>
      </c>
      <c r="S294" s="7" t="s">
        <v>32</v>
      </c>
      <c r="T294" s="5"/>
    </row>
    <row r="295" customFormat="false" ht="29.25" hidden="false" customHeight="true" outlineLevel="0" collapsed="false">
      <c r="A295" s="4" t="n">
        <v>294</v>
      </c>
      <c r="B295" s="6" t="s">
        <v>95</v>
      </c>
      <c r="C295" s="6" t="s">
        <v>821</v>
      </c>
      <c r="D295" s="6" t="s">
        <v>822</v>
      </c>
      <c r="E295" s="7" t="s">
        <v>21</v>
      </c>
      <c r="F295" s="6" t="s">
        <v>1356</v>
      </c>
      <c r="G295" s="6" t="s">
        <v>1357</v>
      </c>
      <c r="H295" s="6" t="s">
        <v>1358</v>
      </c>
      <c r="I295" s="6" t="s">
        <v>1359</v>
      </c>
      <c r="J295" s="6" t="s">
        <v>1360</v>
      </c>
      <c r="K295" s="5"/>
      <c r="L295" s="4" t="s">
        <v>62</v>
      </c>
      <c r="M295" s="8" t="s">
        <v>79</v>
      </c>
      <c r="N295" s="9" t="s">
        <v>828</v>
      </c>
      <c r="O295" s="5"/>
      <c r="P295" s="5"/>
      <c r="Q295" s="6" t="s">
        <v>30</v>
      </c>
      <c r="R295" s="4" t="s">
        <v>31</v>
      </c>
      <c r="S295" s="7" t="s">
        <v>32</v>
      </c>
      <c r="T295" s="5"/>
    </row>
    <row r="296" customFormat="false" ht="29.25" hidden="false" customHeight="true" outlineLevel="0" collapsed="false">
      <c r="A296" s="4" t="n">
        <v>295</v>
      </c>
      <c r="B296" s="6" t="s">
        <v>95</v>
      </c>
      <c r="C296" s="6" t="s">
        <v>821</v>
      </c>
      <c r="D296" s="6" t="s">
        <v>822</v>
      </c>
      <c r="E296" s="7" t="s">
        <v>21</v>
      </c>
      <c r="F296" s="6" t="s">
        <v>1361</v>
      </c>
      <c r="G296" s="6" t="s">
        <v>1362</v>
      </c>
      <c r="H296" s="6" t="s">
        <v>1363</v>
      </c>
      <c r="I296" s="6" t="s">
        <v>1364</v>
      </c>
      <c r="J296" s="6" t="s">
        <v>150</v>
      </c>
      <c r="K296" s="5"/>
      <c r="L296" s="4" t="s">
        <v>62</v>
      </c>
      <c r="M296" s="8" t="s">
        <v>79</v>
      </c>
      <c r="N296" s="9" t="s">
        <v>901</v>
      </c>
      <c r="O296" s="5"/>
      <c r="P296" s="5"/>
      <c r="Q296" s="6" t="s">
        <v>30</v>
      </c>
      <c r="R296" s="4" t="s">
        <v>31</v>
      </c>
      <c r="S296" s="7" t="s">
        <v>32</v>
      </c>
      <c r="T296" s="5"/>
    </row>
    <row r="297" customFormat="false" ht="29.25" hidden="false" customHeight="true" outlineLevel="0" collapsed="false">
      <c r="A297" s="4" t="n">
        <v>296</v>
      </c>
      <c r="B297" s="6" t="s">
        <v>95</v>
      </c>
      <c r="C297" s="6" t="s">
        <v>821</v>
      </c>
      <c r="D297" s="6" t="s">
        <v>822</v>
      </c>
      <c r="E297" s="7" t="s">
        <v>21</v>
      </c>
      <c r="F297" s="6" t="s">
        <v>1365</v>
      </c>
      <c r="G297" s="5" t="s">
        <v>1366</v>
      </c>
      <c r="H297" s="5" t="s">
        <v>1367</v>
      </c>
      <c r="I297" s="5" t="s">
        <v>1368</v>
      </c>
      <c r="J297" s="5" t="s">
        <v>915</v>
      </c>
      <c r="K297" s="5"/>
      <c r="L297" s="4" t="s">
        <v>62</v>
      </c>
      <c r="M297" s="8" t="s">
        <v>79</v>
      </c>
      <c r="N297" s="9" t="s">
        <v>1295</v>
      </c>
      <c r="O297" s="5"/>
      <c r="P297" s="5"/>
      <c r="Q297" s="6" t="s">
        <v>30</v>
      </c>
      <c r="R297" s="4" t="s">
        <v>31</v>
      </c>
      <c r="S297" s="7" t="s">
        <v>32</v>
      </c>
      <c r="T297" s="5"/>
    </row>
    <row r="298" customFormat="false" ht="15" hidden="false" customHeight="true" outlineLevel="0" collapsed="false">
      <c r="A298" s="4" t="n">
        <v>297</v>
      </c>
      <c r="B298" s="6" t="s">
        <v>95</v>
      </c>
      <c r="C298" s="6" t="s">
        <v>821</v>
      </c>
      <c r="D298" s="6" t="s">
        <v>822</v>
      </c>
      <c r="E298" s="7" t="s">
        <v>21</v>
      </c>
      <c r="F298" s="6" t="s">
        <v>1369</v>
      </c>
      <c r="G298" s="5" t="s">
        <v>1370</v>
      </c>
      <c r="H298" s="5" t="s">
        <v>1371</v>
      </c>
      <c r="I298" s="5" t="s">
        <v>830</v>
      </c>
      <c r="J298" s="5" t="s">
        <v>827</v>
      </c>
      <c r="K298" s="5"/>
      <c r="L298" s="4" t="s">
        <v>44</v>
      </c>
      <c r="M298" s="8" t="s">
        <v>129</v>
      </c>
      <c r="N298" s="9" t="s">
        <v>828</v>
      </c>
      <c r="O298" s="5"/>
      <c r="P298" s="5"/>
      <c r="Q298" s="6" t="s">
        <v>30</v>
      </c>
      <c r="R298" s="4" t="s">
        <v>31</v>
      </c>
      <c r="S298" s="7" t="s">
        <v>32</v>
      </c>
      <c r="T298" s="5"/>
    </row>
    <row r="299" customFormat="false" ht="43.5" hidden="false" customHeight="true" outlineLevel="0" collapsed="false">
      <c r="A299" s="4" t="n">
        <v>298</v>
      </c>
      <c r="B299" s="6" t="s">
        <v>95</v>
      </c>
      <c r="C299" s="6" t="s">
        <v>821</v>
      </c>
      <c r="D299" s="6" t="s">
        <v>822</v>
      </c>
      <c r="E299" s="7" t="s">
        <v>21</v>
      </c>
      <c r="F299" s="6" t="s">
        <v>1372</v>
      </c>
      <c r="G299" s="6" t="s">
        <v>1373</v>
      </c>
      <c r="H299" s="6" t="s">
        <v>1374</v>
      </c>
      <c r="I299" s="6" t="s">
        <v>1375</v>
      </c>
      <c r="J299" s="6" t="s">
        <v>1376</v>
      </c>
      <c r="K299" s="5"/>
      <c r="L299" s="4" t="s">
        <v>44</v>
      </c>
      <c r="M299" s="8" t="s">
        <v>79</v>
      </c>
      <c r="N299" s="9" t="s">
        <v>853</v>
      </c>
      <c r="O299" s="5"/>
      <c r="P299" s="5"/>
      <c r="Q299" s="6" t="s">
        <v>30</v>
      </c>
      <c r="R299" s="4" t="s">
        <v>31</v>
      </c>
      <c r="S299" s="7" t="s">
        <v>32</v>
      </c>
      <c r="T299" s="5"/>
    </row>
    <row r="300" customFormat="false" ht="43.5" hidden="false" customHeight="true" outlineLevel="0" collapsed="false">
      <c r="A300" s="4" t="n">
        <v>299</v>
      </c>
      <c r="B300" s="6" t="s">
        <v>95</v>
      </c>
      <c r="C300" s="6" t="s">
        <v>821</v>
      </c>
      <c r="D300" s="6" t="s">
        <v>822</v>
      </c>
      <c r="E300" s="7" t="s">
        <v>21</v>
      </c>
      <c r="F300" s="6" t="s">
        <v>1377</v>
      </c>
      <c r="G300" s="5" t="s">
        <v>1378</v>
      </c>
      <c r="H300" s="5" t="s">
        <v>314</v>
      </c>
      <c r="I300" s="5" t="s">
        <v>729</v>
      </c>
      <c r="J300" s="5" t="s">
        <v>1379</v>
      </c>
      <c r="K300" s="5"/>
      <c r="L300" s="4" t="s">
        <v>27</v>
      </c>
      <c r="M300" s="8" t="s">
        <v>79</v>
      </c>
      <c r="N300" s="9" t="s">
        <v>839</v>
      </c>
      <c r="O300" s="5"/>
      <c r="P300" s="5"/>
      <c r="Q300" s="6" t="s">
        <v>30</v>
      </c>
      <c r="R300" s="4" t="s">
        <v>31</v>
      </c>
      <c r="S300" s="7" t="s">
        <v>32</v>
      </c>
      <c r="T300" s="5"/>
    </row>
    <row r="301" customFormat="false" ht="29.25" hidden="false" customHeight="true" outlineLevel="0" collapsed="false">
      <c r="A301" s="4" t="n">
        <v>300</v>
      </c>
      <c r="B301" s="6" t="s">
        <v>95</v>
      </c>
      <c r="C301" s="6" t="s">
        <v>821</v>
      </c>
      <c r="D301" s="6" t="s">
        <v>822</v>
      </c>
      <c r="E301" s="7" t="s">
        <v>21</v>
      </c>
      <c r="F301" s="6" t="s">
        <v>1380</v>
      </c>
      <c r="G301" s="6" t="s">
        <v>1381</v>
      </c>
      <c r="H301" s="6" t="s">
        <v>1382</v>
      </c>
      <c r="I301" s="6" t="s">
        <v>1383</v>
      </c>
      <c r="J301" s="6" t="s">
        <v>1384</v>
      </c>
      <c r="K301" s="5"/>
      <c r="L301" s="4" t="s">
        <v>62</v>
      </c>
      <c r="M301" s="8" t="s">
        <v>79</v>
      </c>
      <c r="N301" s="9" t="s">
        <v>828</v>
      </c>
      <c r="O301" s="5"/>
      <c r="P301" s="5"/>
      <c r="Q301" s="6" t="s">
        <v>30</v>
      </c>
      <c r="R301" s="4" t="s">
        <v>31</v>
      </c>
      <c r="S301" s="7" t="s">
        <v>32</v>
      </c>
      <c r="T301" s="5"/>
    </row>
    <row r="302" customFormat="false" ht="57.75" hidden="false" customHeight="true" outlineLevel="0" collapsed="false">
      <c r="A302" s="4" t="n">
        <v>301</v>
      </c>
      <c r="B302" s="6" t="s">
        <v>95</v>
      </c>
      <c r="C302" s="6" t="s">
        <v>821</v>
      </c>
      <c r="D302" s="6" t="s">
        <v>822</v>
      </c>
      <c r="E302" s="7" t="s">
        <v>21</v>
      </c>
      <c r="F302" s="6" t="s">
        <v>1385</v>
      </c>
      <c r="G302" s="6" t="s">
        <v>1386</v>
      </c>
      <c r="H302" s="6" t="s">
        <v>1387</v>
      </c>
      <c r="I302" s="6" t="s">
        <v>1388</v>
      </c>
      <c r="J302" s="6" t="s">
        <v>150</v>
      </c>
      <c r="K302" s="5"/>
      <c r="L302" s="4" t="s">
        <v>62</v>
      </c>
      <c r="M302" s="8" t="s">
        <v>28</v>
      </c>
      <c r="N302" s="9" t="s">
        <v>879</v>
      </c>
      <c r="O302" s="5"/>
      <c r="P302" s="5"/>
      <c r="Q302" s="6" t="s">
        <v>30</v>
      </c>
      <c r="R302" s="4" t="s">
        <v>31</v>
      </c>
      <c r="S302" s="7" t="s">
        <v>32</v>
      </c>
      <c r="T302" s="5"/>
    </row>
    <row r="303" customFormat="false" ht="29.25" hidden="false" customHeight="true" outlineLevel="0" collapsed="false">
      <c r="A303" s="4" t="n">
        <v>302</v>
      </c>
      <c r="B303" s="6" t="s">
        <v>95</v>
      </c>
      <c r="C303" s="6" t="s">
        <v>821</v>
      </c>
      <c r="D303" s="6" t="s">
        <v>822</v>
      </c>
      <c r="E303" s="7" t="s">
        <v>21</v>
      </c>
      <c r="F303" s="6" t="s">
        <v>1389</v>
      </c>
      <c r="G303" s="6" t="s">
        <v>1390</v>
      </c>
      <c r="H303" s="6" t="s">
        <v>1391</v>
      </c>
      <c r="I303" s="6" t="s">
        <v>1392</v>
      </c>
      <c r="J303" s="6" t="s">
        <v>1393</v>
      </c>
      <c r="K303" s="5"/>
      <c r="L303" s="4" t="s">
        <v>27</v>
      </c>
      <c r="M303" s="8" t="s">
        <v>79</v>
      </c>
      <c r="N303" s="9" t="s">
        <v>1261</v>
      </c>
      <c r="O303" s="5"/>
      <c r="P303" s="5"/>
      <c r="Q303" s="6" t="s">
        <v>30</v>
      </c>
      <c r="R303" s="4" t="s">
        <v>31</v>
      </c>
      <c r="S303" s="7" t="s">
        <v>32</v>
      </c>
      <c r="T303" s="5"/>
    </row>
    <row r="304" customFormat="false" ht="57.75" hidden="false" customHeight="true" outlineLevel="0" collapsed="false">
      <c r="A304" s="4" t="n">
        <v>303</v>
      </c>
      <c r="B304" s="6" t="s">
        <v>95</v>
      </c>
      <c r="C304" s="6" t="s">
        <v>821</v>
      </c>
      <c r="D304" s="6" t="s">
        <v>822</v>
      </c>
      <c r="E304" s="7" t="s">
        <v>21</v>
      </c>
      <c r="F304" s="6" t="s">
        <v>1394</v>
      </c>
      <c r="G304" s="5" t="s">
        <v>1395</v>
      </c>
      <c r="H304" s="5" t="s">
        <v>1396</v>
      </c>
      <c r="I304" s="5" t="s">
        <v>1397</v>
      </c>
      <c r="J304" s="5" t="s">
        <v>1398</v>
      </c>
      <c r="K304" s="5"/>
      <c r="L304" s="4" t="s">
        <v>62</v>
      </c>
      <c r="M304" s="8" t="s">
        <v>28</v>
      </c>
      <c r="N304" s="9" t="s">
        <v>1212</v>
      </c>
      <c r="O304" s="5"/>
      <c r="P304" s="5"/>
      <c r="Q304" s="6" t="s">
        <v>30</v>
      </c>
      <c r="R304" s="4" t="s">
        <v>31</v>
      </c>
      <c r="S304" s="7" t="s">
        <v>32</v>
      </c>
      <c r="T304" s="5"/>
    </row>
    <row r="305" customFormat="false" ht="15" hidden="false" customHeight="true" outlineLevel="0" collapsed="false">
      <c r="A305" s="4" t="n">
        <v>304</v>
      </c>
      <c r="B305" s="6" t="s">
        <v>95</v>
      </c>
      <c r="C305" s="6" t="s">
        <v>821</v>
      </c>
      <c r="D305" s="6" t="s">
        <v>822</v>
      </c>
      <c r="E305" s="7" t="s">
        <v>21</v>
      </c>
      <c r="F305" s="6" t="s">
        <v>1399</v>
      </c>
      <c r="G305" s="6" t="s">
        <v>1400</v>
      </c>
      <c r="H305" s="6" t="s">
        <v>876</v>
      </c>
      <c r="I305" s="6" t="s">
        <v>1401</v>
      </c>
      <c r="J305" s="6" t="s">
        <v>1402</v>
      </c>
      <c r="K305" s="5"/>
      <c r="L305" s="4" t="s">
        <v>44</v>
      </c>
      <c r="M305" s="8" t="s">
        <v>28</v>
      </c>
      <c r="N305" s="9" t="s">
        <v>828</v>
      </c>
      <c r="O305" s="5"/>
      <c r="P305" s="5"/>
      <c r="Q305" s="6" t="s">
        <v>30</v>
      </c>
      <c r="R305" s="4" t="s">
        <v>31</v>
      </c>
      <c r="S305" s="7" t="s">
        <v>32</v>
      </c>
      <c r="T305" s="5"/>
    </row>
    <row r="306" customFormat="false" ht="29.25" hidden="false" customHeight="true" outlineLevel="0" collapsed="false">
      <c r="A306" s="4" t="n">
        <v>305</v>
      </c>
      <c r="B306" s="6" t="s">
        <v>95</v>
      </c>
      <c r="C306" s="6" t="s">
        <v>821</v>
      </c>
      <c r="D306" s="6" t="s">
        <v>822</v>
      </c>
      <c r="E306" s="7" t="s">
        <v>21</v>
      </c>
      <c r="F306" s="6" t="s">
        <v>1403</v>
      </c>
      <c r="G306" s="6" t="s">
        <v>1404</v>
      </c>
      <c r="H306" s="6" t="s">
        <v>876</v>
      </c>
      <c r="I306" s="6" t="s">
        <v>1401</v>
      </c>
      <c r="J306" s="6" t="s">
        <v>1405</v>
      </c>
      <c r="K306" s="5"/>
      <c r="L306" s="4" t="s">
        <v>62</v>
      </c>
      <c r="M306" s="8" t="s">
        <v>28</v>
      </c>
      <c r="N306" s="9" t="s">
        <v>828</v>
      </c>
      <c r="O306" s="5"/>
      <c r="P306" s="5"/>
      <c r="Q306" s="6" t="s">
        <v>30</v>
      </c>
      <c r="R306" s="4" t="s">
        <v>31</v>
      </c>
      <c r="S306" s="7" t="s">
        <v>32</v>
      </c>
      <c r="T306" s="5"/>
    </row>
    <row r="307" customFormat="false" ht="29.25" hidden="false" customHeight="true" outlineLevel="0" collapsed="false">
      <c r="A307" s="4" t="n">
        <v>306</v>
      </c>
      <c r="B307" s="6" t="s">
        <v>95</v>
      </c>
      <c r="C307" s="6" t="s">
        <v>821</v>
      </c>
      <c r="D307" s="6" t="s">
        <v>822</v>
      </c>
      <c r="E307" s="7" t="s">
        <v>21</v>
      </c>
      <c r="F307" s="6" t="s">
        <v>1406</v>
      </c>
      <c r="G307" s="6" t="s">
        <v>876</v>
      </c>
      <c r="H307" s="6" t="s">
        <v>1400</v>
      </c>
      <c r="I307" s="6" t="s">
        <v>1401</v>
      </c>
      <c r="J307" s="6" t="s">
        <v>1405</v>
      </c>
      <c r="K307" s="5"/>
      <c r="L307" s="4" t="s">
        <v>62</v>
      </c>
      <c r="M307" s="8" t="s">
        <v>28</v>
      </c>
      <c r="N307" s="9" t="s">
        <v>828</v>
      </c>
      <c r="O307" s="5"/>
      <c r="P307" s="5"/>
      <c r="Q307" s="6" t="s">
        <v>30</v>
      </c>
      <c r="R307" s="4" t="s">
        <v>31</v>
      </c>
      <c r="S307" s="7" t="s">
        <v>32</v>
      </c>
      <c r="T307" s="5"/>
    </row>
    <row r="308" customFormat="false" ht="29.25" hidden="false" customHeight="true" outlineLevel="0" collapsed="false">
      <c r="A308" s="4" t="n">
        <v>307</v>
      </c>
      <c r="B308" s="6" t="s">
        <v>95</v>
      </c>
      <c r="C308" s="6" t="s">
        <v>821</v>
      </c>
      <c r="D308" s="6" t="s">
        <v>822</v>
      </c>
      <c r="E308" s="7" t="s">
        <v>21</v>
      </c>
      <c r="F308" s="6" t="s">
        <v>1407</v>
      </c>
      <c r="G308" s="6" t="s">
        <v>1408</v>
      </c>
      <c r="H308" s="6" t="s">
        <v>1409</v>
      </c>
      <c r="I308" s="6" t="s">
        <v>1410</v>
      </c>
      <c r="J308" s="6" t="s">
        <v>1411</v>
      </c>
      <c r="K308" s="5"/>
      <c r="L308" s="4" t="s">
        <v>27</v>
      </c>
      <c r="M308" s="8" t="s">
        <v>28</v>
      </c>
      <c r="N308" s="9" t="s">
        <v>879</v>
      </c>
      <c r="O308" s="5"/>
      <c r="P308" s="5"/>
      <c r="Q308" s="6" t="s">
        <v>30</v>
      </c>
      <c r="R308" s="4" t="s">
        <v>31</v>
      </c>
      <c r="S308" s="7" t="s">
        <v>32</v>
      </c>
      <c r="T308" s="5"/>
    </row>
    <row r="309" customFormat="false" ht="57.75" hidden="false" customHeight="true" outlineLevel="0" collapsed="false">
      <c r="A309" s="4" t="n">
        <v>308</v>
      </c>
      <c r="B309" s="6" t="s">
        <v>95</v>
      </c>
      <c r="C309" s="6" t="s">
        <v>821</v>
      </c>
      <c r="D309" s="6" t="s">
        <v>822</v>
      </c>
      <c r="E309" s="7" t="s">
        <v>21</v>
      </c>
      <c r="F309" s="6" t="s">
        <v>1412</v>
      </c>
      <c r="G309" s="5" t="s">
        <v>826</v>
      </c>
      <c r="H309" s="5" t="s">
        <v>865</v>
      </c>
      <c r="I309" s="5" t="s">
        <v>831</v>
      </c>
      <c r="J309" s="5" t="s">
        <v>868</v>
      </c>
      <c r="K309" s="5"/>
      <c r="L309" s="4" t="s">
        <v>27</v>
      </c>
      <c r="M309" s="8" t="s">
        <v>28</v>
      </c>
      <c r="N309" s="9" t="s">
        <v>839</v>
      </c>
      <c r="O309" s="5"/>
      <c r="P309" s="5"/>
      <c r="Q309" s="6" t="s">
        <v>30</v>
      </c>
      <c r="R309" s="4" t="s">
        <v>31</v>
      </c>
      <c r="S309" s="7" t="s">
        <v>32</v>
      </c>
      <c r="T309" s="5"/>
    </row>
    <row r="310" customFormat="false" ht="57.75" hidden="false" customHeight="true" outlineLevel="0" collapsed="false">
      <c r="A310" s="4" t="n">
        <v>309</v>
      </c>
      <c r="B310" s="6" t="s">
        <v>95</v>
      </c>
      <c r="C310" s="6" t="s">
        <v>821</v>
      </c>
      <c r="D310" s="6" t="s">
        <v>822</v>
      </c>
      <c r="E310" s="7" t="s">
        <v>21</v>
      </c>
      <c r="F310" s="6" t="s">
        <v>1413</v>
      </c>
      <c r="G310" s="6" t="s">
        <v>1414</v>
      </c>
      <c r="H310" s="6" t="s">
        <v>1415</v>
      </c>
      <c r="I310" s="6" t="s">
        <v>1416</v>
      </c>
      <c r="J310" s="6" t="s">
        <v>1417</v>
      </c>
      <c r="K310" s="5"/>
      <c r="L310" s="4" t="s">
        <v>51</v>
      </c>
      <c r="M310" s="8" t="s">
        <v>28</v>
      </c>
      <c r="N310" s="9" t="s">
        <v>828</v>
      </c>
      <c r="O310" s="5"/>
      <c r="P310" s="5"/>
      <c r="Q310" s="6" t="s">
        <v>30</v>
      </c>
      <c r="R310" s="4" t="s">
        <v>31</v>
      </c>
      <c r="S310" s="7" t="s">
        <v>32</v>
      </c>
      <c r="T310" s="5"/>
    </row>
    <row r="311" customFormat="false" ht="72" hidden="false" customHeight="true" outlineLevel="0" collapsed="false">
      <c r="A311" s="4" t="n">
        <v>310</v>
      </c>
      <c r="B311" s="6" t="s">
        <v>95</v>
      </c>
      <c r="C311" s="6" t="s">
        <v>821</v>
      </c>
      <c r="D311" s="6" t="s">
        <v>822</v>
      </c>
      <c r="E311" s="7" t="s">
        <v>21</v>
      </c>
      <c r="F311" s="6" t="s">
        <v>1418</v>
      </c>
      <c r="G311" s="6" t="s">
        <v>1419</v>
      </c>
      <c r="H311" s="6" t="s">
        <v>1420</v>
      </c>
      <c r="I311" s="6" t="s">
        <v>1421</v>
      </c>
      <c r="J311" s="6" t="s">
        <v>1422</v>
      </c>
      <c r="K311" s="5"/>
      <c r="L311" s="4" t="s">
        <v>62</v>
      </c>
      <c r="M311" s="8" t="s">
        <v>28</v>
      </c>
      <c r="N311" s="9" t="s">
        <v>828</v>
      </c>
      <c r="O311" s="5"/>
      <c r="P311" s="5"/>
      <c r="Q311" s="6" t="s">
        <v>30</v>
      </c>
      <c r="R311" s="4" t="s">
        <v>31</v>
      </c>
      <c r="S311" s="7" t="s">
        <v>32</v>
      </c>
      <c r="T311" s="5"/>
    </row>
    <row r="312" customFormat="false" ht="15" hidden="false" customHeight="true" outlineLevel="0" collapsed="false">
      <c r="A312" s="4" t="n">
        <v>311</v>
      </c>
      <c r="B312" s="6" t="s">
        <v>95</v>
      </c>
      <c r="C312" s="6" t="s">
        <v>1423</v>
      </c>
      <c r="D312" s="6" t="s">
        <v>1424</v>
      </c>
      <c r="E312" s="7" t="s">
        <v>21</v>
      </c>
      <c r="F312" s="6" t="s">
        <v>1425</v>
      </c>
      <c r="G312" s="6" t="s">
        <v>1426</v>
      </c>
      <c r="H312" s="6" t="s">
        <v>1427</v>
      </c>
      <c r="I312" s="6" t="s">
        <v>1428</v>
      </c>
      <c r="J312" s="6" t="s">
        <v>1429</v>
      </c>
      <c r="K312" s="5"/>
      <c r="L312" s="4" t="s">
        <v>44</v>
      </c>
      <c r="M312" s="8" t="s">
        <v>79</v>
      </c>
      <c r="N312" s="9" t="s">
        <v>1430</v>
      </c>
      <c r="O312" s="5"/>
      <c r="P312" s="5"/>
      <c r="Q312" s="6" t="s">
        <v>30</v>
      </c>
      <c r="R312" s="4" t="s">
        <v>31</v>
      </c>
      <c r="S312" s="7" t="s">
        <v>32</v>
      </c>
      <c r="T312" s="5"/>
    </row>
    <row r="313" customFormat="false" ht="15" hidden="false" customHeight="true" outlineLevel="0" collapsed="false">
      <c r="A313" s="4" t="n">
        <v>312</v>
      </c>
      <c r="B313" s="6" t="s">
        <v>95</v>
      </c>
      <c r="C313" s="6" t="s">
        <v>1423</v>
      </c>
      <c r="D313" s="6" t="s">
        <v>1424</v>
      </c>
      <c r="E313" s="7" t="s">
        <v>21</v>
      </c>
      <c r="F313" s="6" t="s">
        <v>1431</v>
      </c>
      <c r="G313" s="6" t="s">
        <v>1432</v>
      </c>
      <c r="H313" s="6" t="s">
        <v>1433</v>
      </c>
      <c r="I313" s="6" t="s">
        <v>1434</v>
      </c>
      <c r="J313" s="6" t="s">
        <v>1435</v>
      </c>
      <c r="K313" s="5"/>
      <c r="L313" s="4" t="s">
        <v>44</v>
      </c>
      <c r="M313" s="8" t="s">
        <v>129</v>
      </c>
      <c r="N313" s="9" t="s">
        <v>1430</v>
      </c>
      <c r="O313" s="5"/>
      <c r="P313" s="5"/>
      <c r="Q313" s="6" t="s">
        <v>30</v>
      </c>
      <c r="R313" s="4" t="s">
        <v>31</v>
      </c>
      <c r="S313" s="7" t="s">
        <v>32</v>
      </c>
      <c r="T313" s="5"/>
    </row>
    <row r="314" customFormat="false" ht="29.25" hidden="false" customHeight="true" outlineLevel="0" collapsed="false">
      <c r="A314" s="4" t="n">
        <v>313</v>
      </c>
      <c r="B314" s="6" t="s">
        <v>95</v>
      </c>
      <c r="C314" s="6" t="s">
        <v>1423</v>
      </c>
      <c r="D314" s="6" t="s">
        <v>1424</v>
      </c>
      <c r="E314" s="7" t="s">
        <v>21</v>
      </c>
      <c r="F314" s="6" t="s">
        <v>1436</v>
      </c>
      <c r="G314" s="6" t="s">
        <v>1437</v>
      </c>
      <c r="H314" s="6" t="s">
        <v>1438</v>
      </c>
      <c r="I314" s="6" t="s">
        <v>1439</v>
      </c>
      <c r="J314" s="6" t="s">
        <v>1440</v>
      </c>
      <c r="K314" s="5"/>
      <c r="L314" s="4" t="s">
        <v>51</v>
      </c>
      <c r="M314" s="8" t="s">
        <v>79</v>
      </c>
      <c r="N314" s="9" t="s">
        <v>1430</v>
      </c>
      <c r="O314" s="5"/>
      <c r="P314" s="5"/>
      <c r="Q314" s="6" t="s">
        <v>30</v>
      </c>
      <c r="R314" s="4" t="s">
        <v>31</v>
      </c>
      <c r="S314" s="7" t="s">
        <v>32</v>
      </c>
      <c r="T314" s="5"/>
    </row>
    <row r="315" customFormat="false" ht="15" hidden="false" customHeight="true" outlineLevel="0" collapsed="false">
      <c r="A315" s="4" t="n">
        <v>314</v>
      </c>
      <c r="B315" s="6" t="s">
        <v>95</v>
      </c>
      <c r="C315" s="6" t="s">
        <v>1423</v>
      </c>
      <c r="D315" s="6" t="s">
        <v>1424</v>
      </c>
      <c r="E315" s="7" t="s">
        <v>21</v>
      </c>
      <c r="F315" s="6" t="s">
        <v>1441</v>
      </c>
      <c r="G315" s="6" t="s">
        <v>1442</v>
      </c>
      <c r="H315" s="6" t="s">
        <v>1443</v>
      </c>
      <c r="I315" s="6" t="s">
        <v>1444</v>
      </c>
      <c r="J315" s="6" t="s">
        <v>1445</v>
      </c>
      <c r="K315" s="5"/>
      <c r="L315" s="4" t="s">
        <v>44</v>
      </c>
      <c r="M315" s="8" t="s">
        <v>28</v>
      </c>
      <c r="N315" s="9" t="s">
        <v>1430</v>
      </c>
      <c r="O315" s="5"/>
      <c r="P315" s="5"/>
      <c r="Q315" s="6" t="s">
        <v>30</v>
      </c>
      <c r="R315" s="4" t="s">
        <v>31</v>
      </c>
      <c r="S315" s="7" t="s">
        <v>32</v>
      </c>
      <c r="T315" s="5"/>
    </row>
    <row r="316" customFormat="false" ht="15" hidden="false" customHeight="true" outlineLevel="0" collapsed="false">
      <c r="A316" s="4" t="n">
        <v>315</v>
      </c>
      <c r="B316" s="6" t="s">
        <v>95</v>
      </c>
      <c r="C316" s="6" t="s">
        <v>1423</v>
      </c>
      <c r="D316" s="6" t="s">
        <v>1424</v>
      </c>
      <c r="E316" s="7" t="s">
        <v>21</v>
      </c>
      <c r="F316" s="6" t="s">
        <v>1446</v>
      </c>
      <c r="G316" s="6" t="s">
        <v>1447</v>
      </c>
      <c r="H316" s="6" t="s">
        <v>692</v>
      </c>
      <c r="I316" s="6" t="s">
        <v>1448</v>
      </c>
      <c r="J316" s="6" t="s">
        <v>1449</v>
      </c>
      <c r="K316" s="5"/>
      <c r="L316" s="4" t="s">
        <v>44</v>
      </c>
      <c r="M316" s="8" t="s">
        <v>28</v>
      </c>
      <c r="N316" s="9" t="s">
        <v>1430</v>
      </c>
      <c r="O316" s="5"/>
      <c r="P316" s="5"/>
      <c r="Q316" s="6" t="s">
        <v>30</v>
      </c>
      <c r="R316" s="4" t="s">
        <v>31</v>
      </c>
      <c r="S316" s="7" t="s">
        <v>32</v>
      </c>
      <c r="T316" s="5"/>
    </row>
    <row r="317" customFormat="false" ht="29.25" hidden="false" customHeight="true" outlineLevel="0" collapsed="false">
      <c r="A317" s="4" t="n">
        <v>316</v>
      </c>
      <c r="B317" s="6" t="s">
        <v>95</v>
      </c>
      <c r="C317" s="6" t="s">
        <v>1423</v>
      </c>
      <c r="D317" s="6" t="s">
        <v>1424</v>
      </c>
      <c r="E317" s="7" t="s">
        <v>21</v>
      </c>
      <c r="F317" s="6" t="s">
        <v>1450</v>
      </c>
      <c r="G317" s="6" t="s">
        <v>1451</v>
      </c>
      <c r="H317" s="6" t="s">
        <v>1452</v>
      </c>
      <c r="I317" s="6" t="s">
        <v>1453</v>
      </c>
      <c r="J317" s="6" t="s">
        <v>1454</v>
      </c>
      <c r="K317" s="5"/>
      <c r="L317" s="4" t="s">
        <v>44</v>
      </c>
      <c r="M317" s="8" t="s">
        <v>28</v>
      </c>
      <c r="N317" s="9" t="s">
        <v>1430</v>
      </c>
      <c r="O317" s="5"/>
      <c r="P317" s="5"/>
      <c r="Q317" s="6" t="s">
        <v>30</v>
      </c>
      <c r="R317" s="4" t="s">
        <v>31</v>
      </c>
      <c r="S317" s="7" t="s">
        <v>32</v>
      </c>
      <c r="T317" s="5"/>
    </row>
    <row r="318" customFormat="false" ht="29.25" hidden="false" customHeight="true" outlineLevel="0" collapsed="false">
      <c r="A318" s="4" t="n">
        <v>317</v>
      </c>
      <c r="B318" s="6" t="s">
        <v>95</v>
      </c>
      <c r="C318" s="6" t="s">
        <v>1423</v>
      </c>
      <c r="D318" s="6" t="s">
        <v>1424</v>
      </c>
      <c r="E318" s="7" t="s">
        <v>21</v>
      </c>
      <c r="F318" s="6" t="s">
        <v>1455</v>
      </c>
      <c r="G318" s="6" t="s">
        <v>1456</v>
      </c>
      <c r="H318" s="6" t="s">
        <v>1457</v>
      </c>
      <c r="I318" s="6" t="s">
        <v>1458</v>
      </c>
      <c r="J318" s="6" t="s">
        <v>1459</v>
      </c>
      <c r="K318" s="5"/>
      <c r="L318" s="4" t="s">
        <v>62</v>
      </c>
      <c r="M318" s="8" t="s">
        <v>28</v>
      </c>
      <c r="N318" s="9" t="s">
        <v>1430</v>
      </c>
      <c r="O318" s="5"/>
      <c r="P318" s="5"/>
      <c r="Q318" s="6" t="s">
        <v>30</v>
      </c>
      <c r="R318" s="4" t="s">
        <v>31</v>
      </c>
      <c r="S318" s="7" t="s">
        <v>32</v>
      </c>
      <c r="T318" s="5"/>
    </row>
    <row r="319" customFormat="false" ht="15" hidden="false" customHeight="true" outlineLevel="0" collapsed="false">
      <c r="A319" s="4" t="n">
        <v>318</v>
      </c>
      <c r="B319" s="6" t="s">
        <v>95</v>
      </c>
      <c r="C319" s="6" t="s">
        <v>1423</v>
      </c>
      <c r="D319" s="6" t="s">
        <v>1424</v>
      </c>
      <c r="E319" s="7" t="s">
        <v>21</v>
      </c>
      <c r="F319" s="6" t="s">
        <v>1460</v>
      </c>
      <c r="G319" s="6" t="s">
        <v>690</v>
      </c>
      <c r="H319" s="6" t="s">
        <v>1461</v>
      </c>
      <c r="I319" s="6" t="s">
        <v>1462</v>
      </c>
      <c r="J319" s="6" t="s">
        <v>1463</v>
      </c>
      <c r="K319" s="5"/>
      <c r="L319" s="4" t="s">
        <v>27</v>
      </c>
      <c r="M319" s="8" t="s">
        <v>28</v>
      </c>
      <c r="N319" s="9" t="s">
        <v>1430</v>
      </c>
      <c r="O319" s="5"/>
      <c r="P319" s="5"/>
      <c r="Q319" s="6" t="s">
        <v>30</v>
      </c>
      <c r="R319" s="4" t="s">
        <v>31</v>
      </c>
      <c r="S319" s="7" t="s">
        <v>32</v>
      </c>
      <c r="T319" s="5"/>
    </row>
    <row r="320" customFormat="false" ht="29.25" hidden="false" customHeight="true" outlineLevel="0" collapsed="false">
      <c r="A320" s="4" t="n">
        <v>319</v>
      </c>
      <c r="B320" s="6" t="s">
        <v>95</v>
      </c>
      <c r="C320" s="6" t="s">
        <v>1423</v>
      </c>
      <c r="D320" s="6" t="s">
        <v>1424</v>
      </c>
      <c r="E320" s="7" t="s">
        <v>21</v>
      </c>
      <c r="F320" s="6" t="s">
        <v>1464</v>
      </c>
      <c r="G320" s="6" t="s">
        <v>1465</v>
      </c>
      <c r="H320" s="6" t="s">
        <v>1466</v>
      </c>
      <c r="I320" s="6" t="s">
        <v>1467</v>
      </c>
      <c r="J320" s="6" t="s">
        <v>1468</v>
      </c>
      <c r="K320" s="5"/>
      <c r="L320" s="4" t="s">
        <v>27</v>
      </c>
      <c r="M320" s="8" t="s">
        <v>28</v>
      </c>
      <c r="N320" s="9" t="s">
        <v>1430</v>
      </c>
      <c r="O320" s="5"/>
      <c r="P320" s="5"/>
      <c r="Q320" s="6" t="s">
        <v>30</v>
      </c>
      <c r="R320" s="4" t="s">
        <v>31</v>
      </c>
      <c r="S320" s="7" t="s">
        <v>32</v>
      </c>
      <c r="T320" s="5"/>
    </row>
    <row r="321" customFormat="false" ht="15" hidden="false" customHeight="true" outlineLevel="0" collapsed="false">
      <c r="A321" s="4" t="n">
        <v>320</v>
      </c>
      <c r="B321" s="6" t="s">
        <v>95</v>
      </c>
      <c r="C321" s="6" t="s">
        <v>1423</v>
      </c>
      <c r="D321" s="6" t="s">
        <v>1424</v>
      </c>
      <c r="E321" s="7" t="s">
        <v>21</v>
      </c>
      <c r="F321" s="6" t="s">
        <v>1469</v>
      </c>
      <c r="G321" s="6" t="s">
        <v>1470</v>
      </c>
      <c r="H321" s="6" t="s">
        <v>1471</v>
      </c>
      <c r="I321" s="6" t="s">
        <v>1472</v>
      </c>
      <c r="J321" s="6" t="s">
        <v>1473</v>
      </c>
      <c r="K321" s="5"/>
      <c r="L321" s="4" t="s">
        <v>51</v>
      </c>
      <c r="M321" s="8" t="s">
        <v>28</v>
      </c>
      <c r="N321" s="9" t="s">
        <v>1430</v>
      </c>
      <c r="O321" s="5"/>
      <c r="P321" s="5"/>
      <c r="Q321" s="6" t="s">
        <v>30</v>
      </c>
      <c r="R321" s="4" t="s">
        <v>31</v>
      </c>
      <c r="S321" s="7" t="s">
        <v>32</v>
      </c>
      <c r="T321" s="5"/>
    </row>
    <row r="322" customFormat="false" ht="15" hidden="false" customHeight="true" outlineLevel="0" collapsed="false">
      <c r="A322" s="4" t="n">
        <v>321</v>
      </c>
      <c r="B322" s="6" t="s">
        <v>95</v>
      </c>
      <c r="C322" s="6" t="s">
        <v>1423</v>
      </c>
      <c r="D322" s="6" t="s">
        <v>1424</v>
      </c>
      <c r="E322" s="7" t="s">
        <v>21</v>
      </c>
      <c r="F322" s="6" t="s">
        <v>1474</v>
      </c>
      <c r="G322" s="6" t="s">
        <v>1475</v>
      </c>
      <c r="H322" s="6" t="s">
        <v>1476</v>
      </c>
      <c r="I322" s="6" t="s">
        <v>1477</v>
      </c>
      <c r="J322" s="6" t="s">
        <v>1478</v>
      </c>
      <c r="K322" s="5"/>
      <c r="L322" s="4" t="s">
        <v>62</v>
      </c>
      <c r="M322" s="8" t="s">
        <v>79</v>
      </c>
      <c r="N322" s="9" t="s">
        <v>1479</v>
      </c>
      <c r="O322" s="5"/>
      <c r="P322" s="5"/>
      <c r="Q322" s="6" t="s">
        <v>30</v>
      </c>
      <c r="R322" s="4" t="s">
        <v>31</v>
      </c>
      <c r="S322" s="7" t="s">
        <v>32</v>
      </c>
      <c r="T322" s="5"/>
    </row>
    <row r="323" customFormat="false" ht="29.25" hidden="false" customHeight="true" outlineLevel="0" collapsed="false">
      <c r="A323" s="4" t="n">
        <v>322</v>
      </c>
      <c r="B323" s="6" t="s">
        <v>95</v>
      </c>
      <c r="C323" s="6" t="s">
        <v>1423</v>
      </c>
      <c r="D323" s="6" t="s">
        <v>1424</v>
      </c>
      <c r="E323" s="7" t="s">
        <v>21</v>
      </c>
      <c r="F323" s="6" t="s">
        <v>1480</v>
      </c>
      <c r="G323" s="5" t="s">
        <v>1481</v>
      </c>
      <c r="H323" s="5" t="s">
        <v>1482</v>
      </c>
      <c r="I323" s="5" t="s">
        <v>1483</v>
      </c>
      <c r="J323" s="5" t="s">
        <v>1484</v>
      </c>
      <c r="K323" s="5"/>
      <c r="L323" s="4" t="s">
        <v>27</v>
      </c>
      <c r="M323" s="8" t="s">
        <v>28</v>
      </c>
      <c r="N323" s="9" t="s">
        <v>1430</v>
      </c>
      <c r="O323" s="5"/>
      <c r="P323" s="5"/>
      <c r="Q323" s="6" t="s">
        <v>30</v>
      </c>
      <c r="R323" s="4" t="s">
        <v>31</v>
      </c>
      <c r="S323" s="7" t="s">
        <v>32</v>
      </c>
      <c r="T323" s="5"/>
    </row>
    <row r="324" customFormat="false" ht="29.25" hidden="false" customHeight="true" outlineLevel="0" collapsed="false">
      <c r="A324" s="4" t="n">
        <v>323</v>
      </c>
      <c r="B324" s="6" t="s">
        <v>95</v>
      </c>
      <c r="C324" s="6" t="s">
        <v>1423</v>
      </c>
      <c r="D324" s="6" t="s">
        <v>1424</v>
      </c>
      <c r="E324" s="7" t="s">
        <v>21</v>
      </c>
      <c r="F324" s="6" t="s">
        <v>1485</v>
      </c>
      <c r="G324" s="5" t="s">
        <v>1481</v>
      </c>
      <c r="H324" s="5" t="s">
        <v>1482</v>
      </c>
      <c r="I324" s="5" t="s">
        <v>1486</v>
      </c>
      <c r="J324" s="5" t="s">
        <v>1484</v>
      </c>
      <c r="K324" s="5"/>
      <c r="L324" s="4" t="s">
        <v>44</v>
      </c>
      <c r="M324" s="8" t="s">
        <v>129</v>
      </c>
      <c r="N324" s="9" t="s">
        <v>1430</v>
      </c>
      <c r="O324" s="5"/>
      <c r="P324" s="5"/>
      <c r="Q324" s="6" t="s">
        <v>30</v>
      </c>
      <c r="R324" s="4" t="s">
        <v>31</v>
      </c>
      <c r="S324" s="7" t="s">
        <v>32</v>
      </c>
      <c r="T324" s="5"/>
    </row>
    <row r="325" customFormat="false" ht="29.25" hidden="false" customHeight="true" outlineLevel="0" collapsed="false">
      <c r="A325" s="4" t="n">
        <v>324</v>
      </c>
      <c r="B325" s="6" t="s">
        <v>95</v>
      </c>
      <c r="C325" s="6" t="s">
        <v>1423</v>
      </c>
      <c r="D325" s="6" t="s">
        <v>1424</v>
      </c>
      <c r="E325" s="7" t="s">
        <v>21</v>
      </c>
      <c r="F325" s="6" t="s">
        <v>1487</v>
      </c>
      <c r="G325" s="5" t="s">
        <v>1481</v>
      </c>
      <c r="H325" s="5" t="s">
        <v>1482</v>
      </c>
      <c r="I325" s="5" t="s">
        <v>1486</v>
      </c>
      <c r="J325" s="5" t="s">
        <v>1488</v>
      </c>
      <c r="K325" s="5"/>
      <c r="L325" s="4" t="s">
        <v>44</v>
      </c>
      <c r="M325" s="8" t="s">
        <v>79</v>
      </c>
      <c r="N325" s="9" t="s">
        <v>1489</v>
      </c>
      <c r="O325" s="5"/>
      <c r="P325" s="5"/>
      <c r="Q325" s="6" t="s">
        <v>30</v>
      </c>
      <c r="R325" s="4" t="s">
        <v>31</v>
      </c>
      <c r="S325" s="7" t="s">
        <v>32</v>
      </c>
      <c r="T325" s="5"/>
    </row>
    <row r="326" customFormat="false" ht="29.25" hidden="false" customHeight="true" outlineLevel="0" collapsed="false">
      <c r="A326" s="4" t="n">
        <v>325</v>
      </c>
      <c r="B326" s="6" t="s">
        <v>95</v>
      </c>
      <c r="C326" s="6" t="s">
        <v>1423</v>
      </c>
      <c r="D326" s="6" t="s">
        <v>1424</v>
      </c>
      <c r="E326" s="7" t="s">
        <v>21</v>
      </c>
      <c r="F326" s="6" t="s">
        <v>1490</v>
      </c>
      <c r="G326" s="6" t="s">
        <v>1491</v>
      </c>
      <c r="H326" s="6" t="s">
        <v>1492</v>
      </c>
      <c r="I326" s="6" t="s">
        <v>1493</v>
      </c>
      <c r="J326" s="6" t="s">
        <v>78</v>
      </c>
      <c r="K326" s="5"/>
      <c r="L326" s="4" t="s">
        <v>44</v>
      </c>
      <c r="M326" s="8" t="s">
        <v>79</v>
      </c>
      <c r="N326" s="9" t="s">
        <v>1489</v>
      </c>
      <c r="O326" s="5"/>
      <c r="P326" s="5"/>
      <c r="Q326" s="6" t="s">
        <v>30</v>
      </c>
      <c r="R326" s="4" t="s">
        <v>31</v>
      </c>
      <c r="S326" s="7" t="s">
        <v>32</v>
      </c>
      <c r="T326" s="5"/>
    </row>
    <row r="327" customFormat="false" ht="15" hidden="false" customHeight="true" outlineLevel="0" collapsed="false">
      <c r="A327" s="4" t="n">
        <v>326</v>
      </c>
      <c r="B327" s="6" t="s">
        <v>95</v>
      </c>
      <c r="C327" s="6" t="s">
        <v>1423</v>
      </c>
      <c r="D327" s="6" t="s">
        <v>1424</v>
      </c>
      <c r="E327" s="7" t="s">
        <v>21</v>
      </c>
      <c r="F327" s="6" t="s">
        <v>1494</v>
      </c>
      <c r="G327" s="6" t="s">
        <v>1495</v>
      </c>
      <c r="H327" s="6" t="s">
        <v>1496</v>
      </c>
      <c r="I327" s="6" t="s">
        <v>1497</v>
      </c>
      <c r="J327" s="6" t="s">
        <v>150</v>
      </c>
      <c r="K327" s="5"/>
      <c r="L327" s="4" t="s">
        <v>62</v>
      </c>
      <c r="M327" s="8" t="s">
        <v>79</v>
      </c>
      <c r="N327" s="9" t="s">
        <v>1430</v>
      </c>
      <c r="O327" s="5"/>
      <c r="P327" s="5"/>
      <c r="Q327" s="6" t="s">
        <v>30</v>
      </c>
      <c r="R327" s="4" t="s">
        <v>31</v>
      </c>
      <c r="S327" s="7" t="s">
        <v>32</v>
      </c>
      <c r="T327" s="5"/>
    </row>
    <row r="328" customFormat="false" ht="15" hidden="false" customHeight="true" outlineLevel="0" collapsed="false">
      <c r="A328" s="4" t="n">
        <v>327</v>
      </c>
      <c r="B328" s="6" t="s">
        <v>95</v>
      </c>
      <c r="C328" s="6" t="s">
        <v>1423</v>
      </c>
      <c r="D328" s="6" t="s">
        <v>1424</v>
      </c>
      <c r="E328" s="7" t="s">
        <v>21</v>
      </c>
      <c r="F328" s="6" t="s">
        <v>1498</v>
      </c>
      <c r="G328" s="6" t="s">
        <v>1499</v>
      </c>
      <c r="H328" s="6" t="s">
        <v>1500</v>
      </c>
      <c r="I328" s="6" t="s">
        <v>1501</v>
      </c>
      <c r="J328" s="6" t="s">
        <v>78</v>
      </c>
      <c r="K328" s="5"/>
      <c r="L328" s="4" t="s">
        <v>44</v>
      </c>
      <c r="M328" s="8" t="s">
        <v>79</v>
      </c>
      <c r="N328" s="9" t="s">
        <v>1430</v>
      </c>
      <c r="O328" s="5"/>
      <c r="P328" s="5"/>
      <c r="Q328" s="6" t="s">
        <v>30</v>
      </c>
      <c r="R328" s="4" t="s">
        <v>31</v>
      </c>
      <c r="S328" s="7" t="s">
        <v>32</v>
      </c>
      <c r="T328" s="5"/>
    </row>
    <row r="329" customFormat="false" ht="29.25" hidden="false" customHeight="true" outlineLevel="0" collapsed="false">
      <c r="A329" s="4" t="n">
        <v>328</v>
      </c>
      <c r="B329" s="6" t="s">
        <v>95</v>
      </c>
      <c r="C329" s="6" t="s">
        <v>1423</v>
      </c>
      <c r="D329" s="6" t="s">
        <v>1424</v>
      </c>
      <c r="E329" s="7" t="s">
        <v>21</v>
      </c>
      <c r="F329" s="6" t="s">
        <v>1502</v>
      </c>
      <c r="G329" s="6" t="s">
        <v>1503</v>
      </c>
      <c r="H329" s="6" t="s">
        <v>1504</v>
      </c>
      <c r="I329" s="6" t="s">
        <v>1505</v>
      </c>
      <c r="J329" s="6" t="s">
        <v>1506</v>
      </c>
      <c r="K329" s="5"/>
      <c r="L329" s="4" t="s">
        <v>51</v>
      </c>
      <c r="M329" s="8" t="s">
        <v>79</v>
      </c>
      <c r="N329" s="9" t="s">
        <v>1489</v>
      </c>
      <c r="O329" s="5"/>
      <c r="P329" s="5"/>
      <c r="Q329" s="6" t="s">
        <v>30</v>
      </c>
      <c r="R329" s="4" t="s">
        <v>31</v>
      </c>
      <c r="S329" s="7" t="s">
        <v>32</v>
      </c>
      <c r="T329" s="5"/>
    </row>
    <row r="330" customFormat="false" ht="29.25" hidden="false" customHeight="true" outlineLevel="0" collapsed="false">
      <c r="A330" s="4" t="n">
        <v>329</v>
      </c>
      <c r="B330" s="6" t="s">
        <v>95</v>
      </c>
      <c r="C330" s="6" t="s">
        <v>1423</v>
      </c>
      <c r="D330" s="6" t="s">
        <v>1424</v>
      </c>
      <c r="E330" s="7" t="s">
        <v>21</v>
      </c>
      <c r="F330" s="6" t="s">
        <v>1507</v>
      </c>
      <c r="G330" s="5" t="s">
        <v>1508</v>
      </c>
      <c r="H330" s="5" t="s">
        <v>1509</v>
      </c>
      <c r="I330" s="5" t="s">
        <v>1510</v>
      </c>
      <c r="J330" s="5" t="s">
        <v>1511</v>
      </c>
      <c r="K330" s="5"/>
      <c r="L330" s="4" t="s">
        <v>27</v>
      </c>
      <c r="M330" s="8" t="s">
        <v>79</v>
      </c>
      <c r="N330" s="9" t="s">
        <v>1430</v>
      </c>
      <c r="O330" s="5"/>
      <c r="P330" s="5"/>
      <c r="Q330" s="6" t="s">
        <v>30</v>
      </c>
      <c r="R330" s="4" t="s">
        <v>31</v>
      </c>
      <c r="S330" s="7" t="s">
        <v>32</v>
      </c>
      <c r="T330" s="5"/>
    </row>
    <row r="331" customFormat="false" ht="29.25" hidden="false" customHeight="true" outlineLevel="0" collapsed="false">
      <c r="A331" s="4" t="n">
        <v>330</v>
      </c>
      <c r="B331" s="6" t="s">
        <v>95</v>
      </c>
      <c r="C331" s="6" t="s">
        <v>1423</v>
      </c>
      <c r="D331" s="6" t="s">
        <v>1424</v>
      </c>
      <c r="E331" s="7" t="s">
        <v>21</v>
      </c>
      <c r="F331" s="6" t="s">
        <v>1512</v>
      </c>
      <c r="G331" s="6" t="s">
        <v>1513</v>
      </c>
      <c r="H331" s="6" t="s">
        <v>1514</v>
      </c>
      <c r="I331" s="6" t="s">
        <v>1515</v>
      </c>
      <c r="J331" s="6" t="s">
        <v>78</v>
      </c>
      <c r="K331" s="5"/>
      <c r="L331" s="4" t="s">
        <v>44</v>
      </c>
      <c r="M331" s="8" t="s">
        <v>79</v>
      </c>
      <c r="N331" s="9" t="s">
        <v>1430</v>
      </c>
      <c r="O331" s="5"/>
      <c r="P331" s="5"/>
      <c r="Q331" s="6" t="s">
        <v>30</v>
      </c>
      <c r="R331" s="4" t="s">
        <v>31</v>
      </c>
      <c r="S331" s="7" t="s">
        <v>32</v>
      </c>
      <c r="T331" s="5"/>
    </row>
    <row r="332" customFormat="false" ht="29.25" hidden="false" customHeight="true" outlineLevel="0" collapsed="false">
      <c r="A332" s="4" t="n">
        <v>331</v>
      </c>
      <c r="B332" s="6" t="s">
        <v>95</v>
      </c>
      <c r="C332" s="6" t="s">
        <v>1423</v>
      </c>
      <c r="D332" s="6" t="s">
        <v>1424</v>
      </c>
      <c r="E332" s="7" t="s">
        <v>21</v>
      </c>
      <c r="F332" s="6" t="s">
        <v>1516</v>
      </c>
      <c r="G332" s="6" t="s">
        <v>1517</v>
      </c>
      <c r="H332" s="6" t="s">
        <v>1518</v>
      </c>
      <c r="I332" s="6" t="s">
        <v>1519</v>
      </c>
      <c r="J332" s="6" t="s">
        <v>1520</v>
      </c>
      <c r="K332" s="5"/>
      <c r="L332" s="4" t="s">
        <v>51</v>
      </c>
      <c r="M332" s="8" t="s">
        <v>79</v>
      </c>
      <c r="N332" s="9" t="s">
        <v>1430</v>
      </c>
      <c r="O332" s="5"/>
      <c r="P332" s="5"/>
      <c r="Q332" s="6" t="s">
        <v>30</v>
      </c>
      <c r="R332" s="4" t="s">
        <v>31</v>
      </c>
      <c r="S332" s="7" t="s">
        <v>32</v>
      </c>
      <c r="T332" s="5"/>
    </row>
    <row r="333" customFormat="false" ht="29.25" hidden="false" customHeight="true" outlineLevel="0" collapsed="false">
      <c r="A333" s="4" t="n">
        <v>332</v>
      </c>
      <c r="B333" s="6" t="s">
        <v>95</v>
      </c>
      <c r="C333" s="6" t="s">
        <v>1423</v>
      </c>
      <c r="D333" s="6" t="s">
        <v>1424</v>
      </c>
      <c r="E333" s="7" t="s">
        <v>21</v>
      </c>
      <c r="F333" s="6" t="s">
        <v>1521</v>
      </c>
      <c r="G333" s="5" t="s">
        <v>1522</v>
      </c>
      <c r="H333" s="5" t="s">
        <v>567</v>
      </c>
      <c r="I333" s="5" t="s">
        <v>83</v>
      </c>
      <c r="J333" s="5" t="s">
        <v>313</v>
      </c>
      <c r="K333" s="5"/>
      <c r="L333" s="4" t="s">
        <v>44</v>
      </c>
      <c r="M333" s="8" t="s">
        <v>79</v>
      </c>
      <c r="N333" s="9" t="s">
        <v>1430</v>
      </c>
      <c r="O333" s="5"/>
      <c r="P333" s="5"/>
      <c r="Q333" s="6" t="s">
        <v>30</v>
      </c>
      <c r="R333" s="4" t="s">
        <v>31</v>
      </c>
      <c r="S333" s="7" t="s">
        <v>32</v>
      </c>
      <c r="T333" s="5"/>
    </row>
    <row r="334" customFormat="false" ht="29.25" hidden="false" customHeight="true" outlineLevel="0" collapsed="false">
      <c r="A334" s="4" t="n">
        <v>333</v>
      </c>
      <c r="B334" s="6" t="s">
        <v>95</v>
      </c>
      <c r="C334" s="6" t="s">
        <v>1423</v>
      </c>
      <c r="D334" s="6" t="s">
        <v>1424</v>
      </c>
      <c r="E334" s="7" t="s">
        <v>21</v>
      </c>
      <c r="F334" s="6" t="s">
        <v>1523</v>
      </c>
      <c r="G334" s="6" t="s">
        <v>1524</v>
      </c>
      <c r="H334" s="6" t="s">
        <v>1525</v>
      </c>
      <c r="I334" s="6" t="s">
        <v>1526</v>
      </c>
      <c r="J334" s="6" t="s">
        <v>78</v>
      </c>
      <c r="K334" s="5"/>
      <c r="L334" s="4" t="s">
        <v>44</v>
      </c>
      <c r="M334" s="8" t="s">
        <v>79</v>
      </c>
      <c r="N334" s="9" t="s">
        <v>1430</v>
      </c>
      <c r="O334" s="5"/>
      <c r="P334" s="5"/>
      <c r="Q334" s="6" t="s">
        <v>30</v>
      </c>
      <c r="R334" s="4" t="s">
        <v>31</v>
      </c>
      <c r="S334" s="7" t="s">
        <v>32</v>
      </c>
      <c r="T334" s="5"/>
    </row>
    <row r="335" customFormat="false" ht="57.75" hidden="false" customHeight="true" outlineLevel="0" collapsed="false">
      <c r="A335" s="4" t="n">
        <v>334</v>
      </c>
      <c r="B335" s="6" t="s">
        <v>95</v>
      </c>
      <c r="C335" s="6" t="s">
        <v>1423</v>
      </c>
      <c r="D335" s="6" t="s">
        <v>1424</v>
      </c>
      <c r="E335" s="7" t="s">
        <v>21</v>
      </c>
      <c r="F335" s="6" t="s">
        <v>1527</v>
      </c>
      <c r="G335" s="6" t="s">
        <v>1528</v>
      </c>
      <c r="H335" s="6" t="s">
        <v>1529</v>
      </c>
      <c r="I335" s="6" t="s">
        <v>1529</v>
      </c>
      <c r="J335" s="6" t="s">
        <v>1530</v>
      </c>
      <c r="K335" s="5"/>
      <c r="L335" s="4" t="s">
        <v>51</v>
      </c>
      <c r="M335" s="8" t="s">
        <v>28</v>
      </c>
      <c r="N335" s="9" t="s">
        <v>1430</v>
      </c>
      <c r="O335" s="5"/>
      <c r="P335" s="5"/>
      <c r="Q335" s="6" t="s">
        <v>30</v>
      </c>
      <c r="R335" s="4" t="s">
        <v>31</v>
      </c>
      <c r="S335" s="7" t="s">
        <v>32</v>
      </c>
      <c r="T335" s="5"/>
    </row>
    <row r="336" customFormat="false" ht="15" hidden="false" customHeight="true" outlineLevel="0" collapsed="false">
      <c r="A336" s="4" t="n">
        <v>335</v>
      </c>
      <c r="B336" s="6" t="s">
        <v>95</v>
      </c>
      <c r="C336" s="6" t="s">
        <v>1423</v>
      </c>
      <c r="D336" s="6" t="s">
        <v>1424</v>
      </c>
      <c r="E336" s="7" t="s">
        <v>21</v>
      </c>
      <c r="F336" s="6" t="s">
        <v>1531</v>
      </c>
      <c r="G336" s="6" t="s">
        <v>1426</v>
      </c>
      <c r="H336" s="6" t="s">
        <v>1427</v>
      </c>
      <c r="I336" s="6" t="s">
        <v>1428</v>
      </c>
      <c r="J336" s="6" t="s">
        <v>78</v>
      </c>
      <c r="K336" s="5"/>
      <c r="L336" s="4" t="s">
        <v>44</v>
      </c>
      <c r="M336" s="8" t="s">
        <v>129</v>
      </c>
      <c r="N336" s="9" t="s">
        <v>1430</v>
      </c>
      <c r="O336" s="5"/>
      <c r="P336" s="5"/>
      <c r="Q336" s="6" t="s">
        <v>30</v>
      </c>
      <c r="R336" s="4" t="s">
        <v>31</v>
      </c>
      <c r="S336" s="7" t="s">
        <v>32</v>
      </c>
      <c r="T336" s="5"/>
    </row>
    <row r="337" customFormat="false" ht="29.25" hidden="false" customHeight="true" outlineLevel="0" collapsed="false">
      <c r="A337" s="4" t="n">
        <v>336</v>
      </c>
      <c r="B337" s="6" t="s">
        <v>95</v>
      </c>
      <c r="C337" s="6" t="s">
        <v>1423</v>
      </c>
      <c r="D337" s="6" t="s">
        <v>1424</v>
      </c>
      <c r="E337" s="7" t="s">
        <v>21</v>
      </c>
      <c r="F337" s="6" t="s">
        <v>1532</v>
      </c>
      <c r="G337" s="5" t="s">
        <v>1533</v>
      </c>
      <c r="H337" s="5" t="s">
        <v>1534</v>
      </c>
      <c r="I337" s="5" t="s">
        <v>1535</v>
      </c>
      <c r="J337" s="5" t="s">
        <v>1536</v>
      </c>
      <c r="K337" s="5"/>
      <c r="L337" s="4" t="s">
        <v>62</v>
      </c>
      <c r="M337" s="8" t="s">
        <v>79</v>
      </c>
      <c r="N337" s="9" t="s">
        <v>1489</v>
      </c>
      <c r="O337" s="5"/>
      <c r="P337" s="5"/>
      <c r="Q337" s="6" t="s">
        <v>30</v>
      </c>
      <c r="R337" s="4" t="s">
        <v>31</v>
      </c>
      <c r="S337" s="7" t="s">
        <v>32</v>
      </c>
      <c r="T337" s="5"/>
    </row>
    <row r="338" customFormat="false" ht="29.25" hidden="false" customHeight="true" outlineLevel="0" collapsed="false">
      <c r="A338" s="4" t="n">
        <v>337</v>
      </c>
      <c r="B338" s="6" t="s">
        <v>95</v>
      </c>
      <c r="C338" s="6" t="s">
        <v>1423</v>
      </c>
      <c r="D338" s="6" t="s">
        <v>1424</v>
      </c>
      <c r="E338" s="7" t="s">
        <v>21</v>
      </c>
      <c r="F338" s="6" t="s">
        <v>1537</v>
      </c>
      <c r="G338" s="6" t="s">
        <v>1538</v>
      </c>
      <c r="H338" s="6" t="s">
        <v>1539</v>
      </c>
      <c r="I338" s="6" t="s">
        <v>1540</v>
      </c>
      <c r="J338" s="6" t="s">
        <v>78</v>
      </c>
      <c r="K338" s="5"/>
      <c r="L338" s="4" t="s">
        <v>44</v>
      </c>
      <c r="M338" s="8" t="s">
        <v>79</v>
      </c>
      <c r="N338" s="9" t="s">
        <v>1489</v>
      </c>
      <c r="O338" s="5"/>
      <c r="P338" s="5"/>
      <c r="Q338" s="6" t="s">
        <v>30</v>
      </c>
      <c r="R338" s="4" t="s">
        <v>31</v>
      </c>
      <c r="S338" s="7" t="s">
        <v>32</v>
      </c>
      <c r="T338" s="5"/>
    </row>
    <row r="339" customFormat="false" ht="15" hidden="false" customHeight="true" outlineLevel="0" collapsed="false">
      <c r="A339" s="4" t="n">
        <v>338</v>
      </c>
      <c r="B339" s="6" t="s">
        <v>95</v>
      </c>
      <c r="C339" s="6" t="s">
        <v>1423</v>
      </c>
      <c r="D339" s="6" t="s">
        <v>1424</v>
      </c>
      <c r="E339" s="7" t="s">
        <v>21</v>
      </c>
      <c r="F339" s="6" t="s">
        <v>1541</v>
      </c>
      <c r="G339" s="6" t="s">
        <v>1542</v>
      </c>
      <c r="H339" s="6" t="s">
        <v>1543</v>
      </c>
      <c r="I339" s="6" t="s">
        <v>1544</v>
      </c>
      <c r="J339" s="6" t="s">
        <v>78</v>
      </c>
      <c r="K339" s="5"/>
      <c r="L339" s="4" t="s">
        <v>44</v>
      </c>
      <c r="M339" s="8" t="s">
        <v>79</v>
      </c>
      <c r="N339" s="9" t="s">
        <v>1430</v>
      </c>
      <c r="O339" s="5"/>
      <c r="P339" s="5"/>
      <c r="Q339" s="6" t="s">
        <v>30</v>
      </c>
      <c r="R339" s="4" t="s">
        <v>31</v>
      </c>
      <c r="S339" s="7" t="s">
        <v>32</v>
      </c>
      <c r="T339" s="5"/>
    </row>
    <row r="340" customFormat="false" ht="29.25" hidden="false" customHeight="true" outlineLevel="0" collapsed="false">
      <c r="A340" s="4" t="n">
        <v>339</v>
      </c>
      <c r="B340" s="6" t="s">
        <v>95</v>
      </c>
      <c r="C340" s="6" t="s">
        <v>1423</v>
      </c>
      <c r="D340" s="6" t="s">
        <v>1424</v>
      </c>
      <c r="E340" s="7" t="s">
        <v>21</v>
      </c>
      <c r="F340" s="6" t="s">
        <v>1545</v>
      </c>
      <c r="G340" s="6" t="s">
        <v>86</v>
      </c>
      <c r="H340" s="6" t="s">
        <v>1546</v>
      </c>
      <c r="I340" s="6" t="s">
        <v>1547</v>
      </c>
      <c r="J340" s="6" t="s">
        <v>78</v>
      </c>
      <c r="K340" s="5"/>
      <c r="L340" s="4" t="s">
        <v>44</v>
      </c>
      <c r="M340" s="8" t="s">
        <v>79</v>
      </c>
      <c r="N340" s="9" t="s">
        <v>1430</v>
      </c>
      <c r="O340" s="5"/>
      <c r="P340" s="5"/>
      <c r="Q340" s="6" t="s">
        <v>30</v>
      </c>
      <c r="R340" s="4" t="s">
        <v>31</v>
      </c>
      <c r="S340" s="7" t="s">
        <v>32</v>
      </c>
      <c r="T340" s="5"/>
    </row>
    <row r="341" customFormat="false" ht="29.25" hidden="false" customHeight="true" outlineLevel="0" collapsed="false">
      <c r="A341" s="4" t="n">
        <v>340</v>
      </c>
      <c r="B341" s="6" t="s">
        <v>95</v>
      </c>
      <c r="C341" s="6" t="s">
        <v>1423</v>
      </c>
      <c r="D341" s="6" t="s">
        <v>1424</v>
      </c>
      <c r="E341" s="7" t="s">
        <v>21</v>
      </c>
      <c r="F341" s="6" t="s">
        <v>1548</v>
      </c>
      <c r="G341" s="6" t="s">
        <v>1549</v>
      </c>
      <c r="H341" s="6" t="s">
        <v>1550</v>
      </c>
      <c r="I341" s="6" t="s">
        <v>1551</v>
      </c>
      <c r="J341" s="6" t="s">
        <v>150</v>
      </c>
      <c r="K341" s="5"/>
      <c r="L341" s="4" t="s">
        <v>44</v>
      </c>
      <c r="M341" s="8" t="s">
        <v>79</v>
      </c>
      <c r="N341" s="9" t="s">
        <v>1430</v>
      </c>
      <c r="O341" s="5"/>
      <c r="P341" s="5"/>
      <c r="Q341" s="6" t="s">
        <v>30</v>
      </c>
      <c r="R341" s="4" t="s">
        <v>31</v>
      </c>
      <c r="S341" s="7" t="s">
        <v>32</v>
      </c>
      <c r="T341" s="5"/>
    </row>
    <row r="342" customFormat="false" ht="114.75" hidden="false" customHeight="true" outlineLevel="0" collapsed="false">
      <c r="A342" s="4" t="n">
        <v>341</v>
      </c>
      <c r="B342" s="6" t="s">
        <v>95</v>
      </c>
      <c r="C342" s="6" t="s">
        <v>1423</v>
      </c>
      <c r="D342" s="6" t="s">
        <v>1424</v>
      </c>
      <c r="E342" s="7" t="s">
        <v>21</v>
      </c>
      <c r="F342" s="6" t="s">
        <v>1552</v>
      </c>
      <c r="G342" s="6" t="s">
        <v>1553</v>
      </c>
      <c r="H342" s="6" t="s">
        <v>1554</v>
      </c>
      <c r="I342" s="6" t="s">
        <v>1555</v>
      </c>
      <c r="J342" s="6" t="s">
        <v>78</v>
      </c>
      <c r="K342" s="5"/>
      <c r="L342" s="4" t="s">
        <v>44</v>
      </c>
      <c r="M342" s="8" t="s">
        <v>28</v>
      </c>
      <c r="N342" s="9" t="s">
        <v>1430</v>
      </c>
      <c r="O342" s="5"/>
      <c r="P342" s="5"/>
      <c r="Q342" s="6" t="s">
        <v>30</v>
      </c>
      <c r="R342" s="4" t="s">
        <v>31</v>
      </c>
      <c r="S342" s="7" t="s">
        <v>32</v>
      </c>
      <c r="T342" s="5"/>
    </row>
    <row r="343" customFormat="false" ht="29.25" hidden="false" customHeight="true" outlineLevel="0" collapsed="false">
      <c r="A343" s="4" t="n">
        <v>342</v>
      </c>
      <c r="B343" s="6" t="s">
        <v>95</v>
      </c>
      <c r="C343" s="6" t="s">
        <v>1423</v>
      </c>
      <c r="D343" s="6" t="s">
        <v>1424</v>
      </c>
      <c r="E343" s="7" t="s">
        <v>21</v>
      </c>
      <c r="F343" s="6" t="s">
        <v>1556</v>
      </c>
      <c r="G343" s="6" t="s">
        <v>1557</v>
      </c>
      <c r="H343" s="6" t="s">
        <v>1558</v>
      </c>
      <c r="I343" s="6" t="s">
        <v>1559</v>
      </c>
      <c r="J343" s="6" t="s">
        <v>1560</v>
      </c>
      <c r="K343" s="5"/>
      <c r="L343" s="4" t="s">
        <v>44</v>
      </c>
      <c r="M343" s="8" t="s">
        <v>129</v>
      </c>
      <c r="N343" s="9" t="s">
        <v>1430</v>
      </c>
      <c r="O343" s="5"/>
      <c r="P343" s="5"/>
      <c r="Q343" s="6" t="s">
        <v>30</v>
      </c>
      <c r="R343" s="4" t="s">
        <v>31</v>
      </c>
      <c r="S343" s="7" t="s">
        <v>32</v>
      </c>
      <c r="T343" s="5"/>
    </row>
    <row r="344" customFormat="false" ht="29.25" hidden="false" customHeight="true" outlineLevel="0" collapsed="false">
      <c r="A344" s="4" t="n">
        <v>343</v>
      </c>
      <c r="B344" s="6" t="s">
        <v>95</v>
      </c>
      <c r="C344" s="6" t="s">
        <v>1423</v>
      </c>
      <c r="D344" s="6" t="s">
        <v>1424</v>
      </c>
      <c r="E344" s="7" t="s">
        <v>21</v>
      </c>
      <c r="F344" s="6" t="s">
        <v>1561</v>
      </c>
      <c r="G344" s="6" t="s">
        <v>1426</v>
      </c>
      <c r="H344" s="6" t="s">
        <v>1427</v>
      </c>
      <c r="I344" s="6" t="s">
        <v>1562</v>
      </c>
      <c r="J344" s="6" t="s">
        <v>1428</v>
      </c>
      <c r="K344" s="5"/>
      <c r="L344" s="4" t="s">
        <v>27</v>
      </c>
      <c r="M344" s="8" t="s">
        <v>79</v>
      </c>
      <c r="N344" s="9" t="s">
        <v>1430</v>
      </c>
      <c r="O344" s="5"/>
      <c r="P344" s="5"/>
      <c r="Q344" s="6" t="s">
        <v>30</v>
      </c>
      <c r="R344" s="4" t="s">
        <v>31</v>
      </c>
      <c r="S344" s="7" t="s">
        <v>32</v>
      </c>
      <c r="T344" s="5"/>
    </row>
    <row r="345" customFormat="false" ht="43.5" hidden="false" customHeight="true" outlineLevel="0" collapsed="false">
      <c r="A345" s="4" t="n">
        <v>344</v>
      </c>
      <c r="B345" s="6" t="s">
        <v>95</v>
      </c>
      <c r="C345" s="6" t="s">
        <v>1423</v>
      </c>
      <c r="D345" s="6" t="s">
        <v>1424</v>
      </c>
      <c r="E345" s="7" t="s">
        <v>21</v>
      </c>
      <c r="F345" s="6" t="s">
        <v>1563</v>
      </c>
      <c r="G345" s="6" t="s">
        <v>1564</v>
      </c>
      <c r="H345" s="6" t="s">
        <v>1565</v>
      </c>
      <c r="I345" s="6" t="s">
        <v>1566</v>
      </c>
      <c r="J345" s="6" t="s">
        <v>1567</v>
      </c>
      <c r="K345" s="5"/>
      <c r="L345" s="4" t="s">
        <v>44</v>
      </c>
      <c r="M345" s="8" t="s">
        <v>28</v>
      </c>
      <c r="N345" s="9" t="s">
        <v>1430</v>
      </c>
      <c r="O345" s="5"/>
      <c r="P345" s="5"/>
      <c r="Q345" s="6" t="s">
        <v>30</v>
      </c>
      <c r="R345" s="4" t="s">
        <v>31</v>
      </c>
      <c r="S345" s="7" t="s">
        <v>32</v>
      </c>
      <c r="T345" s="5"/>
    </row>
    <row r="346" customFormat="false" ht="29.25" hidden="false" customHeight="true" outlineLevel="0" collapsed="false">
      <c r="A346" s="4" t="n">
        <v>345</v>
      </c>
      <c r="B346" s="6" t="s">
        <v>95</v>
      </c>
      <c r="C346" s="6" t="s">
        <v>1423</v>
      </c>
      <c r="D346" s="6" t="s">
        <v>1424</v>
      </c>
      <c r="E346" s="7" t="s">
        <v>21</v>
      </c>
      <c r="F346" s="6" t="s">
        <v>1568</v>
      </c>
      <c r="G346" s="6" t="s">
        <v>1569</v>
      </c>
      <c r="H346" s="6" t="s">
        <v>1570</v>
      </c>
      <c r="I346" s="6" t="s">
        <v>1571</v>
      </c>
      <c r="J346" s="6" t="s">
        <v>150</v>
      </c>
      <c r="K346" s="5"/>
      <c r="L346" s="4" t="s">
        <v>62</v>
      </c>
      <c r="M346" s="8" t="s">
        <v>79</v>
      </c>
      <c r="N346" s="9" t="s">
        <v>1430</v>
      </c>
      <c r="O346" s="5"/>
      <c r="P346" s="5"/>
      <c r="Q346" s="6" t="s">
        <v>30</v>
      </c>
      <c r="R346" s="4" t="s">
        <v>31</v>
      </c>
      <c r="S346" s="7" t="s">
        <v>32</v>
      </c>
      <c r="T346" s="5"/>
    </row>
    <row r="347" customFormat="false" ht="29.25" hidden="false" customHeight="true" outlineLevel="0" collapsed="false">
      <c r="A347" s="4" t="n">
        <v>346</v>
      </c>
      <c r="B347" s="6" t="s">
        <v>95</v>
      </c>
      <c r="C347" s="6" t="s">
        <v>1423</v>
      </c>
      <c r="D347" s="6" t="s">
        <v>1424</v>
      </c>
      <c r="E347" s="7" t="s">
        <v>21</v>
      </c>
      <c r="F347" s="6" t="s">
        <v>1572</v>
      </c>
      <c r="G347" s="5" t="s">
        <v>729</v>
      </c>
      <c r="H347" s="5" t="s">
        <v>316</v>
      </c>
      <c r="I347" s="5" t="s">
        <v>315</v>
      </c>
      <c r="J347" s="5" t="s">
        <v>314</v>
      </c>
      <c r="K347" s="5"/>
      <c r="L347" s="4" t="s">
        <v>51</v>
      </c>
      <c r="M347" s="8" t="s">
        <v>79</v>
      </c>
      <c r="N347" s="9" t="s">
        <v>1430</v>
      </c>
      <c r="O347" s="5"/>
      <c r="P347" s="5"/>
      <c r="Q347" s="6" t="s">
        <v>30</v>
      </c>
      <c r="R347" s="4" t="s">
        <v>31</v>
      </c>
      <c r="S347" s="7" t="s">
        <v>32</v>
      </c>
      <c r="T347" s="5"/>
    </row>
    <row r="348" customFormat="false" ht="15" hidden="false" customHeight="true" outlineLevel="0" collapsed="false">
      <c r="A348" s="4" t="n">
        <v>347</v>
      </c>
      <c r="B348" s="6" t="s">
        <v>95</v>
      </c>
      <c r="C348" s="6" t="s">
        <v>1423</v>
      </c>
      <c r="D348" s="6" t="s">
        <v>1424</v>
      </c>
      <c r="E348" s="7" t="s">
        <v>21</v>
      </c>
      <c r="F348" s="6" t="s">
        <v>1573</v>
      </c>
      <c r="G348" s="6" t="s">
        <v>1426</v>
      </c>
      <c r="H348" s="6" t="s">
        <v>1574</v>
      </c>
      <c r="I348" s="6" t="s">
        <v>1562</v>
      </c>
      <c r="J348" s="6" t="s">
        <v>78</v>
      </c>
      <c r="K348" s="5"/>
      <c r="L348" s="4" t="s">
        <v>44</v>
      </c>
      <c r="M348" s="8" t="s">
        <v>129</v>
      </c>
      <c r="N348" s="9" t="s">
        <v>1430</v>
      </c>
      <c r="O348" s="5"/>
      <c r="P348" s="5"/>
      <c r="Q348" s="6" t="s">
        <v>30</v>
      </c>
      <c r="R348" s="4" t="s">
        <v>31</v>
      </c>
      <c r="S348" s="7" t="s">
        <v>32</v>
      </c>
      <c r="T348" s="5"/>
    </row>
    <row r="349" customFormat="false" ht="57.75" hidden="false" customHeight="true" outlineLevel="0" collapsed="false">
      <c r="A349" s="4" t="n">
        <v>348</v>
      </c>
      <c r="B349" s="6" t="s">
        <v>95</v>
      </c>
      <c r="C349" s="6" t="s">
        <v>1423</v>
      </c>
      <c r="D349" s="6" t="s">
        <v>1424</v>
      </c>
      <c r="E349" s="7" t="s">
        <v>21</v>
      </c>
      <c r="F349" s="6" t="s">
        <v>1575</v>
      </c>
      <c r="G349" s="6" t="s">
        <v>1576</v>
      </c>
      <c r="H349" s="6" t="s">
        <v>1577</v>
      </c>
      <c r="I349" s="6" t="s">
        <v>1578</v>
      </c>
      <c r="J349" s="6" t="s">
        <v>78</v>
      </c>
      <c r="K349" s="5"/>
      <c r="L349" s="4" t="s">
        <v>44</v>
      </c>
      <c r="M349" s="8" t="s">
        <v>28</v>
      </c>
      <c r="N349" s="9" t="s">
        <v>1430</v>
      </c>
      <c r="O349" s="5"/>
      <c r="P349" s="5"/>
      <c r="Q349" s="6" t="s">
        <v>30</v>
      </c>
      <c r="R349" s="4" t="s">
        <v>31</v>
      </c>
      <c r="S349" s="7" t="s">
        <v>32</v>
      </c>
      <c r="T349" s="5"/>
    </row>
    <row r="350" customFormat="false" ht="15" hidden="false" customHeight="true" outlineLevel="0" collapsed="false">
      <c r="A350" s="4" t="n">
        <v>349</v>
      </c>
      <c r="B350" s="6" t="s">
        <v>95</v>
      </c>
      <c r="C350" s="6" t="s">
        <v>1423</v>
      </c>
      <c r="D350" s="6" t="s">
        <v>1424</v>
      </c>
      <c r="E350" s="7" t="s">
        <v>21</v>
      </c>
      <c r="F350" s="6" t="s">
        <v>1579</v>
      </c>
      <c r="G350" s="6" t="s">
        <v>1580</v>
      </c>
      <c r="H350" s="6" t="s">
        <v>1581</v>
      </c>
      <c r="I350" s="6" t="s">
        <v>1582</v>
      </c>
      <c r="J350" s="6" t="s">
        <v>1583</v>
      </c>
      <c r="K350" s="5"/>
      <c r="L350" s="4" t="s">
        <v>51</v>
      </c>
      <c r="M350" s="8" t="s">
        <v>79</v>
      </c>
      <c r="N350" s="9" t="s">
        <v>1430</v>
      </c>
      <c r="O350" s="5"/>
      <c r="P350" s="5"/>
      <c r="Q350" s="6" t="s">
        <v>30</v>
      </c>
      <c r="R350" s="4" t="s">
        <v>31</v>
      </c>
      <c r="S350" s="7" t="s">
        <v>32</v>
      </c>
      <c r="T350" s="5"/>
    </row>
    <row r="351" customFormat="false" ht="29.25" hidden="false" customHeight="true" outlineLevel="0" collapsed="false">
      <c r="A351" s="4" t="n">
        <v>350</v>
      </c>
      <c r="B351" s="6" t="s">
        <v>95</v>
      </c>
      <c r="C351" s="6" t="s">
        <v>1423</v>
      </c>
      <c r="D351" s="6" t="s">
        <v>1424</v>
      </c>
      <c r="E351" s="7" t="s">
        <v>21</v>
      </c>
      <c r="F351" s="6" t="s">
        <v>1584</v>
      </c>
      <c r="G351" s="6" t="s">
        <v>1585</v>
      </c>
      <c r="H351" s="6" t="s">
        <v>1586</v>
      </c>
      <c r="I351" s="6" t="s">
        <v>1587</v>
      </c>
      <c r="J351" s="6" t="s">
        <v>1588</v>
      </c>
      <c r="K351" s="5"/>
      <c r="L351" s="4" t="s">
        <v>44</v>
      </c>
      <c r="M351" s="8" t="s">
        <v>129</v>
      </c>
      <c r="N351" s="9" t="s">
        <v>1430</v>
      </c>
      <c r="O351" s="5"/>
      <c r="P351" s="5"/>
      <c r="Q351" s="6" t="s">
        <v>30</v>
      </c>
      <c r="R351" s="4" t="s">
        <v>31</v>
      </c>
      <c r="S351" s="7" t="s">
        <v>32</v>
      </c>
      <c r="T351" s="5"/>
    </row>
    <row r="352" customFormat="false" ht="29.25" hidden="false" customHeight="true" outlineLevel="0" collapsed="false">
      <c r="A352" s="4" t="n">
        <v>351</v>
      </c>
      <c r="B352" s="6" t="s">
        <v>95</v>
      </c>
      <c r="C352" s="6" t="s">
        <v>1423</v>
      </c>
      <c r="D352" s="6" t="s">
        <v>1424</v>
      </c>
      <c r="E352" s="7" t="s">
        <v>21</v>
      </c>
      <c r="F352" s="6" t="s">
        <v>1589</v>
      </c>
      <c r="G352" s="6" t="s">
        <v>1590</v>
      </c>
      <c r="H352" s="6" t="s">
        <v>1591</v>
      </c>
      <c r="I352" s="6" t="s">
        <v>1592</v>
      </c>
      <c r="J352" s="6" t="s">
        <v>1593</v>
      </c>
      <c r="K352" s="5"/>
      <c r="L352" s="4" t="s">
        <v>27</v>
      </c>
      <c r="M352" s="8" t="s">
        <v>28</v>
      </c>
      <c r="N352" s="9" t="s">
        <v>1430</v>
      </c>
      <c r="O352" s="5"/>
      <c r="P352" s="5"/>
      <c r="Q352" s="6" t="s">
        <v>30</v>
      </c>
      <c r="R352" s="4" t="s">
        <v>31</v>
      </c>
      <c r="S352" s="7" t="s">
        <v>32</v>
      </c>
      <c r="T352" s="5"/>
    </row>
    <row r="353" customFormat="false" ht="29.25" hidden="false" customHeight="true" outlineLevel="0" collapsed="false">
      <c r="A353" s="4" t="n">
        <v>352</v>
      </c>
      <c r="B353" s="6" t="s">
        <v>95</v>
      </c>
      <c r="C353" s="6" t="s">
        <v>1423</v>
      </c>
      <c r="D353" s="6" t="s">
        <v>1424</v>
      </c>
      <c r="E353" s="7" t="s">
        <v>21</v>
      </c>
      <c r="F353" s="6" t="s">
        <v>1594</v>
      </c>
      <c r="G353" s="6" t="s">
        <v>1595</v>
      </c>
      <c r="H353" s="6" t="s">
        <v>86</v>
      </c>
      <c r="I353" s="6" t="s">
        <v>1546</v>
      </c>
      <c r="J353" s="6" t="s">
        <v>1596</v>
      </c>
      <c r="K353" s="5"/>
      <c r="L353" s="4" t="s">
        <v>51</v>
      </c>
      <c r="M353" s="8" t="s">
        <v>28</v>
      </c>
      <c r="N353" s="9" t="s">
        <v>1430</v>
      </c>
      <c r="O353" s="5"/>
      <c r="P353" s="5"/>
      <c r="Q353" s="6" t="s">
        <v>30</v>
      </c>
      <c r="R353" s="4" t="s">
        <v>31</v>
      </c>
      <c r="S353" s="7" t="s">
        <v>32</v>
      </c>
      <c r="T353" s="5"/>
    </row>
    <row r="354" customFormat="false" ht="57.75" hidden="false" customHeight="true" outlineLevel="0" collapsed="false">
      <c r="A354" s="4" t="n">
        <v>353</v>
      </c>
      <c r="B354" s="6" t="s">
        <v>95</v>
      </c>
      <c r="C354" s="6" t="s">
        <v>1423</v>
      </c>
      <c r="D354" s="6" t="s">
        <v>1424</v>
      </c>
      <c r="E354" s="7" t="s">
        <v>21</v>
      </c>
      <c r="F354" s="6" t="s">
        <v>1597</v>
      </c>
      <c r="G354" s="6" t="s">
        <v>1598</v>
      </c>
      <c r="H354" s="6" t="s">
        <v>1599</v>
      </c>
      <c r="I354" s="6" t="s">
        <v>1600</v>
      </c>
      <c r="J354" s="6" t="s">
        <v>1601</v>
      </c>
      <c r="K354" s="5"/>
      <c r="L354" s="4" t="s">
        <v>44</v>
      </c>
      <c r="M354" s="8" t="s">
        <v>129</v>
      </c>
      <c r="N354" s="9" t="s">
        <v>1430</v>
      </c>
      <c r="O354" s="5"/>
      <c r="P354" s="5"/>
      <c r="Q354" s="6" t="s">
        <v>30</v>
      </c>
      <c r="R354" s="4" t="s">
        <v>31</v>
      </c>
      <c r="S354" s="7" t="s">
        <v>32</v>
      </c>
      <c r="T354" s="5"/>
    </row>
    <row r="355" customFormat="false" ht="29.25" hidden="false" customHeight="true" outlineLevel="0" collapsed="false">
      <c r="A355" s="4" t="n">
        <v>354</v>
      </c>
      <c r="B355" s="6" t="s">
        <v>95</v>
      </c>
      <c r="C355" s="6" t="s">
        <v>1423</v>
      </c>
      <c r="D355" s="6" t="s">
        <v>1424</v>
      </c>
      <c r="E355" s="7" t="s">
        <v>21</v>
      </c>
      <c r="F355" s="6" t="s">
        <v>1602</v>
      </c>
      <c r="G355" s="6" t="s">
        <v>1598</v>
      </c>
      <c r="H355" s="6" t="s">
        <v>1603</v>
      </c>
      <c r="I355" s="6" t="s">
        <v>1599</v>
      </c>
      <c r="J355" s="6" t="s">
        <v>1600</v>
      </c>
      <c r="K355" s="5"/>
      <c r="L355" s="4" t="s">
        <v>62</v>
      </c>
      <c r="M355" s="8" t="s">
        <v>28</v>
      </c>
      <c r="N355" s="9" t="s">
        <v>1430</v>
      </c>
      <c r="O355" s="5"/>
      <c r="P355" s="5"/>
      <c r="Q355" s="6" t="s">
        <v>30</v>
      </c>
      <c r="R355" s="4" t="s">
        <v>31</v>
      </c>
      <c r="S355" s="7" t="s">
        <v>32</v>
      </c>
      <c r="T355" s="5"/>
    </row>
    <row r="356" customFormat="false" ht="29.25" hidden="false" customHeight="true" outlineLevel="0" collapsed="false">
      <c r="A356" s="4" t="n">
        <v>355</v>
      </c>
      <c r="B356" s="6" t="s">
        <v>95</v>
      </c>
      <c r="C356" s="6" t="s">
        <v>1423</v>
      </c>
      <c r="D356" s="6" t="s">
        <v>1424</v>
      </c>
      <c r="E356" s="7" t="s">
        <v>21</v>
      </c>
      <c r="F356" s="6" t="s">
        <v>1604</v>
      </c>
      <c r="G356" s="5" t="s">
        <v>1605</v>
      </c>
      <c r="H356" s="6" t="s">
        <v>1606</v>
      </c>
      <c r="I356" s="6" t="s">
        <v>1607</v>
      </c>
      <c r="J356" s="6" t="s">
        <v>1608</v>
      </c>
      <c r="K356" s="5"/>
      <c r="L356" s="4" t="s">
        <v>27</v>
      </c>
      <c r="M356" s="8" t="s">
        <v>28</v>
      </c>
      <c r="N356" s="9" t="s">
        <v>1430</v>
      </c>
      <c r="O356" s="5"/>
      <c r="P356" s="5"/>
      <c r="Q356" s="6" t="s">
        <v>30</v>
      </c>
      <c r="R356" s="4" t="s">
        <v>31</v>
      </c>
      <c r="S356" s="7" t="s">
        <v>32</v>
      </c>
      <c r="T356" s="5"/>
    </row>
    <row r="357" customFormat="false" ht="29.25" hidden="false" customHeight="true" outlineLevel="0" collapsed="false">
      <c r="A357" s="4" t="n">
        <v>356</v>
      </c>
      <c r="B357" s="6" t="s">
        <v>95</v>
      </c>
      <c r="C357" s="6" t="s">
        <v>1423</v>
      </c>
      <c r="D357" s="6" t="s">
        <v>1424</v>
      </c>
      <c r="E357" s="7" t="s">
        <v>21</v>
      </c>
      <c r="F357" s="6" t="s">
        <v>1609</v>
      </c>
      <c r="G357" s="6" t="s">
        <v>1426</v>
      </c>
      <c r="H357" s="6" t="s">
        <v>1610</v>
      </c>
      <c r="I357" s="6" t="s">
        <v>1428</v>
      </c>
      <c r="J357" s="6" t="s">
        <v>1562</v>
      </c>
      <c r="K357" s="5"/>
      <c r="L357" s="4" t="s">
        <v>62</v>
      </c>
      <c r="M357" s="8" t="s">
        <v>28</v>
      </c>
      <c r="N357" s="9" t="s">
        <v>1430</v>
      </c>
      <c r="O357" s="5"/>
      <c r="P357" s="5"/>
      <c r="Q357" s="6" t="s">
        <v>30</v>
      </c>
      <c r="R357" s="4" t="s">
        <v>31</v>
      </c>
      <c r="S357" s="7" t="s">
        <v>32</v>
      </c>
      <c r="T357" s="5"/>
    </row>
    <row r="358" customFormat="false" ht="29.25" hidden="false" customHeight="true" outlineLevel="0" collapsed="false">
      <c r="A358" s="4" t="n">
        <v>357</v>
      </c>
      <c r="B358" s="6" t="s">
        <v>95</v>
      </c>
      <c r="C358" s="6" t="s">
        <v>1423</v>
      </c>
      <c r="D358" s="6" t="s">
        <v>1424</v>
      </c>
      <c r="E358" s="7" t="s">
        <v>21</v>
      </c>
      <c r="F358" s="6" t="s">
        <v>1611</v>
      </c>
      <c r="G358" s="6" t="s">
        <v>1612</v>
      </c>
      <c r="H358" s="6" t="s">
        <v>1613</v>
      </c>
      <c r="I358" s="6" t="s">
        <v>1614</v>
      </c>
      <c r="J358" s="6" t="s">
        <v>1615</v>
      </c>
      <c r="K358" s="5"/>
      <c r="L358" s="4" t="s">
        <v>27</v>
      </c>
      <c r="M358" s="8" t="s">
        <v>79</v>
      </c>
      <c r="N358" s="9" t="s">
        <v>1430</v>
      </c>
      <c r="O358" s="5"/>
      <c r="P358" s="5"/>
      <c r="Q358" s="6" t="s">
        <v>30</v>
      </c>
      <c r="R358" s="4" t="s">
        <v>31</v>
      </c>
      <c r="S358" s="7" t="s">
        <v>32</v>
      </c>
      <c r="T358" s="5"/>
    </row>
    <row r="359" customFormat="false" ht="15" hidden="false" customHeight="true" outlineLevel="0" collapsed="false">
      <c r="A359" s="4" t="n">
        <v>358</v>
      </c>
      <c r="B359" s="6" t="s">
        <v>95</v>
      </c>
      <c r="C359" s="6" t="s">
        <v>1423</v>
      </c>
      <c r="D359" s="6" t="s">
        <v>1424</v>
      </c>
      <c r="E359" s="7" t="s">
        <v>21</v>
      </c>
      <c r="F359" s="6" t="s">
        <v>1616</v>
      </c>
      <c r="G359" s="6" t="s">
        <v>1585</v>
      </c>
      <c r="H359" s="6" t="s">
        <v>1617</v>
      </c>
      <c r="I359" s="6" t="s">
        <v>1586</v>
      </c>
      <c r="J359" s="6" t="s">
        <v>1618</v>
      </c>
      <c r="K359" s="5"/>
      <c r="L359" s="4" t="s">
        <v>62</v>
      </c>
      <c r="M359" s="8" t="s">
        <v>129</v>
      </c>
      <c r="N359" s="9" t="s">
        <v>1430</v>
      </c>
      <c r="O359" s="5"/>
      <c r="P359" s="5"/>
      <c r="Q359" s="6" t="s">
        <v>30</v>
      </c>
      <c r="R359" s="4" t="s">
        <v>31</v>
      </c>
      <c r="S359" s="7" t="s">
        <v>32</v>
      </c>
      <c r="T359" s="5"/>
    </row>
    <row r="360" customFormat="false" ht="29.25" hidden="false" customHeight="true" outlineLevel="0" collapsed="false">
      <c r="A360" s="4" t="n">
        <v>359</v>
      </c>
      <c r="B360" s="6" t="s">
        <v>95</v>
      </c>
      <c r="C360" s="6" t="s">
        <v>1423</v>
      </c>
      <c r="D360" s="6" t="s">
        <v>1424</v>
      </c>
      <c r="E360" s="7" t="s">
        <v>21</v>
      </c>
      <c r="F360" s="6" t="s">
        <v>1619</v>
      </c>
      <c r="G360" s="6" t="s">
        <v>1620</v>
      </c>
      <c r="H360" s="6" t="s">
        <v>1621</v>
      </c>
      <c r="I360" s="6" t="s">
        <v>1622</v>
      </c>
      <c r="J360" s="6" t="s">
        <v>1623</v>
      </c>
      <c r="K360" s="5"/>
      <c r="L360" s="4" t="s">
        <v>51</v>
      </c>
      <c r="M360" s="8" t="s">
        <v>28</v>
      </c>
      <c r="N360" s="9" t="s">
        <v>1430</v>
      </c>
      <c r="O360" s="5"/>
      <c r="P360" s="5"/>
      <c r="Q360" s="6" t="s">
        <v>30</v>
      </c>
      <c r="R360" s="4" t="s">
        <v>31</v>
      </c>
      <c r="S360" s="7" t="s">
        <v>32</v>
      </c>
      <c r="T360" s="5"/>
    </row>
    <row r="361" customFormat="false" ht="43.5" hidden="false" customHeight="true" outlineLevel="0" collapsed="false">
      <c r="A361" s="4" t="n">
        <v>360</v>
      </c>
      <c r="B361" s="6" t="s">
        <v>95</v>
      </c>
      <c r="C361" s="6" t="s">
        <v>1423</v>
      </c>
      <c r="D361" s="6" t="s">
        <v>1424</v>
      </c>
      <c r="E361" s="7" t="s">
        <v>21</v>
      </c>
      <c r="F361" s="5" t="s">
        <v>1624</v>
      </c>
      <c r="G361" s="6" t="s">
        <v>1621</v>
      </c>
      <c r="H361" s="6" t="s">
        <v>1625</v>
      </c>
      <c r="I361" s="6" t="s">
        <v>1623</v>
      </c>
      <c r="J361" s="6" t="s">
        <v>1626</v>
      </c>
      <c r="K361" s="5"/>
      <c r="L361" s="4" t="s">
        <v>27</v>
      </c>
      <c r="M361" s="8" t="s">
        <v>79</v>
      </c>
      <c r="N361" s="9" t="s">
        <v>1430</v>
      </c>
      <c r="O361" s="5"/>
      <c r="P361" s="5"/>
      <c r="Q361" s="6" t="s">
        <v>30</v>
      </c>
      <c r="R361" s="4" t="s">
        <v>31</v>
      </c>
      <c r="S361" s="7" t="s">
        <v>32</v>
      </c>
      <c r="T361" s="5"/>
    </row>
    <row r="362" customFormat="false" ht="15" hidden="false" customHeight="true" outlineLevel="0" collapsed="false">
      <c r="A362" s="4" t="n">
        <v>361</v>
      </c>
      <c r="B362" s="6" t="s">
        <v>95</v>
      </c>
      <c r="C362" s="6" t="s">
        <v>1627</v>
      </c>
      <c r="D362" s="6" t="s">
        <v>1628</v>
      </c>
      <c r="E362" s="7" t="s">
        <v>21</v>
      </c>
      <c r="F362" s="6" t="s">
        <v>1629</v>
      </c>
      <c r="G362" s="6" t="s">
        <v>1630</v>
      </c>
      <c r="H362" s="6" t="s">
        <v>1631</v>
      </c>
      <c r="I362" s="6" t="s">
        <v>1632</v>
      </c>
      <c r="J362" s="6" t="s">
        <v>1633</v>
      </c>
      <c r="K362" s="5"/>
      <c r="L362" s="4" t="s">
        <v>27</v>
      </c>
      <c r="M362" s="8" t="s">
        <v>129</v>
      </c>
      <c r="N362" s="9" t="s">
        <v>1634</v>
      </c>
      <c r="O362" s="5"/>
      <c r="P362" s="5"/>
      <c r="Q362" s="6" t="s">
        <v>30</v>
      </c>
      <c r="R362" s="4" t="s">
        <v>31</v>
      </c>
      <c r="S362" s="7" t="s">
        <v>32</v>
      </c>
      <c r="T362" s="5"/>
    </row>
    <row r="363" customFormat="false" ht="15" hidden="false" customHeight="true" outlineLevel="0" collapsed="false">
      <c r="A363" s="4" t="n">
        <v>362</v>
      </c>
      <c r="B363" s="6" t="s">
        <v>95</v>
      </c>
      <c r="C363" s="6" t="s">
        <v>1627</v>
      </c>
      <c r="D363" s="6" t="s">
        <v>1628</v>
      </c>
      <c r="E363" s="7" t="s">
        <v>21</v>
      </c>
      <c r="F363" s="6" t="s">
        <v>1635</v>
      </c>
      <c r="G363" s="6" t="s">
        <v>1636</v>
      </c>
      <c r="H363" s="6" t="s">
        <v>1637</v>
      </c>
      <c r="I363" s="6" t="s">
        <v>1638</v>
      </c>
      <c r="J363" s="6" t="s">
        <v>1639</v>
      </c>
      <c r="K363" s="5"/>
      <c r="L363" s="4" t="s">
        <v>62</v>
      </c>
      <c r="M363" s="8" t="s">
        <v>129</v>
      </c>
      <c r="N363" s="9" t="s">
        <v>1634</v>
      </c>
      <c r="O363" s="5"/>
      <c r="P363" s="5"/>
      <c r="Q363" s="6" t="s">
        <v>30</v>
      </c>
      <c r="R363" s="4" t="s">
        <v>31</v>
      </c>
      <c r="S363" s="7" t="s">
        <v>32</v>
      </c>
      <c r="T363" s="5"/>
    </row>
    <row r="364" customFormat="false" ht="15" hidden="false" customHeight="true" outlineLevel="0" collapsed="false">
      <c r="A364" s="4" t="n">
        <v>363</v>
      </c>
      <c r="B364" s="6" t="s">
        <v>95</v>
      </c>
      <c r="C364" s="6" t="s">
        <v>1627</v>
      </c>
      <c r="D364" s="6" t="s">
        <v>1628</v>
      </c>
      <c r="E364" s="7" t="s">
        <v>21</v>
      </c>
      <c r="F364" s="6" t="s">
        <v>1640</v>
      </c>
      <c r="G364" s="6" t="s">
        <v>1641</v>
      </c>
      <c r="H364" s="6" t="s">
        <v>1642</v>
      </c>
      <c r="I364" s="6" t="s">
        <v>1643</v>
      </c>
      <c r="J364" s="6" t="s">
        <v>1644</v>
      </c>
      <c r="K364" s="5"/>
      <c r="L364" s="4" t="s">
        <v>44</v>
      </c>
      <c r="M364" s="8" t="s">
        <v>129</v>
      </c>
      <c r="N364" s="9" t="s">
        <v>1634</v>
      </c>
      <c r="O364" s="5"/>
      <c r="P364" s="5"/>
      <c r="Q364" s="6" t="s">
        <v>30</v>
      </c>
      <c r="R364" s="4" t="s">
        <v>31</v>
      </c>
      <c r="S364" s="7" t="s">
        <v>32</v>
      </c>
      <c r="T364" s="5"/>
    </row>
    <row r="365" customFormat="false" ht="15" hidden="false" customHeight="true" outlineLevel="0" collapsed="false">
      <c r="A365" s="4" t="n">
        <v>364</v>
      </c>
      <c r="B365" s="6" t="s">
        <v>95</v>
      </c>
      <c r="C365" s="6" t="s">
        <v>1627</v>
      </c>
      <c r="D365" s="6" t="s">
        <v>1628</v>
      </c>
      <c r="E365" s="7" t="s">
        <v>21</v>
      </c>
      <c r="F365" s="6" t="s">
        <v>1645</v>
      </c>
      <c r="G365" s="6" t="s">
        <v>1646</v>
      </c>
      <c r="H365" s="6" t="s">
        <v>1647</v>
      </c>
      <c r="I365" s="6" t="s">
        <v>1648</v>
      </c>
      <c r="J365" s="6" t="s">
        <v>1649</v>
      </c>
      <c r="K365" s="5"/>
      <c r="L365" s="4" t="s">
        <v>44</v>
      </c>
      <c r="M365" s="8" t="s">
        <v>129</v>
      </c>
      <c r="N365" s="9" t="s">
        <v>1634</v>
      </c>
      <c r="O365" s="5"/>
      <c r="P365" s="5"/>
      <c r="Q365" s="6" t="s">
        <v>30</v>
      </c>
      <c r="R365" s="4" t="s">
        <v>31</v>
      </c>
      <c r="S365" s="7" t="s">
        <v>32</v>
      </c>
      <c r="T365" s="5"/>
    </row>
    <row r="366" customFormat="false" ht="15" hidden="false" customHeight="true" outlineLevel="0" collapsed="false">
      <c r="A366" s="4" t="n">
        <v>365</v>
      </c>
      <c r="B366" s="6" t="s">
        <v>95</v>
      </c>
      <c r="C366" s="6" t="s">
        <v>1627</v>
      </c>
      <c r="D366" s="6" t="s">
        <v>1628</v>
      </c>
      <c r="E366" s="7" t="s">
        <v>21</v>
      </c>
      <c r="F366" s="6" t="s">
        <v>1650</v>
      </c>
      <c r="G366" s="6" t="s">
        <v>1651</v>
      </c>
      <c r="H366" s="6" t="s">
        <v>1652</v>
      </c>
      <c r="I366" s="6" t="s">
        <v>1653</v>
      </c>
      <c r="J366" s="6" t="s">
        <v>1654</v>
      </c>
      <c r="K366" s="5"/>
      <c r="L366" s="4" t="s">
        <v>51</v>
      </c>
      <c r="M366" s="8" t="s">
        <v>129</v>
      </c>
      <c r="N366" s="9" t="s">
        <v>1634</v>
      </c>
      <c r="O366" s="5"/>
      <c r="P366" s="5"/>
      <c r="Q366" s="6" t="s">
        <v>30</v>
      </c>
      <c r="R366" s="4" t="s">
        <v>31</v>
      </c>
      <c r="S366" s="7" t="s">
        <v>32</v>
      </c>
      <c r="T366" s="5"/>
    </row>
    <row r="367" customFormat="false" ht="15" hidden="false" customHeight="true" outlineLevel="0" collapsed="false">
      <c r="A367" s="4" t="n">
        <v>366</v>
      </c>
      <c r="B367" s="6" t="s">
        <v>95</v>
      </c>
      <c r="C367" s="6" t="s">
        <v>1627</v>
      </c>
      <c r="D367" s="6" t="s">
        <v>1628</v>
      </c>
      <c r="E367" s="7" t="s">
        <v>21</v>
      </c>
      <c r="F367" s="6" t="s">
        <v>1655</v>
      </c>
      <c r="G367" s="6" t="s">
        <v>1656</v>
      </c>
      <c r="H367" s="6" t="s">
        <v>1657</v>
      </c>
      <c r="I367" s="6" t="s">
        <v>1658</v>
      </c>
      <c r="J367" s="6" t="s">
        <v>78</v>
      </c>
      <c r="K367" s="5"/>
      <c r="L367" s="4" t="s">
        <v>44</v>
      </c>
      <c r="M367" s="8" t="s">
        <v>79</v>
      </c>
      <c r="N367" s="9" t="s">
        <v>1634</v>
      </c>
      <c r="O367" s="5"/>
      <c r="P367" s="5"/>
      <c r="Q367" s="6" t="s">
        <v>30</v>
      </c>
      <c r="R367" s="4" t="s">
        <v>31</v>
      </c>
      <c r="S367" s="7" t="s">
        <v>32</v>
      </c>
      <c r="T367" s="5"/>
    </row>
    <row r="368" customFormat="false" ht="15" hidden="false" customHeight="true" outlineLevel="0" collapsed="false">
      <c r="A368" s="4" t="n">
        <v>367</v>
      </c>
      <c r="B368" s="6" t="s">
        <v>95</v>
      </c>
      <c r="C368" s="6" t="s">
        <v>1627</v>
      </c>
      <c r="D368" s="6" t="s">
        <v>1628</v>
      </c>
      <c r="E368" s="7" t="s">
        <v>21</v>
      </c>
      <c r="F368" s="6" t="s">
        <v>1659</v>
      </c>
      <c r="G368" s="6" t="s">
        <v>1660</v>
      </c>
      <c r="H368" s="6" t="s">
        <v>1661</v>
      </c>
      <c r="I368" s="6" t="s">
        <v>1662</v>
      </c>
      <c r="J368" s="6" t="s">
        <v>150</v>
      </c>
      <c r="K368" s="5"/>
      <c r="L368" s="4" t="s">
        <v>62</v>
      </c>
      <c r="M368" s="8" t="s">
        <v>129</v>
      </c>
      <c r="N368" s="9" t="s">
        <v>1634</v>
      </c>
      <c r="O368" s="5"/>
      <c r="P368" s="5"/>
      <c r="Q368" s="6" t="s">
        <v>30</v>
      </c>
      <c r="R368" s="4" t="s">
        <v>31</v>
      </c>
      <c r="S368" s="7" t="s">
        <v>32</v>
      </c>
      <c r="T368" s="5"/>
    </row>
    <row r="369" customFormat="false" ht="43.5" hidden="false" customHeight="true" outlineLevel="0" collapsed="false">
      <c r="A369" s="4" t="n">
        <v>368</v>
      </c>
      <c r="B369" s="6" t="s">
        <v>95</v>
      </c>
      <c r="C369" s="6" t="s">
        <v>1627</v>
      </c>
      <c r="D369" s="6" t="s">
        <v>1628</v>
      </c>
      <c r="E369" s="7" t="s">
        <v>21</v>
      </c>
      <c r="F369" s="6" t="s">
        <v>1663</v>
      </c>
      <c r="G369" s="6" t="s">
        <v>1664</v>
      </c>
      <c r="H369" s="6" t="s">
        <v>1665</v>
      </c>
      <c r="I369" s="6" t="s">
        <v>1666</v>
      </c>
      <c r="J369" s="6" t="s">
        <v>78</v>
      </c>
      <c r="K369" s="5"/>
      <c r="L369" s="4" t="s">
        <v>44</v>
      </c>
      <c r="M369" s="8" t="s">
        <v>28</v>
      </c>
      <c r="N369" s="9" t="s">
        <v>1634</v>
      </c>
      <c r="O369" s="5"/>
      <c r="P369" s="5"/>
      <c r="Q369" s="6" t="s">
        <v>30</v>
      </c>
      <c r="R369" s="4" t="s">
        <v>31</v>
      </c>
      <c r="S369" s="7" t="s">
        <v>32</v>
      </c>
      <c r="T369" s="5"/>
    </row>
    <row r="370" customFormat="false" ht="29.25" hidden="false" customHeight="true" outlineLevel="0" collapsed="false">
      <c r="A370" s="4" t="n">
        <v>369</v>
      </c>
      <c r="B370" s="6" t="s">
        <v>95</v>
      </c>
      <c r="C370" s="6" t="s">
        <v>1627</v>
      </c>
      <c r="D370" s="6" t="s">
        <v>1628</v>
      </c>
      <c r="E370" s="7" t="s">
        <v>21</v>
      </c>
      <c r="F370" s="6" t="s">
        <v>1667</v>
      </c>
      <c r="G370" s="6" t="s">
        <v>1668</v>
      </c>
      <c r="H370" s="6" t="s">
        <v>1669</v>
      </c>
      <c r="I370" s="6" t="s">
        <v>1670</v>
      </c>
      <c r="J370" s="6" t="s">
        <v>78</v>
      </c>
      <c r="K370" s="5"/>
      <c r="L370" s="4" t="s">
        <v>27</v>
      </c>
      <c r="M370" s="8" t="s">
        <v>28</v>
      </c>
      <c r="N370" s="9" t="s">
        <v>1634</v>
      </c>
      <c r="O370" s="5"/>
      <c r="P370" s="5"/>
      <c r="Q370" s="6" t="s">
        <v>30</v>
      </c>
      <c r="R370" s="4" t="s">
        <v>31</v>
      </c>
      <c r="S370" s="7" t="s">
        <v>32</v>
      </c>
      <c r="T370" s="5"/>
    </row>
    <row r="371" customFormat="false" ht="15" hidden="false" customHeight="true" outlineLevel="0" collapsed="false">
      <c r="A371" s="4" t="n">
        <v>370</v>
      </c>
      <c r="B371" s="6" t="s">
        <v>95</v>
      </c>
      <c r="C371" s="6" t="s">
        <v>1627</v>
      </c>
      <c r="D371" s="6" t="s">
        <v>1628</v>
      </c>
      <c r="E371" s="7" t="s">
        <v>21</v>
      </c>
      <c r="F371" s="6" t="s">
        <v>1671</v>
      </c>
      <c r="G371" s="6" t="s">
        <v>1672</v>
      </c>
      <c r="H371" s="6" t="s">
        <v>1673</v>
      </c>
      <c r="I371" s="6" t="s">
        <v>1674</v>
      </c>
      <c r="J371" s="6" t="s">
        <v>78</v>
      </c>
      <c r="K371" s="5"/>
      <c r="L371" s="4" t="s">
        <v>44</v>
      </c>
      <c r="M371" s="8" t="s">
        <v>129</v>
      </c>
      <c r="N371" s="9" t="s">
        <v>1634</v>
      </c>
      <c r="O371" s="5"/>
      <c r="P371" s="5"/>
      <c r="Q371" s="6" t="s">
        <v>30</v>
      </c>
      <c r="R371" s="4" t="s">
        <v>31</v>
      </c>
      <c r="S371" s="7" t="s">
        <v>32</v>
      </c>
      <c r="T371" s="5"/>
    </row>
    <row r="372" customFormat="false" ht="29.25" hidden="false" customHeight="true" outlineLevel="0" collapsed="false">
      <c r="A372" s="4" t="n">
        <v>371</v>
      </c>
      <c r="B372" s="6" t="s">
        <v>95</v>
      </c>
      <c r="C372" s="6" t="s">
        <v>1627</v>
      </c>
      <c r="D372" s="6" t="s">
        <v>1628</v>
      </c>
      <c r="E372" s="7" t="s">
        <v>21</v>
      </c>
      <c r="F372" s="6" t="s">
        <v>1675</v>
      </c>
      <c r="G372" s="6" t="s">
        <v>1676</v>
      </c>
      <c r="H372" s="6" t="s">
        <v>1677</v>
      </c>
      <c r="I372" s="6" t="s">
        <v>1678</v>
      </c>
      <c r="J372" s="6" t="s">
        <v>78</v>
      </c>
      <c r="K372" s="5"/>
      <c r="L372" s="4" t="s">
        <v>62</v>
      </c>
      <c r="M372" s="8" t="s">
        <v>79</v>
      </c>
      <c r="N372" s="9" t="s">
        <v>1634</v>
      </c>
      <c r="O372" s="5"/>
      <c r="P372" s="5"/>
      <c r="Q372" s="6" t="s">
        <v>30</v>
      </c>
      <c r="R372" s="4" t="s">
        <v>31</v>
      </c>
      <c r="S372" s="7" t="s">
        <v>32</v>
      </c>
      <c r="T372" s="5"/>
    </row>
    <row r="373" customFormat="false" ht="43.5" hidden="false" customHeight="true" outlineLevel="0" collapsed="false">
      <c r="A373" s="4" t="n">
        <v>372</v>
      </c>
      <c r="B373" s="6" t="s">
        <v>95</v>
      </c>
      <c r="C373" s="6" t="s">
        <v>1627</v>
      </c>
      <c r="D373" s="6" t="s">
        <v>1628</v>
      </c>
      <c r="E373" s="7" t="s">
        <v>21</v>
      </c>
      <c r="F373" s="6" t="s">
        <v>1679</v>
      </c>
      <c r="G373" s="6" t="s">
        <v>1680</v>
      </c>
      <c r="H373" s="6" t="s">
        <v>1681</v>
      </c>
      <c r="I373" s="6" t="s">
        <v>1682</v>
      </c>
      <c r="J373" s="6" t="s">
        <v>150</v>
      </c>
      <c r="K373" s="5"/>
      <c r="L373" s="4" t="s">
        <v>51</v>
      </c>
      <c r="M373" s="8" t="s">
        <v>79</v>
      </c>
      <c r="N373" s="9" t="s">
        <v>1634</v>
      </c>
      <c r="O373" s="5"/>
      <c r="P373" s="5"/>
      <c r="Q373" s="6" t="s">
        <v>30</v>
      </c>
      <c r="R373" s="4" t="s">
        <v>31</v>
      </c>
      <c r="S373" s="7" t="s">
        <v>32</v>
      </c>
      <c r="T373" s="5"/>
    </row>
    <row r="374" customFormat="false" ht="29.25" hidden="false" customHeight="true" outlineLevel="0" collapsed="false">
      <c r="A374" s="4" t="n">
        <v>373</v>
      </c>
      <c r="B374" s="6" t="s">
        <v>95</v>
      </c>
      <c r="C374" s="6" t="s">
        <v>1627</v>
      </c>
      <c r="D374" s="6" t="s">
        <v>1628</v>
      </c>
      <c r="E374" s="7" t="s">
        <v>21</v>
      </c>
      <c r="F374" s="6" t="s">
        <v>1683</v>
      </c>
      <c r="G374" s="6" t="s">
        <v>1684</v>
      </c>
      <c r="H374" s="6" t="s">
        <v>1685</v>
      </c>
      <c r="I374" s="6" t="s">
        <v>1686</v>
      </c>
      <c r="J374" s="6" t="s">
        <v>78</v>
      </c>
      <c r="K374" s="5"/>
      <c r="L374" s="4" t="s">
        <v>44</v>
      </c>
      <c r="M374" s="8" t="s">
        <v>79</v>
      </c>
      <c r="N374" s="9" t="s">
        <v>1634</v>
      </c>
      <c r="O374" s="5"/>
      <c r="P374" s="5"/>
      <c r="Q374" s="6" t="s">
        <v>30</v>
      </c>
      <c r="R374" s="4" t="s">
        <v>31</v>
      </c>
      <c r="S374" s="7" t="s">
        <v>32</v>
      </c>
      <c r="T374" s="5"/>
    </row>
    <row r="375" customFormat="false" ht="43.5" hidden="false" customHeight="true" outlineLevel="0" collapsed="false">
      <c r="A375" s="4" t="n">
        <v>374</v>
      </c>
      <c r="B375" s="6" t="s">
        <v>95</v>
      </c>
      <c r="C375" s="6" t="s">
        <v>1627</v>
      </c>
      <c r="D375" s="6" t="s">
        <v>1628</v>
      </c>
      <c r="E375" s="7" t="s">
        <v>21</v>
      </c>
      <c r="F375" s="6" t="s">
        <v>1687</v>
      </c>
      <c r="G375" s="6" t="s">
        <v>1688</v>
      </c>
      <c r="H375" s="6" t="s">
        <v>1689</v>
      </c>
      <c r="I375" s="6" t="s">
        <v>1690</v>
      </c>
      <c r="J375" s="6" t="s">
        <v>78</v>
      </c>
      <c r="K375" s="5"/>
      <c r="L375" s="4" t="s">
        <v>62</v>
      </c>
      <c r="M375" s="8" t="s">
        <v>28</v>
      </c>
      <c r="N375" s="9" t="s">
        <v>1634</v>
      </c>
      <c r="O375" s="5"/>
      <c r="P375" s="5"/>
      <c r="Q375" s="6" t="s">
        <v>30</v>
      </c>
      <c r="R375" s="4" t="s">
        <v>31</v>
      </c>
      <c r="S375" s="7" t="s">
        <v>32</v>
      </c>
      <c r="T375" s="5"/>
    </row>
    <row r="376" customFormat="false" ht="29.25" hidden="false" customHeight="true" outlineLevel="0" collapsed="false">
      <c r="A376" s="4" t="n">
        <v>375</v>
      </c>
      <c r="B376" s="6" t="s">
        <v>95</v>
      </c>
      <c r="C376" s="6" t="s">
        <v>1627</v>
      </c>
      <c r="D376" s="6" t="s">
        <v>1628</v>
      </c>
      <c r="E376" s="7" t="s">
        <v>21</v>
      </c>
      <c r="F376" s="6" t="s">
        <v>1691</v>
      </c>
      <c r="G376" s="6" t="s">
        <v>1692</v>
      </c>
      <c r="H376" s="6" t="s">
        <v>1693</v>
      </c>
      <c r="I376" s="6" t="s">
        <v>1694</v>
      </c>
      <c r="J376" s="6" t="s">
        <v>150</v>
      </c>
      <c r="K376" s="5"/>
      <c r="L376" s="4" t="s">
        <v>51</v>
      </c>
      <c r="M376" s="8" t="s">
        <v>28</v>
      </c>
      <c r="N376" s="9" t="s">
        <v>1634</v>
      </c>
      <c r="O376" s="5"/>
      <c r="P376" s="5"/>
      <c r="Q376" s="6" t="s">
        <v>30</v>
      </c>
      <c r="R376" s="4" t="s">
        <v>31</v>
      </c>
      <c r="S376" s="7" t="s">
        <v>32</v>
      </c>
      <c r="T376" s="5"/>
    </row>
    <row r="377" customFormat="false" ht="29.25" hidden="false" customHeight="true" outlineLevel="0" collapsed="false">
      <c r="A377" s="4" t="n">
        <v>376</v>
      </c>
      <c r="B377" s="6" t="s">
        <v>95</v>
      </c>
      <c r="C377" s="6" t="s">
        <v>1627</v>
      </c>
      <c r="D377" s="6" t="s">
        <v>1628</v>
      </c>
      <c r="E377" s="7" t="s">
        <v>21</v>
      </c>
      <c r="F377" s="6" t="s">
        <v>1695</v>
      </c>
      <c r="G377" s="6" t="s">
        <v>1696</v>
      </c>
      <c r="H377" s="6" t="s">
        <v>1697</v>
      </c>
      <c r="I377" s="6" t="s">
        <v>1698</v>
      </c>
      <c r="J377" s="6" t="s">
        <v>150</v>
      </c>
      <c r="K377" s="5"/>
      <c r="L377" s="4" t="s">
        <v>62</v>
      </c>
      <c r="M377" s="8" t="s">
        <v>28</v>
      </c>
      <c r="N377" s="9" t="s">
        <v>1634</v>
      </c>
      <c r="O377" s="5"/>
      <c r="P377" s="5"/>
      <c r="Q377" s="6" t="s">
        <v>30</v>
      </c>
      <c r="R377" s="4" t="s">
        <v>31</v>
      </c>
      <c r="S377" s="7" t="s">
        <v>32</v>
      </c>
      <c r="T377" s="5"/>
    </row>
    <row r="378" customFormat="false" ht="15" hidden="false" customHeight="true" outlineLevel="0" collapsed="false">
      <c r="A378" s="4" t="n">
        <v>377</v>
      </c>
      <c r="B378" s="6" t="s">
        <v>95</v>
      </c>
      <c r="C378" s="6" t="s">
        <v>1627</v>
      </c>
      <c r="D378" s="6" t="s">
        <v>1628</v>
      </c>
      <c r="E378" s="7" t="s">
        <v>21</v>
      </c>
      <c r="F378" s="6" t="s">
        <v>1699</v>
      </c>
      <c r="G378" s="6" t="s">
        <v>1700</v>
      </c>
      <c r="H378" s="6" t="s">
        <v>1701</v>
      </c>
      <c r="I378" s="6" t="s">
        <v>1702</v>
      </c>
      <c r="J378" s="6" t="s">
        <v>150</v>
      </c>
      <c r="K378" s="5"/>
      <c r="L378" s="4" t="s">
        <v>51</v>
      </c>
      <c r="M378" s="8" t="s">
        <v>79</v>
      </c>
      <c r="N378" s="9" t="s">
        <v>1634</v>
      </c>
      <c r="O378" s="5"/>
      <c r="P378" s="5"/>
      <c r="Q378" s="6" t="s">
        <v>30</v>
      </c>
      <c r="R378" s="4" t="s">
        <v>31</v>
      </c>
      <c r="S378" s="7" t="s">
        <v>32</v>
      </c>
      <c r="T378" s="5"/>
    </row>
    <row r="379" customFormat="false" ht="72" hidden="false" customHeight="true" outlineLevel="0" collapsed="false">
      <c r="A379" s="4" t="n">
        <v>378</v>
      </c>
      <c r="B379" s="6" t="s">
        <v>95</v>
      </c>
      <c r="C379" s="6" t="s">
        <v>1627</v>
      </c>
      <c r="D379" s="6" t="s">
        <v>1628</v>
      </c>
      <c r="E379" s="7" t="s">
        <v>21</v>
      </c>
      <c r="F379" s="6" t="s">
        <v>1703</v>
      </c>
      <c r="G379" s="6" t="s">
        <v>1704</v>
      </c>
      <c r="H379" s="6" t="s">
        <v>1705</v>
      </c>
      <c r="I379" s="6" t="s">
        <v>1706</v>
      </c>
      <c r="J379" s="6" t="s">
        <v>1707</v>
      </c>
      <c r="K379" s="5"/>
      <c r="L379" s="4" t="s">
        <v>27</v>
      </c>
      <c r="M379" s="8" t="s">
        <v>28</v>
      </c>
      <c r="N379" s="9" t="s">
        <v>1634</v>
      </c>
      <c r="O379" s="5"/>
      <c r="P379" s="5"/>
      <c r="Q379" s="6" t="s">
        <v>30</v>
      </c>
      <c r="R379" s="4" t="s">
        <v>31</v>
      </c>
      <c r="S379" s="7" t="s">
        <v>32</v>
      </c>
      <c r="T379" s="5"/>
    </row>
    <row r="380" customFormat="false" ht="57.75" hidden="false" customHeight="true" outlineLevel="0" collapsed="false">
      <c r="A380" s="4" t="n">
        <v>379</v>
      </c>
      <c r="B380" s="6" t="s">
        <v>95</v>
      </c>
      <c r="C380" s="6" t="s">
        <v>1627</v>
      </c>
      <c r="D380" s="6" t="s">
        <v>1628</v>
      </c>
      <c r="E380" s="7" t="s">
        <v>21</v>
      </c>
      <c r="F380" s="6" t="s">
        <v>1708</v>
      </c>
      <c r="G380" s="6" t="s">
        <v>1709</v>
      </c>
      <c r="H380" s="6" t="s">
        <v>1710</v>
      </c>
      <c r="I380" s="6" t="s">
        <v>1711</v>
      </c>
      <c r="J380" s="6" t="s">
        <v>1712</v>
      </c>
      <c r="K380" s="5"/>
      <c r="L380" s="4" t="s">
        <v>51</v>
      </c>
      <c r="M380" s="8" t="s">
        <v>28</v>
      </c>
      <c r="N380" s="9" t="s">
        <v>1634</v>
      </c>
      <c r="O380" s="5"/>
      <c r="P380" s="5"/>
      <c r="Q380" s="6" t="s">
        <v>30</v>
      </c>
      <c r="R380" s="4" t="s">
        <v>31</v>
      </c>
      <c r="S380" s="7" t="s">
        <v>32</v>
      </c>
      <c r="T380" s="5"/>
    </row>
    <row r="381" customFormat="false" ht="29.25" hidden="false" customHeight="true" outlineLevel="0" collapsed="false">
      <c r="A381" s="4" t="n">
        <v>380</v>
      </c>
      <c r="B381" s="6" t="s">
        <v>95</v>
      </c>
      <c r="C381" s="6" t="s">
        <v>1627</v>
      </c>
      <c r="D381" s="6" t="s">
        <v>1628</v>
      </c>
      <c r="E381" s="7" t="s">
        <v>21</v>
      </c>
      <c r="F381" s="6" t="s">
        <v>1713</v>
      </c>
      <c r="G381" s="6" t="s">
        <v>1714</v>
      </c>
      <c r="H381" s="6" t="s">
        <v>1715</v>
      </c>
      <c r="I381" s="6" t="s">
        <v>1716</v>
      </c>
      <c r="J381" s="6" t="s">
        <v>78</v>
      </c>
      <c r="K381" s="5"/>
      <c r="L381" s="4" t="s">
        <v>44</v>
      </c>
      <c r="M381" s="8" t="s">
        <v>79</v>
      </c>
      <c r="N381" s="9" t="s">
        <v>1634</v>
      </c>
      <c r="O381" s="5"/>
      <c r="P381" s="5"/>
      <c r="Q381" s="6" t="s">
        <v>30</v>
      </c>
      <c r="R381" s="4" t="s">
        <v>31</v>
      </c>
      <c r="S381" s="7" t="s">
        <v>32</v>
      </c>
      <c r="T381" s="5"/>
    </row>
    <row r="382" customFormat="false" ht="29.25" hidden="false" customHeight="true" outlineLevel="0" collapsed="false">
      <c r="A382" s="4" t="n">
        <v>381</v>
      </c>
      <c r="B382" s="6" t="s">
        <v>95</v>
      </c>
      <c r="C382" s="6" t="s">
        <v>1627</v>
      </c>
      <c r="D382" s="6" t="s">
        <v>1628</v>
      </c>
      <c r="E382" s="7" t="s">
        <v>21</v>
      </c>
      <c r="F382" s="6" t="s">
        <v>1717</v>
      </c>
      <c r="G382" s="6" t="s">
        <v>1718</v>
      </c>
      <c r="H382" s="6" t="s">
        <v>1719</v>
      </c>
      <c r="I382" s="6" t="s">
        <v>1720</v>
      </c>
      <c r="J382" s="6" t="s">
        <v>1721</v>
      </c>
      <c r="K382" s="5"/>
      <c r="L382" s="4" t="s">
        <v>51</v>
      </c>
      <c r="M382" s="8" t="s">
        <v>79</v>
      </c>
      <c r="N382" s="9" t="s">
        <v>1634</v>
      </c>
      <c r="O382" s="5"/>
      <c r="P382" s="5"/>
      <c r="Q382" s="6" t="s">
        <v>30</v>
      </c>
      <c r="R382" s="4" t="s">
        <v>31</v>
      </c>
      <c r="S382" s="7" t="s">
        <v>32</v>
      </c>
      <c r="T382" s="5"/>
    </row>
    <row r="383" customFormat="false" ht="43.5" hidden="false" customHeight="true" outlineLevel="0" collapsed="false">
      <c r="A383" s="4" t="n">
        <v>382</v>
      </c>
      <c r="B383" s="6" t="s">
        <v>95</v>
      </c>
      <c r="C383" s="6" t="s">
        <v>1627</v>
      </c>
      <c r="D383" s="6" t="s">
        <v>1628</v>
      </c>
      <c r="E383" s="7" t="s">
        <v>21</v>
      </c>
      <c r="F383" s="6" t="s">
        <v>1722</v>
      </c>
      <c r="G383" s="6" t="s">
        <v>1723</v>
      </c>
      <c r="H383" s="6" t="s">
        <v>1724</v>
      </c>
      <c r="I383" s="6" t="s">
        <v>1725</v>
      </c>
      <c r="J383" s="6" t="s">
        <v>1726</v>
      </c>
      <c r="K383" s="5"/>
      <c r="L383" s="4" t="s">
        <v>27</v>
      </c>
      <c r="M383" s="8" t="s">
        <v>79</v>
      </c>
      <c r="N383" s="9" t="s">
        <v>1634</v>
      </c>
      <c r="O383" s="5"/>
      <c r="P383" s="5"/>
      <c r="Q383" s="6" t="s">
        <v>30</v>
      </c>
      <c r="R383" s="4" t="s">
        <v>31</v>
      </c>
      <c r="S383" s="7" t="s">
        <v>32</v>
      </c>
      <c r="T383" s="5"/>
    </row>
    <row r="384" customFormat="false" ht="29.25" hidden="false" customHeight="true" outlineLevel="0" collapsed="false">
      <c r="A384" s="4" t="n">
        <v>383</v>
      </c>
      <c r="B384" s="6" t="s">
        <v>95</v>
      </c>
      <c r="C384" s="6" t="s">
        <v>1627</v>
      </c>
      <c r="D384" s="6" t="s">
        <v>1628</v>
      </c>
      <c r="E384" s="7" t="s">
        <v>21</v>
      </c>
      <c r="F384" s="6" t="s">
        <v>1727</v>
      </c>
      <c r="G384" s="6" t="s">
        <v>1728</v>
      </c>
      <c r="H384" s="6" t="s">
        <v>1729</v>
      </c>
      <c r="I384" s="6" t="s">
        <v>1730</v>
      </c>
      <c r="J384" s="6" t="s">
        <v>78</v>
      </c>
      <c r="K384" s="5"/>
      <c r="L384" s="4" t="s">
        <v>44</v>
      </c>
      <c r="M384" s="8" t="s">
        <v>28</v>
      </c>
      <c r="N384" s="9" t="s">
        <v>1731</v>
      </c>
      <c r="O384" s="5"/>
      <c r="P384" s="5"/>
      <c r="Q384" s="6" t="s">
        <v>30</v>
      </c>
      <c r="R384" s="4" t="s">
        <v>31</v>
      </c>
      <c r="S384" s="7" t="s">
        <v>32</v>
      </c>
      <c r="T384" s="5"/>
    </row>
    <row r="385" customFormat="false" ht="29.25" hidden="false" customHeight="true" outlineLevel="0" collapsed="false">
      <c r="A385" s="4" t="n">
        <v>384</v>
      </c>
      <c r="B385" s="6" t="s">
        <v>95</v>
      </c>
      <c r="C385" s="6" t="s">
        <v>1627</v>
      </c>
      <c r="D385" s="6" t="s">
        <v>1628</v>
      </c>
      <c r="E385" s="7" t="s">
        <v>21</v>
      </c>
      <c r="F385" s="6" t="s">
        <v>1732</v>
      </c>
      <c r="G385" s="6" t="s">
        <v>1728</v>
      </c>
      <c r="H385" s="6" t="s">
        <v>1733</v>
      </c>
      <c r="I385" s="6" t="s">
        <v>1734</v>
      </c>
      <c r="J385" s="6" t="s">
        <v>150</v>
      </c>
      <c r="K385" s="5"/>
      <c r="L385" s="4" t="s">
        <v>51</v>
      </c>
      <c r="M385" s="8" t="s">
        <v>28</v>
      </c>
      <c r="N385" s="9" t="s">
        <v>1731</v>
      </c>
      <c r="O385" s="5"/>
      <c r="P385" s="5"/>
      <c r="Q385" s="6" t="s">
        <v>30</v>
      </c>
      <c r="R385" s="4" t="s">
        <v>31</v>
      </c>
      <c r="S385" s="7" t="s">
        <v>32</v>
      </c>
      <c r="T385" s="5"/>
    </row>
    <row r="386" customFormat="false" ht="29.25" hidden="false" customHeight="true" outlineLevel="0" collapsed="false">
      <c r="A386" s="4" t="n">
        <v>385</v>
      </c>
      <c r="B386" s="6" t="s">
        <v>95</v>
      </c>
      <c r="C386" s="6" t="s">
        <v>1627</v>
      </c>
      <c r="D386" s="6" t="s">
        <v>1628</v>
      </c>
      <c r="E386" s="7" t="s">
        <v>21</v>
      </c>
      <c r="F386" s="6" t="s">
        <v>1735</v>
      </c>
      <c r="G386" s="6" t="s">
        <v>1728</v>
      </c>
      <c r="H386" s="6" t="s">
        <v>1736</v>
      </c>
      <c r="I386" s="6" t="s">
        <v>1737</v>
      </c>
      <c r="J386" s="6" t="s">
        <v>78</v>
      </c>
      <c r="K386" s="5"/>
      <c r="L386" s="4" t="s">
        <v>44</v>
      </c>
      <c r="M386" s="8" t="s">
        <v>28</v>
      </c>
      <c r="N386" s="9" t="s">
        <v>1731</v>
      </c>
      <c r="O386" s="5"/>
      <c r="P386" s="5"/>
      <c r="Q386" s="6" t="s">
        <v>30</v>
      </c>
      <c r="R386" s="4" t="s">
        <v>31</v>
      </c>
      <c r="S386" s="7" t="s">
        <v>32</v>
      </c>
      <c r="T386" s="5"/>
    </row>
    <row r="387" customFormat="false" ht="29.25" hidden="false" customHeight="true" outlineLevel="0" collapsed="false">
      <c r="A387" s="4" t="n">
        <v>386</v>
      </c>
      <c r="B387" s="6" t="s">
        <v>95</v>
      </c>
      <c r="C387" s="6" t="s">
        <v>1627</v>
      </c>
      <c r="D387" s="6" t="s">
        <v>1628</v>
      </c>
      <c r="E387" s="7" t="s">
        <v>21</v>
      </c>
      <c r="F387" s="6" t="s">
        <v>1738</v>
      </c>
      <c r="G387" s="5" t="s">
        <v>1739</v>
      </c>
      <c r="H387" s="5" t="s">
        <v>1740</v>
      </c>
      <c r="I387" s="5" t="s">
        <v>1741</v>
      </c>
      <c r="J387" s="5" t="s">
        <v>1742</v>
      </c>
      <c r="K387" s="5"/>
      <c r="L387" s="4" t="s">
        <v>62</v>
      </c>
      <c r="M387" s="8" t="s">
        <v>79</v>
      </c>
      <c r="N387" s="9" t="s">
        <v>1731</v>
      </c>
      <c r="O387" s="5"/>
      <c r="P387" s="5"/>
      <c r="Q387" s="6" t="s">
        <v>30</v>
      </c>
      <c r="R387" s="4" t="s">
        <v>31</v>
      </c>
      <c r="S387" s="7" t="s">
        <v>32</v>
      </c>
      <c r="T387" s="5"/>
    </row>
    <row r="388" customFormat="false" ht="29.25" hidden="false" customHeight="true" outlineLevel="0" collapsed="false">
      <c r="A388" s="4" t="n">
        <v>387</v>
      </c>
      <c r="B388" s="6" t="s">
        <v>95</v>
      </c>
      <c r="C388" s="6" t="s">
        <v>1627</v>
      </c>
      <c r="D388" s="6" t="s">
        <v>1628</v>
      </c>
      <c r="E388" s="7" t="s">
        <v>21</v>
      </c>
      <c r="F388" s="6" t="s">
        <v>1743</v>
      </c>
      <c r="G388" s="6" t="s">
        <v>1744</v>
      </c>
      <c r="H388" s="6" t="s">
        <v>1745</v>
      </c>
      <c r="I388" s="6" t="s">
        <v>1746</v>
      </c>
      <c r="J388" s="6" t="s">
        <v>150</v>
      </c>
      <c r="K388" s="5"/>
      <c r="L388" s="4" t="s">
        <v>62</v>
      </c>
      <c r="M388" s="8" t="s">
        <v>28</v>
      </c>
      <c r="N388" s="9" t="s">
        <v>1634</v>
      </c>
      <c r="O388" s="5"/>
      <c r="P388" s="5"/>
      <c r="Q388" s="6" t="s">
        <v>30</v>
      </c>
      <c r="R388" s="4" t="s">
        <v>31</v>
      </c>
      <c r="S388" s="7" t="s">
        <v>32</v>
      </c>
      <c r="T388" s="5"/>
    </row>
    <row r="389" customFormat="false" ht="15" hidden="false" customHeight="true" outlineLevel="0" collapsed="false">
      <c r="A389" s="4" t="n">
        <v>388</v>
      </c>
      <c r="B389" s="6" t="s">
        <v>95</v>
      </c>
      <c r="C389" s="6" t="s">
        <v>1627</v>
      </c>
      <c r="D389" s="6" t="s">
        <v>1628</v>
      </c>
      <c r="E389" s="7" t="s">
        <v>21</v>
      </c>
      <c r="F389" s="6" t="s">
        <v>1747</v>
      </c>
      <c r="G389" s="6" t="s">
        <v>1748</v>
      </c>
      <c r="H389" s="6" t="s">
        <v>1749</v>
      </c>
      <c r="I389" s="6" t="s">
        <v>1750</v>
      </c>
      <c r="J389" s="6" t="s">
        <v>78</v>
      </c>
      <c r="K389" s="5"/>
      <c r="L389" s="4" t="s">
        <v>44</v>
      </c>
      <c r="M389" s="8" t="s">
        <v>129</v>
      </c>
      <c r="N389" s="9" t="s">
        <v>1634</v>
      </c>
      <c r="O389" s="5"/>
      <c r="P389" s="5"/>
      <c r="Q389" s="6" t="s">
        <v>30</v>
      </c>
      <c r="R389" s="4" t="s">
        <v>31</v>
      </c>
      <c r="S389" s="7" t="s">
        <v>32</v>
      </c>
      <c r="T389" s="5"/>
    </row>
    <row r="390" customFormat="false" ht="29.25" hidden="false" customHeight="true" outlineLevel="0" collapsed="false">
      <c r="A390" s="4" t="n">
        <v>389</v>
      </c>
      <c r="B390" s="6" t="s">
        <v>95</v>
      </c>
      <c r="C390" s="6" t="s">
        <v>1627</v>
      </c>
      <c r="D390" s="6" t="s">
        <v>1628</v>
      </c>
      <c r="E390" s="7" t="s">
        <v>21</v>
      </c>
      <c r="F390" s="6" t="s">
        <v>1751</v>
      </c>
      <c r="G390" s="6" t="s">
        <v>1752</v>
      </c>
      <c r="H390" s="6" t="s">
        <v>1753</v>
      </c>
      <c r="I390" s="6" t="s">
        <v>1754</v>
      </c>
      <c r="J390" s="6" t="s">
        <v>1755</v>
      </c>
      <c r="K390" s="5"/>
      <c r="L390" s="4" t="s">
        <v>51</v>
      </c>
      <c r="M390" s="8" t="s">
        <v>79</v>
      </c>
      <c r="N390" s="9" t="s">
        <v>1731</v>
      </c>
      <c r="O390" s="5"/>
      <c r="P390" s="5"/>
      <c r="Q390" s="6" t="s">
        <v>30</v>
      </c>
      <c r="R390" s="4" t="s">
        <v>31</v>
      </c>
      <c r="S390" s="7" t="s">
        <v>32</v>
      </c>
      <c r="T390" s="5"/>
    </row>
    <row r="391" customFormat="false" ht="43.5" hidden="false" customHeight="true" outlineLevel="0" collapsed="false">
      <c r="A391" s="4" t="n">
        <v>390</v>
      </c>
      <c r="B391" s="6" t="s">
        <v>95</v>
      </c>
      <c r="C391" s="6" t="s">
        <v>1627</v>
      </c>
      <c r="D391" s="6" t="s">
        <v>1628</v>
      </c>
      <c r="E391" s="7" t="s">
        <v>21</v>
      </c>
      <c r="F391" s="6" t="s">
        <v>1756</v>
      </c>
      <c r="G391" s="6" t="s">
        <v>1757</v>
      </c>
      <c r="H391" s="6" t="s">
        <v>1758</v>
      </c>
      <c r="I391" s="6" t="s">
        <v>1759</v>
      </c>
      <c r="J391" s="6" t="s">
        <v>1760</v>
      </c>
      <c r="K391" s="5"/>
      <c r="L391" s="4" t="s">
        <v>27</v>
      </c>
      <c r="M391" s="8" t="s">
        <v>28</v>
      </c>
      <c r="N391" s="9" t="s">
        <v>1731</v>
      </c>
      <c r="O391" s="5"/>
      <c r="P391" s="5"/>
      <c r="Q391" s="6" t="s">
        <v>30</v>
      </c>
      <c r="R391" s="4" t="s">
        <v>31</v>
      </c>
      <c r="S391" s="7" t="s">
        <v>32</v>
      </c>
      <c r="T391" s="5"/>
    </row>
    <row r="392" customFormat="false" ht="29.25" hidden="false" customHeight="true" outlineLevel="0" collapsed="false">
      <c r="A392" s="4" t="n">
        <v>391</v>
      </c>
      <c r="B392" s="6" t="s">
        <v>95</v>
      </c>
      <c r="C392" s="6" t="s">
        <v>1627</v>
      </c>
      <c r="D392" s="6" t="s">
        <v>1628</v>
      </c>
      <c r="E392" s="7" t="s">
        <v>21</v>
      </c>
      <c r="F392" s="6" t="s">
        <v>1761</v>
      </c>
      <c r="G392" s="5" t="s">
        <v>1762</v>
      </c>
      <c r="H392" s="5" t="s">
        <v>1763</v>
      </c>
      <c r="I392" s="5" t="s">
        <v>1397</v>
      </c>
      <c r="J392" s="5" t="s">
        <v>1328</v>
      </c>
      <c r="K392" s="5"/>
      <c r="L392" s="4" t="s">
        <v>44</v>
      </c>
      <c r="M392" s="8" t="s">
        <v>79</v>
      </c>
      <c r="N392" s="9" t="s">
        <v>1634</v>
      </c>
      <c r="O392" s="5"/>
      <c r="P392" s="5"/>
      <c r="Q392" s="6" t="s">
        <v>30</v>
      </c>
      <c r="R392" s="4" t="s">
        <v>31</v>
      </c>
      <c r="S392" s="7" t="s">
        <v>32</v>
      </c>
      <c r="T392" s="5"/>
    </row>
    <row r="393" customFormat="false" ht="15" hidden="false" customHeight="true" outlineLevel="0" collapsed="false">
      <c r="A393" s="4" t="n">
        <v>392</v>
      </c>
      <c r="B393" s="6" t="s">
        <v>95</v>
      </c>
      <c r="C393" s="6" t="s">
        <v>1627</v>
      </c>
      <c r="D393" s="6" t="s">
        <v>1628</v>
      </c>
      <c r="E393" s="7" t="s">
        <v>21</v>
      </c>
      <c r="F393" s="6" t="s">
        <v>1764</v>
      </c>
      <c r="G393" s="6" t="s">
        <v>1765</v>
      </c>
      <c r="H393" s="6" t="s">
        <v>1766</v>
      </c>
      <c r="I393" s="6" t="s">
        <v>1767</v>
      </c>
      <c r="J393" s="6" t="s">
        <v>1768</v>
      </c>
      <c r="K393" s="5"/>
      <c r="L393" s="4" t="s">
        <v>62</v>
      </c>
      <c r="M393" s="8" t="s">
        <v>129</v>
      </c>
      <c r="N393" s="9" t="s">
        <v>1634</v>
      </c>
      <c r="O393" s="5"/>
      <c r="P393" s="5"/>
      <c r="Q393" s="6" t="s">
        <v>30</v>
      </c>
      <c r="R393" s="4" t="s">
        <v>31</v>
      </c>
      <c r="S393" s="7" t="s">
        <v>32</v>
      </c>
      <c r="T393" s="5"/>
    </row>
    <row r="394" customFormat="false" ht="29.25" hidden="false" customHeight="true" outlineLevel="0" collapsed="false">
      <c r="A394" s="4" t="n">
        <v>393</v>
      </c>
      <c r="B394" s="6" t="s">
        <v>95</v>
      </c>
      <c r="C394" s="6" t="s">
        <v>1627</v>
      </c>
      <c r="D394" s="6" t="s">
        <v>1628</v>
      </c>
      <c r="E394" s="7" t="s">
        <v>21</v>
      </c>
      <c r="F394" s="6" t="s">
        <v>1769</v>
      </c>
      <c r="G394" s="6" t="s">
        <v>1770</v>
      </c>
      <c r="H394" s="6" t="s">
        <v>1771</v>
      </c>
      <c r="I394" s="6" t="s">
        <v>1772</v>
      </c>
      <c r="J394" s="6" t="s">
        <v>1773</v>
      </c>
      <c r="K394" s="5"/>
      <c r="L394" s="4" t="s">
        <v>27</v>
      </c>
      <c r="M394" s="8" t="s">
        <v>28</v>
      </c>
      <c r="N394" s="9" t="s">
        <v>1634</v>
      </c>
      <c r="O394" s="5"/>
      <c r="P394" s="5"/>
      <c r="Q394" s="6" t="s">
        <v>30</v>
      </c>
      <c r="R394" s="4" t="s">
        <v>31</v>
      </c>
      <c r="S394" s="7" t="s">
        <v>32</v>
      </c>
      <c r="T394" s="5"/>
    </row>
    <row r="395" customFormat="false" ht="15" hidden="false" customHeight="true" outlineLevel="0" collapsed="false">
      <c r="A395" s="4" t="n">
        <v>394</v>
      </c>
      <c r="B395" s="6" t="s">
        <v>95</v>
      </c>
      <c r="C395" s="6" t="s">
        <v>1627</v>
      </c>
      <c r="D395" s="6" t="s">
        <v>1628</v>
      </c>
      <c r="E395" s="7" t="s">
        <v>21</v>
      </c>
      <c r="F395" s="6" t="s">
        <v>1774</v>
      </c>
      <c r="G395" s="6" t="s">
        <v>1775</v>
      </c>
      <c r="H395" s="6" t="s">
        <v>1776</v>
      </c>
      <c r="I395" s="6" t="s">
        <v>1777</v>
      </c>
      <c r="J395" s="6" t="s">
        <v>1778</v>
      </c>
      <c r="K395" s="5"/>
      <c r="L395" s="4" t="s">
        <v>62</v>
      </c>
      <c r="M395" s="8" t="s">
        <v>129</v>
      </c>
      <c r="N395" s="9" t="s">
        <v>1634</v>
      </c>
      <c r="O395" s="5"/>
      <c r="P395" s="5"/>
      <c r="Q395" s="6" t="s">
        <v>30</v>
      </c>
      <c r="R395" s="4" t="s">
        <v>31</v>
      </c>
      <c r="S395" s="7" t="s">
        <v>32</v>
      </c>
      <c r="T395" s="5"/>
    </row>
    <row r="396" customFormat="false" ht="15" hidden="false" customHeight="true" outlineLevel="0" collapsed="false">
      <c r="A396" s="4" t="n">
        <v>395</v>
      </c>
      <c r="B396" s="6" t="s">
        <v>95</v>
      </c>
      <c r="C396" s="6" t="s">
        <v>1627</v>
      </c>
      <c r="D396" s="6" t="s">
        <v>1628</v>
      </c>
      <c r="E396" s="7" t="s">
        <v>21</v>
      </c>
      <c r="F396" s="6" t="s">
        <v>1779</v>
      </c>
      <c r="G396" s="6" t="s">
        <v>1780</v>
      </c>
      <c r="H396" s="6" t="s">
        <v>1781</v>
      </c>
      <c r="I396" s="6" t="s">
        <v>1782</v>
      </c>
      <c r="J396" s="6" t="s">
        <v>1783</v>
      </c>
      <c r="K396" s="5"/>
      <c r="L396" s="4" t="s">
        <v>44</v>
      </c>
      <c r="M396" s="8" t="s">
        <v>79</v>
      </c>
      <c r="N396" s="9" t="s">
        <v>1634</v>
      </c>
      <c r="O396" s="5"/>
      <c r="P396" s="5"/>
      <c r="Q396" s="6" t="s">
        <v>30</v>
      </c>
      <c r="R396" s="4" t="s">
        <v>31</v>
      </c>
      <c r="S396" s="7" t="s">
        <v>32</v>
      </c>
      <c r="T396" s="5"/>
    </row>
    <row r="397" customFormat="false" ht="15" hidden="false" customHeight="true" outlineLevel="0" collapsed="false">
      <c r="A397" s="4" t="n">
        <v>396</v>
      </c>
      <c r="B397" s="6" t="s">
        <v>95</v>
      </c>
      <c r="C397" s="6" t="s">
        <v>1627</v>
      </c>
      <c r="D397" s="6" t="s">
        <v>1628</v>
      </c>
      <c r="E397" s="7" t="s">
        <v>21</v>
      </c>
      <c r="F397" s="6" t="s">
        <v>1784</v>
      </c>
      <c r="G397" s="6" t="s">
        <v>1785</v>
      </c>
      <c r="H397" s="6" t="s">
        <v>1778</v>
      </c>
      <c r="I397" s="6" t="s">
        <v>1786</v>
      </c>
      <c r="J397" s="6" t="s">
        <v>1775</v>
      </c>
      <c r="K397" s="5"/>
      <c r="L397" s="4" t="s">
        <v>51</v>
      </c>
      <c r="M397" s="8" t="s">
        <v>129</v>
      </c>
      <c r="N397" s="9" t="s">
        <v>1634</v>
      </c>
      <c r="O397" s="5"/>
      <c r="P397" s="5"/>
      <c r="Q397" s="6" t="s">
        <v>30</v>
      </c>
      <c r="R397" s="4" t="s">
        <v>31</v>
      </c>
      <c r="S397" s="7" t="s">
        <v>32</v>
      </c>
      <c r="T397" s="5"/>
    </row>
    <row r="398" customFormat="false" ht="29.25" hidden="false" customHeight="true" outlineLevel="0" collapsed="false">
      <c r="A398" s="4" t="n">
        <v>397</v>
      </c>
      <c r="B398" s="6" t="s">
        <v>1787</v>
      </c>
      <c r="C398" s="6" t="s">
        <v>1788</v>
      </c>
      <c r="D398" s="6" t="s">
        <v>1789</v>
      </c>
      <c r="E398" s="7" t="s">
        <v>21</v>
      </c>
      <c r="F398" s="6" t="s">
        <v>1790</v>
      </c>
      <c r="G398" s="5" t="s">
        <v>1791</v>
      </c>
      <c r="H398" s="5" t="s">
        <v>1792</v>
      </c>
      <c r="I398" s="5" t="s">
        <v>1793</v>
      </c>
      <c r="J398" s="5" t="s">
        <v>1794</v>
      </c>
      <c r="K398" s="5"/>
      <c r="L398" s="4" t="s">
        <v>44</v>
      </c>
      <c r="M398" s="8" t="s">
        <v>129</v>
      </c>
      <c r="N398" s="9" t="s">
        <v>1795</v>
      </c>
      <c r="O398" s="5"/>
      <c r="P398" s="5"/>
      <c r="Q398" s="6" t="s">
        <v>30</v>
      </c>
      <c r="R398" s="4" t="s">
        <v>31</v>
      </c>
      <c r="S398" s="7" t="s">
        <v>32</v>
      </c>
      <c r="T398" s="5"/>
    </row>
    <row r="399" customFormat="false" ht="29.25" hidden="false" customHeight="true" outlineLevel="0" collapsed="false">
      <c r="A399" s="4" t="n">
        <v>398</v>
      </c>
      <c r="B399" s="6" t="s">
        <v>1787</v>
      </c>
      <c r="C399" s="6" t="s">
        <v>1788</v>
      </c>
      <c r="D399" s="6" t="s">
        <v>1789</v>
      </c>
      <c r="E399" s="7" t="s">
        <v>21</v>
      </c>
      <c r="F399" s="6" t="s">
        <v>1796</v>
      </c>
      <c r="G399" s="6" t="s">
        <v>1797</v>
      </c>
      <c r="H399" s="6" t="s">
        <v>1798</v>
      </c>
      <c r="I399" s="6" t="s">
        <v>1799</v>
      </c>
      <c r="J399" s="6" t="s">
        <v>78</v>
      </c>
      <c r="K399" s="5"/>
      <c r="L399" s="4" t="s">
        <v>44</v>
      </c>
      <c r="M399" s="8" t="s">
        <v>79</v>
      </c>
      <c r="N399" s="9" t="s">
        <v>1795</v>
      </c>
      <c r="O399" s="5"/>
      <c r="P399" s="5"/>
      <c r="Q399" s="6" t="s">
        <v>30</v>
      </c>
      <c r="R399" s="4" t="s">
        <v>31</v>
      </c>
      <c r="S399" s="7" t="s">
        <v>32</v>
      </c>
      <c r="T399" s="5"/>
    </row>
    <row r="400" customFormat="false" ht="29.25" hidden="false" customHeight="true" outlineLevel="0" collapsed="false">
      <c r="A400" s="4" t="n">
        <v>399</v>
      </c>
      <c r="B400" s="6" t="s">
        <v>1787</v>
      </c>
      <c r="C400" s="6" t="s">
        <v>1788</v>
      </c>
      <c r="D400" s="6" t="s">
        <v>1789</v>
      </c>
      <c r="E400" s="7" t="s">
        <v>21</v>
      </c>
      <c r="F400" s="6" t="s">
        <v>1800</v>
      </c>
      <c r="G400" s="6" t="s">
        <v>1801</v>
      </c>
      <c r="H400" s="6" t="s">
        <v>1802</v>
      </c>
      <c r="I400" s="6" t="s">
        <v>1803</v>
      </c>
      <c r="J400" s="6" t="s">
        <v>1804</v>
      </c>
      <c r="K400" s="5"/>
      <c r="L400" s="4" t="s">
        <v>62</v>
      </c>
      <c r="M400" s="8" t="s">
        <v>79</v>
      </c>
      <c r="N400" s="9" t="s">
        <v>1795</v>
      </c>
      <c r="O400" s="5"/>
      <c r="P400" s="5"/>
      <c r="Q400" s="6" t="s">
        <v>30</v>
      </c>
      <c r="R400" s="4" t="s">
        <v>31</v>
      </c>
      <c r="S400" s="7" t="s">
        <v>32</v>
      </c>
      <c r="T400" s="5"/>
    </row>
    <row r="401" customFormat="false" ht="29.25" hidden="false" customHeight="true" outlineLevel="0" collapsed="false">
      <c r="A401" s="4" t="n">
        <v>400</v>
      </c>
      <c r="B401" s="6" t="s">
        <v>1787</v>
      </c>
      <c r="C401" s="6" t="s">
        <v>1788</v>
      </c>
      <c r="D401" s="6" t="s">
        <v>1789</v>
      </c>
      <c r="E401" s="7" t="s">
        <v>21</v>
      </c>
      <c r="F401" s="6" t="s">
        <v>1805</v>
      </c>
      <c r="G401" s="6" t="s">
        <v>1806</v>
      </c>
      <c r="H401" s="6" t="s">
        <v>1807</v>
      </c>
      <c r="I401" s="6" t="s">
        <v>1808</v>
      </c>
      <c r="J401" s="6" t="s">
        <v>1809</v>
      </c>
      <c r="K401" s="5"/>
      <c r="L401" s="4" t="s">
        <v>51</v>
      </c>
      <c r="M401" s="8" t="s">
        <v>129</v>
      </c>
      <c r="N401" s="9" t="s">
        <v>1795</v>
      </c>
      <c r="O401" s="5"/>
      <c r="P401" s="5"/>
      <c r="Q401" s="6" t="s">
        <v>30</v>
      </c>
      <c r="R401" s="4" t="s">
        <v>31</v>
      </c>
      <c r="S401" s="7" t="s">
        <v>32</v>
      </c>
      <c r="T401" s="5"/>
    </row>
    <row r="402" customFormat="false" ht="29.25" hidden="false" customHeight="true" outlineLevel="0" collapsed="false">
      <c r="A402" s="4" t="n">
        <v>401</v>
      </c>
      <c r="B402" s="6" t="s">
        <v>1787</v>
      </c>
      <c r="C402" s="6" t="s">
        <v>1788</v>
      </c>
      <c r="D402" s="6" t="s">
        <v>1789</v>
      </c>
      <c r="E402" s="7" t="s">
        <v>21</v>
      </c>
      <c r="F402" s="6" t="s">
        <v>1810</v>
      </c>
      <c r="G402" s="6" t="s">
        <v>1801</v>
      </c>
      <c r="H402" s="6" t="s">
        <v>1802</v>
      </c>
      <c r="I402" s="6" t="s">
        <v>1803</v>
      </c>
      <c r="J402" s="6" t="s">
        <v>1804</v>
      </c>
      <c r="K402" s="5"/>
      <c r="L402" s="4" t="s">
        <v>51</v>
      </c>
      <c r="M402" s="8" t="s">
        <v>129</v>
      </c>
      <c r="N402" s="9" t="s">
        <v>1795</v>
      </c>
      <c r="O402" s="5"/>
      <c r="P402" s="5"/>
      <c r="Q402" s="6" t="s">
        <v>30</v>
      </c>
      <c r="R402" s="4" t="s">
        <v>31</v>
      </c>
      <c r="S402" s="7" t="s">
        <v>32</v>
      </c>
      <c r="T402" s="5"/>
    </row>
    <row r="403" customFormat="false" ht="29.25" hidden="false" customHeight="true" outlineLevel="0" collapsed="false">
      <c r="A403" s="4" t="n">
        <v>402</v>
      </c>
      <c r="B403" s="6" t="s">
        <v>1787</v>
      </c>
      <c r="C403" s="6" t="s">
        <v>1788</v>
      </c>
      <c r="D403" s="6" t="s">
        <v>1789</v>
      </c>
      <c r="E403" s="7" t="s">
        <v>21</v>
      </c>
      <c r="F403" s="6" t="s">
        <v>1811</v>
      </c>
      <c r="G403" s="6" t="s">
        <v>1801</v>
      </c>
      <c r="H403" s="6" t="s">
        <v>1802</v>
      </c>
      <c r="I403" s="6" t="s">
        <v>1803</v>
      </c>
      <c r="J403" s="6" t="s">
        <v>1804</v>
      </c>
      <c r="K403" s="5"/>
      <c r="L403" s="4" t="s">
        <v>51</v>
      </c>
      <c r="M403" s="8" t="s">
        <v>129</v>
      </c>
      <c r="N403" s="9" t="s">
        <v>1795</v>
      </c>
      <c r="O403" s="5"/>
      <c r="P403" s="5"/>
      <c r="Q403" s="6" t="s">
        <v>30</v>
      </c>
      <c r="R403" s="4" t="s">
        <v>31</v>
      </c>
      <c r="S403" s="7" t="s">
        <v>32</v>
      </c>
      <c r="T403" s="5"/>
    </row>
    <row r="404" customFormat="false" ht="29.25" hidden="false" customHeight="true" outlineLevel="0" collapsed="false">
      <c r="A404" s="4" t="n">
        <v>403</v>
      </c>
      <c r="B404" s="6" t="s">
        <v>1787</v>
      </c>
      <c r="C404" s="6" t="s">
        <v>1788</v>
      </c>
      <c r="D404" s="6" t="s">
        <v>1789</v>
      </c>
      <c r="E404" s="7" t="s">
        <v>21</v>
      </c>
      <c r="F404" s="6" t="s">
        <v>1812</v>
      </c>
      <c r="G404" s="6" t="s">
        <v>1801</v>
      </c>
      <c r="H404" s="6" t="s">
        <v>1802</v>
      </c>
      <c r="I404" s="6" t="s">
        <v>1803</v>
      </c>
      <c r="J404" s="6" t="s">
        <v>1804</v>
      </c>
      <c r="K404" s="5"/>
      <c r="L404" s="4" t="s">
        <v>51</v>
      </c>
      <c r="M404" s="8" t="s">
        <v>129</v>
      </c>
      <c r="N404" s="9" t="s">
        <v>1795</v>
      </c>
      <c r="O404" s="5"/>
      <c r="P404" s="5"/>
      <c r="Q404" s="6" t="s">
        <v>30</v>
      </c>
      <c r="R404" s="4" t="s">
        <v>31</v>
      </c>
      <c r="S404" s="7" t="s">
        <v>32</v>
      </c>
      <c r="T404" s="5"/>
    </row>
    <row r="405" customFormat="false" ht="29.25" hidden="false" customHeight="true" outlineLevel="0" collapsed="false">
      <c r="A405" s="4" t="n">
        <v>404</v>
      </c>
      <c r="B405" s="6" t="s">
        <v>1787</v>
      </c>
      <c r="C405" s="6" t="s">
        <v>1788</v>
      </c>
      <c r="D405" s="6" t="s">
        <v>1789</v>
      </c>
      <c r="E405" s="7" t="s">
        <v>21</v>
      </c>
      <c r="F405" s="6" t="s">
        <v>1813</v>
      </c>
      <c r="G405" s="6" t="s">
        <v>1801</v>
      </c>
      <c r="H405" s="6" t="s">
        <v>1802</v>
      </c>
      <c r="I405" s="6" t="s">
        <v>1803</v>
      </c>
      <c r="J405" s="6" t="s">
        <v>1804</v>
      </c>
      <c r="K405" s="5"/>
      <c r="L405" s="4" t="s">
        <v>51</v>
      </c>
      <c r="M405" s="8" t="s">
        <v>129</v>
      </c>
      <c r="N405" s="9" t="s">
        <v>1795</v>
      </c>
      <c r="O405" s="5"/>
      <c r="P405" s="5"/>
      <c r="Q405" s="6" t="s">
        <v>30</v>
      </c>
      <c r="R405" s="4" t="s">
        <v>31</v>
      </c>
      <c r="S405" s="7" t="s">
        <v>32</v>
      </c>
      <c r="T405" s="5"/>
    </row>
    <row r="406" customFormat="false" ht="29.25" hidden="false" customHeight="true" outlineLevel="0" collapsed="false">
      <c r="A406" s="4" t="n">
        <v>405</v>
      </c>
      <c r="B406" s="6" t="s">
        <v>1787</v>
      </c>
      <c r="C406" s="6" t="s">
        <v>1788</v>
      </c>
      <c r="D406" s="6" t="s">
        <v>1789</v>
      </c>
      <c r="E406" s="7" t="s">
        <v>21</v>
      </c>
      <c r="F406" s="6" t="s">
        <v>1814</v>
      </c>
      <c r="G406" s="6" t="s">
        <v>1801</v>
      </c>
      <c r="H406" s="6" t="s">
        <v>1802</v>
      </c>
      <c r="I406" s="6" t="s">
        <v>1803</v>
      </c>
      <c r="J406" s="6" t="s">
        <v>1804</v>
      </c>
      <c r="K406" s="5"/>
      <c r="L406" s="4" t="s">
        <v>51</v>
      </c>
      <c r="M406" s="8" t="s">
        <v>79</v>
      </c>
      <c r="N406" s="9" t="s">
        <v>1795</v>
      </c>
      <c r="O406" s="5"/>
      <c r="P406" s="5"/>
      <c r="Q406" s="6" t="s">
        <v>30</v>
      </c>
      <c r="R406" s="4" t="s">
        <v>31</v>
      </c>
      <c r="S406" s="7" t="s">
        <v>32</v>
      </c>
      <c r="T406" s="5"/>
    </row>
    <row r="407" customFormat="false" ht="29.25" hidden="false" customHeight="true" outlineLevel="0" collapsed="false">
      <c r="A407" s="4" t="n">
        <v>406</v>
      </c>
      <c r="B407" s="6" t="s">
        <v>1787</v>
      </c>
      <c r="C407" s="6" t="s">
        <v>1788</v>
      </c>
      <c r="D407" s="6" t="s">
        <v>1789</v>
      </c>
      <c r="E407" s="7" t="s">
        <v>21</v>
      </c>
      <c r="F407" s="6" t="s">
        <v>1815</v>
      </c>
      <c r="G407" s="6" t="s">
        <v>1816</v>
      </c>
      <c r="H407" s="6" t="s">
        <v>1817</v>
      </c>
      <c r="I407" s="6" t="s">
        <v>1818</v>
      </c>
      <c r="J407" s="6" t="s">
        <v>1819</v>
      </c>
      <c r="K407" s="5"/>
      <c r="L407" s="4" t="s">
        <v>51</v>
      </c>
      <c r="M407" s="8" t="s">
        <v>79</v>
      </c>
      <c r="N407" s="9" t="s">
        <v>1795</v>
      </c>
      <c r="O407" s="5"/>
      <c r="P407" s="5"/>
      <c r="Q407" s="6" t="s">
        <v>30</v>
      </c>
      <c r="R407" s="4" t="s">
        <v>31</v>
      </c>
      <c r="S407" s="7" t="s">
        <v>32</v>
      </c>
      <c r="T407" s="5"/>
    </row>
    <row r="408" customFormat="false" ht="29.25" hidden="false" customHeight="true" outlineLevel="0" collapsed="false">
      <c r="A408" s="4" t="n">
        <v>407</v>
      </c>
      <c r="B408" s="6" t="s">
        <v>1787</v>
      </c>
      <c r="C408" s="6" t="s">
        <v>1788</v>
      </c>
      <c r="D408" s="6" t="s">
        <v>1789</v>
      </c>
      <c r="E408" s="7" t="s">
        <v>21</v>
      </c>
      <c r="F408" s="6" t="s">
        <v>1820</v>
      </c>
      <c r="G408" s="6" t="s">
        <v>1821</v>
      </c>
      <c r="H408" s="6" t="s">
        <v>1817</v>
      </c>
      <c r="I408" s="6" t="s">
        <v>1816</v>
      </c>
      <c r="J408" s="6" t="s">
        <v>1819</v>
      </c>
      <c r="K408" s="5"/>
      <c r="L408" s="4" t="s">
        <v>62</v>
      </c>
      <c r="M408" s="8" t="s">
        <v>79</v>
      </c>
      <c r="N408" s="9" t="s">
        <v>1795</v>
      </c>
      <c r="O408" s="5"/>
      <c r="P408" s="5"/>
      <c r="Q408" s="6" t="s">
        <v>30</v>
      </c>
      <c r="R408" s="4" t="s">
        <v>31</v>
      </c>
      <c r="S408" s="7" t="s">
        <v>32</v>
      </c>
      <c r="T408" s="5"/>
    </row>
    <row r="409" customFormat="false" ht="29.25" hidden="false" customHeight="true" outlineLevel="0" collapsed="false">
      <c r="A409" s="4" t="n">
        <v>408</v>
      </c>
      <c r="B409" s="6" t="s">
        <v>1787</v>
      </c>
      <c r="C409" s="6" t="s">
        <v>1788</v>
      </c>
      <c r="D409" s="6" t="s">
        <v>1789</v>
      </c>
      <c r="E409" s="7" t="s">
        <v>21</v>
      </c>
      <c r="F409" s="6" t="s">
        <v>1822</v>
      </c>
      <c r="G409" s="6" t="s">
        <v>1819</v>
      </c>
      <c r="H409" s="6" t="s">
        <v>1818</v>
      </c>
      <c r="I409" s="6" t="s">
        <v>1823</v>
      </c>
      <c r="J409" s="6" t="s">
        <v>1824</v>
      </c>
      <c r="K409" s="5"/>
      <c r="L409" s="4" t="s">
        <v>27</v>
      </c>
      <c r="M409" s="8" t="s">
        <v>79</v>
      </c>
      <c r="N409" s="9" t="s">
        <v>1795</v>
      </c>
      <c r="O409" s="5"/>
      <c r="P409" s="5"/>
      <c r="Q409" s="6" t="s">
        <v>30</v>
      </c>
      <c r="R409" s="4" t="s">
        <v>31</v>
      </c>
      <c r="S409" s="7" t="s">
        <v>32</v>
      </c>
      <c r="T409" s="5"/>
    </row>
    <row r="410" customFormat="false" ht="29.25" hidden="false" customHeight="true" outlineLevel="0" collapsed="false">
      <c r="A410" s="4" t="n">
        <v>409</v>
      </c>
      <c r="B410" s="6" t="s">
        <v>1787</v>
      </c>
      <c r="C410" s="6" t="s">
        <v>1788</v>
      </c>
      <c r="D410" s="6" t="s">
        <v>1789</v>
      </c>
      <c r="E410" s="7" t="s">
        <v>21</v>
      </c>
      <c r="F410" s="6" t="s">
        <v>1825</v>
      </c>
      <c r="G410" s="6" t="s">
        <v>1826</v>
      </c>
      <c r="H410" s="6" t="s">
        <v>1818</v>
      </c>
      <c r="I410" s="6" t="s">
        <v>1824</v>
      </c>
      <c r="J410" s="6" t="s">
        <v>1819</v>
      </c>
      <c r="K410" s="5"/>
      <c r="L410" s="4" t="s">
        <v>51</v>
      </c>
      <c r="M410" s="8" t="s">
        <v>79</v>
      </c>
      <c r="N410" s="9" t="s">
        <v>1795</v>
      </c>
      <c r="O410" s="5"/>
      <c r="P410" s="5"/>
      <c r="Q410" s="6" t="s">
        <v>30</v>
      </c>
      <c r="R410" s="4" t="s">
        <v>31</v>
      </c>
      <c r="S410" s="7" t="s">
        <v>32</v>
      </c>
      <c r="T410" s="5"/>
    </row>
    <row r="411" customFormat="false" ht="29.25" hidden="false" customHeight="true" outlineLevel="0" collapsed="false">
      <c r="A411" s="4" t="n">
        <v>410</v>
      </c>
      <c r="B411" s="6" t="s">
        <v>1787</v>
      </c>
      <c r="C411" s="6" t="s">
        <v>1788</v>
      </c>
      <c r="D411" s="6" t="s">
        <v>1789</v>
      </c>
      <c r="E411" s="7" t="s">
        <v>21</v>
      </c>
      <c r="F411" s="6" t="s">
        <v>1827</v>
      </c>
      <c r="G411" s="6" t="s">
        <v>1819</v>
      </c>
      <c r="H411" s="6" t="s">
        <v>1818</v>
      </c>
      <c r="I411" s="6" t="s">
        <v>1824</v>
      </c>
      <c r="J411" s="6" t="s">
        <v>1826</v>
      </c>
      <c r="K411" s="5"/>
      <c r="L411" s="4" t="s">
        <v>62</v>
      </c>
      <c r="M411" s="8" t="s">
        <v>79</v>
      </c>
      <c r="N411" s="9" t="s">
        <v>1828</v>
      </c>
      <c r="O411" s="5"/>
      <c r="P411" s="5"/>
      <c r="Q411" s="6" t="s">
        <v>30</v>
      </c>
      <c r="R411" s="4" t="s">
        <v>31</v>
      </c>
      <c r="S411" s="7" t="s">
        <v>32</v>
      </c>
      <c r="T411" s="5"/>
    </row>
    <row r="412" customFormat="false" ht="29.25" hidden="false" customHeight="true" outlineLevel="0" collapsed="false">
      <c r="A412" s="4" t="n">
        <v>411</v>
      </c>
      <c r="B412" s="6" t="s">
        <v>1787</v>
      </c>
      <c r="C412" s="6" t="s">
        <v>1788</v>
      </c>
      <c r="D412" s="6" t="s">
        <v>1789</v>
      </c>
      <c r="E412" s="7" t="s">
        <v>21</v>
      </c>
      <c r="F412" s="6" t="s">
        <v>1829</v>
      </c>
      <c r="G412" s="6" t="s">
        <v>1830</v>
      </c>
      <c r="H412" s="6" t="s">
        <v>1818</v>
      </c>
      <c r="I412" s="6" t="s">
        <v>1826</v>
      </c>
      <c r="J412" s="6" t="s">
        <v>1819</v>
      </c>
      <c r="K412" s="5"/>
      <c r="L412" s="4" t="s">
        <v>44</v>
      </c>
      <c r="M412" s="8" t="s">
        <v>79</v>
      </c>
      <c r="N412" s="9" t="s">
        <v>1831</v>
      </c>
      <c r="O412" s="5"/>
      <c r="P412" s="5"/>
      <c r="Q412" s="6" t="s">
        <v>30</v>
      </c>
      <c r="R412" s="4" t="s">
        <v>31</v>
      </c>
      <c r="S412" s="7" t="s">
        <v>32</v>
      </c>
      <c r="T412" s="5"/>
    </row>
    <row r="413" customFormat="false" ht="29.25" hidden="false" customHeight="true" outlineLevel="0" collapsed="false">
      <c r="A413" s="4" t="n">
        <v>412</v>
      </c>
      <c r="B413" s="6" t="s">
        <v>1787</v>
      </c>
      <c r="C413" s="6" t="s">
        <v>1788</v>
      </c>
      <c r="D413" s="6" t="s">
        <v>1789</v>
      </c>
      <c r="E413" s="7" t="s">
        <v>21</v>
      </c>
      <c r="F413" s="6" t="s">
        <v>1832</v>
      </c>
      <c r="G413" s="6" t="s">
        <v>1817</v>
      </c>
      <c r="H413" s="6" t="s">
        <v>1818</v>
      </c>
      <c r="I413" s="6" t="s">
        <v>1821</v>
      </c>
      <c r="J413" s="6" t="s">
        <v>1826</v>
      </c>
      <c r="K413" s="5"/>
      <c r="L413" s="4" t="s">
        <v>27</v>
      </c>
      <c r="M413" s="8" t="s">
        <v>79</v>
      </c>
      <c r="N413" s="9" t="s">
        <v>1795</v>
      </c>
      <c r="O413" s="5"/>
      <c r="P413" s="5"/>
      <c r="Q413" s="6" t="s">
        <v>30</v>
      </c>
      <c r="R413" s="4" t="s">
        <v>31</v>
      </c>
      <c r="S413" s="7" t="s">
        <v>32</v>
      </c>
      <c r="T413" s="5"/>
    </row>
    <row r="414" customFormat="false" ht="29.25" hidden="false" customHeight="true" outlineLevel="0" collapsed="false">
      <c r="A414" s="4" t="n">
        <v>413</v>
      </c>
      <c r="B414" s="6" t="s">
        <v>1787</v>
      </c>
      <c r="C414" s="6" t="s">
        <v>1788</v>
      </c>
      <c r="D414" s="6" t="s">
        <v>1789</v>
      </c>
      <c r="E414" s="7" t="s">
        <v>21</v>
      </c>
      <c r="F414" s="6" t="s">
        <v>1833</v>
      </c>
      <c r="G414" s="6" t="s">
        <v>1834</v>
      </c>
      <c r="H414" s="6" t="s">
        <v>1835</v>
      </c>
      <c r="I414" s="6" t="s">
        <v>1836</v>
      </c>
      <c r="J414" s="6" t="s">
        <v>1837</v>
      </c>
      <c r="K414" s="5"/>
      <c r="L414" s="4" t="s">
        <v>62</v>
      </c>
      <c r="M414" s="8" t="s">
        <v>79</v>
      </c>
      <c r="N414" s="9" t="s">
        <v>1828</v>
      </c>
      <c r="O414" s="5"/>
      <c r="P414" s="5"/>
      <c r="Q414" s="6" t="s">
        <v>30</v>
      </c>
      <c r="R414" s="4" t="s">
        <v>31</v>
      </c>
      <c r="S414" s="7" t="s">
        <v>32</v>
      </c>
      <c r="T414" s="5"/>
    </row>
    <row r="415" customFormat="false" ht="29.25" hidden="false" customHeight="true" outlineLevel="0" collapsed="false">
      <c r="A415" s="4" t="n">
        <v>414</v>
      </c>
      <c r="B415" s="6" t="s">
        <v>1787</v>
      </c>
      <c r="C415" s="6" t="s">
        <v>1788</v>
      </c>
      <c r="D415" s="6" t="s">
        <v>1789</v>
      </c>
      <c r="E415" s="7" t="s">
        <v>21</v>
      </c>
      <c r="F415" s="6" t="s">
        <v>276</v>
      </c>
      <c r="G415" s="6" t="s">
        <v>1838</v>
      </c>
      <c r="H415" s="6" t="s">
        <v>1839</v>
      </c>
      <c r="I415" s="6" t="s">
        <v>1840</v>
      </c>
      <c r="J415" s="6" t="s">
        <v>1841</v>
      </c>
      <c r="K415" s="5"/>
      <c r="L415" s="4" t="s">
        <v>51</v>
      </c>
      <c r="M415" s="8" t="s">
        <v>79</v>
      </c>
      <c r="N415" s="9" t="s">
        <v>1795</v>
      </c>
      <c r="O415" s="5"/>
      <c r="P415" s="5"/>
      <c r="Q415" s="6" t="s">
        <v>30</v>
      </c>
      <c r="R415" s="4" t="s">
        <v>31</v>
      </c>
      <c r="S415" s="7" t="s">
        <v>32</v>
      </c>
      <c r="T415" s="5"/>
    </row>
    <row r="416" customFormat="false" ht="29.25" hidden="false" customHeight="true" outlineLevel="0" collapsed="false">
      <c r="A416" s="4" t="n">
        <v>415</v>
      </c>
      <c r="B416" s="6" t="s">
        <v>1787</v>
      </c>
      <c r="C416" s="6" t="s">
        <v>1788</v>
      </c>
      <c r="D416" s="6" t="s">
        <v>1789</v>
      </c>
      <c r="E416" s="7" t="s">
        <v>21</v>
      </c>
      <c r="F416" s="6" t="s">
        <v>1842</v>
      </c>
      <c r="G416" s="6" t="s">
        <v>1843</v>
      </c>
      <c r="H416" s="6" t="s">
        <v>1844</v>
      </c>
      <c r="I416" s="6" t="s">
        <v>1845</v>
      </c>
      <c r="J416" s="6" t="s">
        <v>78</v>
      </c>
      <c r="K416" s="5"/>
      <c r="L416" s="4" t="s">
        <v>44</v>
      </c>
      <c r="M416" s="8" t="s">
        <v>28</v>
      </c>
      <c r="N416" s="9" t="s">
        <v>1846</v>
      </c>
      <c r="O416" s="5"/>
      <c r="P416" s="5"/>
      <c r="Q416" s="6" t="s">
        <v>30</v>
      </c>
      <c r="R416" s="4" t="s">
        <v>31</v>
      </c>
      <c r="S416" s="7" t="s">
        <v>32</v>
      </c>
      <c r="T416" s="5"/>
    </row>
    <row r="417" customFormat="false" ht="29.25" hidden="false" customHeight="true" outlineLevel="0" collapsed="false">
      <c r="A417" s="4" t="n">
        <v>416</v>
      </c>
      <c r="B417" s="6" t="s">
        <v>1787</v>
      </c>
      <c r="C417" s="6" t="s">
        <v>1788</v>
      </c>
      <c r="D417" s="6" t="s">
        <v>1789</v>
      </c>
      <c r="E417" s="7" t="s">
        <v>21</v>
      </c>
      <c r="F417" s="6" t="s">
        <v>1847</v>
      </c>
      <c r="G417" s="6" t="s">
        <v>1848</v>
      </c>
      <c r="H417" s="6" t="s">
        <v>1849</v>
      </c>
      <c r="I417" s="6" t="s">
        <v>1850</v>
      </c>
      <c r="J417" s="6" t="s">
        <v>1851</v>
      </c>
      <c r="K417" s="5"/>
      <c r="L417" s="4" t="s">
        <v>62</v>
      </c>
      <c r="M417" s="8" t="s">
        <v>129</v>
      </c>
      <c r="N417" s="9" t="s">
        <v>1795</v>
      </c>
      <c r="O417" s="5"/>
      <c r="P417" s="5"/>
      <c r="Q417" s="6" t="s">
        <v>30</v>
      </c>
      <c r="R417" s="4" t="s">
        <v>31</v>
      </c>
      <c r="S417" s="7" t="s">
        <v>32</v>
      </c>
      <c r="T417" s="5"/>
    </row>
    <row r="418" customFormat="false" ht="29.25" hidden="false" customHeight="true" outlineLevel="0" collapsed="false">
      <c r="A418" s="4" t="n">
        <v>417</v>
      </c>
      <c r="B418" s="6" t="s">
        <v>1787</v>
      </c>
      <c r="C418" s="6" t="s">
        <v>1788</v>
      </c>
      <c r="D418" s="6" t="s">
        <v>1789</v>
      </c>
      <c r="E418" s="7" t="s">
        <v>21</v>
      </c>
      <c r="F418" s="6" t="s">
        <v>1852</v>
      </c>
      <c r="G418" s="6" t="s">
        <v>1853</v>
      </c>
      <c r="H418" s="6" t="s">
        <v>1854</v>
      </c>
      <c r="I418" s="6" t="s">
        <v>1855</v>
      </c>
      <c r="J418" s="6" t="s">
        <v>1851</v>
      </c>
      <c r="K418" s="5"/>
      <c r="L418" s="4" t="s">
        <v>44</v>
      </c>
      <c r="M418" s="8" t="s">
        <v>129</v>
      </c>
      <c r="N418" s="9" t="s">
        <v>1795</v>
      </c>
      <c r="O418" s="5"/>
      <c r="P418" s="5"/>
      <c r="Q418" s="6" t="s">
        <v>30</v>
      </c>
      <c r="R418" s="4" t="s">
        <v>31</v>
      </c>
      <c r="S418" s="7" t="s">
        <v>32</v>
      </c>
      <c r="T418" s="5"/>
    </row>
    <row r="419" customFormat="false" ht="29.25" hidden="false" customHeight="true" outlineLevel="0" collapsed="false">
      <c r="A419" s="4" t="n">
        <v>418</v>
      </c>
      <c r="B419" s="6" t="s">
        <v>1787</v>
      </c>
      <c r="C419" s="6" t="s">
        <v>1788</v>
      </c>
      <c r="D419" s="6" t="s">
        <v>1789</v>
      </c>
      <c r="E419" s="7" t="s">
        <v>21</v>
      </c>
      <c r="F419" s="6" t="s">
        <v>1856</v>
      </c>
      <c r="G419" s="6" t="s">
        <v>1857</v>
      </c>
      <c r="H419" s="6" t="s">
        <v>1858</v>
      </c>
      <c r="I419" s="6" t="s">
        <v>1859</v>
      </c>
      <c r="J419" s="6" t="s">
        <v>1854</v>
      </c>
      <c r="K419" s="5"/>
      <c r="L419" s="4" t="s">
        <v>51</v>
      </c>
      <c r="M419" s="8" t="s">
        <v>79</v>
      </c>
      <c r="N419" s="9" t="s">
        <v>1860</v>
      </c>
      <c r="O419" s="5"/>
      <c r="P419" s="5"/>
      <c r="Q419" s="6" t="s">
        <v>30</v>
      </c>
      <c r="R419" s="4" t="s">
        <v>31</v>
      </c>
      <c r="S419" s="7" t="s">
        <v>32</v>
      </c>
      <c r="T419" s="5"/>
    </row>
    <row r="420" customFormat="false" ht="29.25" hidden="false" customHeight="true" outlineLevel="0" collapsed="false">
      <c r="A420" s="4" t="n">
        <v>419</v>
      </c>
      <c r="B420" s="6" t="s">
        <v>1787</v>
      </c>
      <c r="C420" s="6" t="s">
        <v>1788</v>
      </c>
      <c r="D420" s="6" t="s">
        <v>1789</v>
      </c>
      <c r="E420" s="7" t="s">
        <v>21</v>
      </c>
      <c r="F420" s="6" t="s">
        <v>1861</v>
      </c>
      <c r="G420" s="6" t="s">
        <v>1824</v>
      </c>
      <c r="H420" s="6" t="s">
        <v>1823</v>
      </c>
      <c r="I420" s="6" t="s">
        <v>1862</v>
      </c>
      <c r="J420" s="6" t="s">
        <v>1817</v>
      </c>
      <c r="K420" s="5"/>
      <c r="L420" s="4" t="s">
        <v>27</v>
      </c>
      <c r="M420" s="8" t="s">
        <v>79</v>
      </c>
      <c r="N420" s="9" t="s">
        <v>1795</v>
      </c>
      <c r="O420" s="5"/>
      <c r="P420" s="5"/>
      <c r="Q420" s="6" t="s">
        <v>30</v>
      </c>
      <c r="R420" s="4" t="s">
        <v>31</v>
      </c>
      <c r="S420" s="7" t="s">
        <v>32</v>
      </c>
      <c r="T420" s="5"/>
    </row>
    <row r="421" customFormat="false" ht="29.25" hidden="false" customHeight="true" outlineLevel="0" collapsed="false">
      <c r="A421" s="4" t="n">
        <v>420</v>
      </c>
      <c r="B421" s="6" t="s">
        <v>1787</v>
      </c>
      <c r="C421" s="6" t="s">
        <v>1788</v>
      </c>
      <c r="D421" s="6" t="s">
        <v>1789</v>
      </c>
      <c r="E421" s="7" t="s">
        <v>21</v>
      </c>
      <c r="F421" s="6" t="s">
        <v>1863</v>
      </c>
      <c r="G421" s="6" t="s">
        <v>1824</v>
      </c>
      <c r="H421" s="6" t="s">
        <v>1823</v>
      </c>
      <c r="I421" s="6" t="s">
        <v>1862</v>
      </c>
      <c r="J421" s="6" t="s">
        <v>1817</v>
      </c>
      <c r="K421" s="5"/>
      <c r="L421" s="4" t="s">
        <v>62</v>
      </c>
      <c r="M421" s="8" t="s">
        <v>79</v>
      </c>
      <c r="N421" s="9" t="s">
        <v>1795</v>
      </c>
      <c r="O421" s="5"/>
      <c r="P421" s="5"/>
      <c r="Q421" s="6" t="s">
        <v>30</v>
      </c>
      <c r="R421" s="4" t="s">
        <v>31</v>
      </c>
      <c r="S421" s="7" t="s">
        <v>32</v>
      </c>
      <c r="T421" s="5"/>
    </row>
    <row r="422" customFormat="false" ht="29.25" hidden="false" customHeight="true" outlineLevel="0" collapsed="false">
      <c r="A422" s="4" t="n">
        <v>421</v>
      </c>
      <c r="B422" s="6" t="s">
        <v>1787</v>
      </c>
      <c r="C422" s="6" t="s">
        <v>1788</v>
      </c>
      <c r="D422" s="6" t="s">
        <v>1789</v>
      </c>
      <c r="E422" s="7" t="s">
        <v>21</v>
      </c>
      <c r="F422" s="6" t="s">
        <v>1864</v>
      </c>
      <c r="G422" s="6" t="s">
        <v>1801</v>
      </c>
      <c r="H422" s="6" t="s">
        <v>1865</v>
      </c>
      <c r="I422" s="6" t="s">
        <v>1866</v>
      </c>
      <c r="J422" s="6" t="s">
        <v>78</v>
      </c>
      <c r="K422" s="5"/>
      <c r="L422" s="4" t="s">
        <v>44</v>
      </c>
      <c r="M422" s="8" t="s">
        <v>129</v>
      </c>
      <c r="N422" s="9" t="s">
        <v>1795</v>
      </c>
      <c r="O422" s="5"/>
      <c r="P422" s="5"/>
      <c r="Q422" s="6" t="s">
        <v>30</v>
      </c>
      <c r="R422" s="4" t="s">
        <v>31</v>
      </c>
      <c r="S422" s="7" t="s">
        <v>32</v>
      </c>
      <c r="T422" s="5"/>
    </row>
    <row r="423" customFormat="false" ht="29.25" hidden="false" customHeight="true" outlineLevel="0" collapsed="false">
      <c r="A423" s="4" t="n">
        <v>422</v>
      </c>
      <c r="B423" s="6" t="s">
        <v>1787</v>
      </c>
      <c r="C423" s="6" t="s">
        <v>1788</v>
      </c>
      <c r="D423" s="6" t="s">
        <v>1789</v>
      </c>
      <c r="E423" s="7" t="s">
        <v>21</v>
      </c>
      <c r="F423" s="6" t="s">
        <v>1867</v>
      </c>
      <c r="G423" s="6" t="s">
        <v>1868</v>
      </c>
      <c r="H423" s="6" t="s">
        <v>1869</v>
      </c>
      <c r="I423" s="6" t="s">
        <v>1870</v>
      </c>
      <c r="J423" s="6" t="s">
        <v>1871</v>
      </c>
      <c r="K423" s="5"/>
      <c r="L423" s="4" t="s">
        <v>51</v>
      </c>
      <c r="M423" s="8" t="s">
        <v>129</v>
      </c>
      <c r="N423" s="9" t="s">
        <v>1795</v>
      </c>
      <c r="O423" s="5"/>
      <c r="P423" s="5"/>
      <c r="Q423" s="6" t="s">
        <v>30</v>
      </c>
      <c r="R423" s="4" t="s">
        <v>31</v>
      </c>
      <c r="S423" s="7" t="s">
        <v>32</v>
      </c>
      <c r="T423" s="5"/>
    </row>
    <row r="424" customFormat="false" ht="29.25" hidden="false" customHeight="true" outlineLevel="0" collapsed="false">
      <c r="A424" s="4" t="n">
        <v>423</v>
      </c>
      <c r="B424" s="6" t="s">
        <v>1787</v>
      </c>
      <c r="C424" s="6" t="s">
        <v>1788</v>
      </c>
      <c r="D424" s="6" t="s">
        <v>1789</v>
      </c>
      <c r="E424" s="7" t="s">
        <v>21</v>
      </c>
      <c r="F424" s="6" t="s">
        <v>1872</v>
      </c>
      <c r="G424" s="6" t="s">
        <v>1873</v>
      </c>
      <c r="H424" s="6" t="s">
        <v>1874</v>
      </c>
      <c r="I424" s="6" t="s">
        <v>1875</v>
      </c>
      <c r="J424" s="6" t="s">
        <v>78</v>
      </c>
      <c r="K424" s="5"/>
      <c r="L424" s="4" t="s">
        <v>44</v>
      </c>
      <c r="M424" s="8" t="s">
        <v>79</v>
      </c>
      <c r="N424" s="9" t="s">
        <v>1795</v>
      </c>
      <c r="O424" s="5"/>
      <c r="P424" s="5"/>
      <c r="Q424" s="6" t="s">
        <v>30</v>
      </c>
      <c r="R424" s="4" t="s">
        <v>31</v>
      </c>
      <c r="S424" s="7" t="s">
        <v>32</v>
      </c>
      <c r="T424" s="5"/>
    </row>
    <row r="425" customFormat="false" ht="29.25" hidden="false" customHeight="true" outlineLevel="0" collapsed="false">
      <c r="A425" s="4" t="n">
        <v>424</v>
      </c>
      <c r="B425" s="6" t="s">
        <v>1787</v>
      </c>
      <c r="C425" s="6" t="s">
        <v>1788</v>
      </c>
      <c r="D425" s="6" t="s">
        <v>1789</v>
      </c>
      <c r="E425" s="7" t="s">
        <v>21</v>
      </c>
      <c r="F425" s="6" t="s">
        <v>1876</v>
      </c>
      <c r="G425" s="6" t="s">
        <v>1877</v>
      </c>
      <c r="H425" s="6" t="s">
        <v>1878</v>
      </c>
      <c r="I425" s="6" t="s">
        <v>1879</v>
      </c>
      <c r="J425" s="6" t="s">
        <v>1880</v>
      </c>
      <c r="K425" s="5"/>
      <c r="L425" s="4" t="s">
        <v>51</v>
      </c>
      <c r="M425" s="8" t="s">
        <v>129</v>
      </c>
      <c r="N425" s="9" t="s">
        <v>1881</v>
      </c>
      <c r="O425" s="5"/>
      <c r="P425" s="5"/>
      <c r="Q425" s="6" t="s">
        <v>30</v>
      </c>
      <c r="R425" s="4" t="s">
        <v>31</v>
      </c>
      <c r="S425" s="7" t="s">
        <v>32</v>
      </c>
      <c r="T425" s="5"/>
    </row>
    <row r="426" customFormat="false" ht="29.25" hidden="false" customHeight="true" outlineLevel="0" collapsed="false">
      <c r="A426" s="4" t="n">
        <v>425</v>
      </c>
      <c r="B426" s="6" t="s">
        <v>1787</v>
      </c>
      <c r="C426" s="6" t="s">
        <v>1788</v>
      </c>
      <c r="D426" s="6" t="s">
        <v>1789</v>
      </c>
      <c r="E426" s="7" t="s">
        <v>21</v>
      </c>
      <c r="F426" s="6" t="s">
        <v>1882</v>
      </c>
      <c r="G426" s="5" t="s">
        <v>1883</v>
      </c>
      <c r="H426" s="5" t="s">
        <v>1884</v>
      </c>
      <c r="I426" s="5" t="s">
        <v>1885</v>
      </c>
      <c r="J426" s="6" t="s">
        <v>1886</v>
      </c>
      <c r="K426" s="5"/>
      <c r="L426" s="4" t="s">
        <v>27</v>
      </c>
      <c r="M426" s="8" t="s">
        <v>129</v>
      </c>
      <c r="N426" s="9" t="s">
        <v>1795</v>
      </c>
      <c r="O426" s="5"/>
      <c r="P426" s="5"/>
      <c r="Q426" s="6" t="s">
        <v>30</v>
      </c>
      <c r="R426" s="4" t="s">
        <v>31</v>
      </c>
      <c r="S426" s="7" t="s">
        <v>32</v>
      </c>
      <c r="T426" s="5"/>
    </row>
    <row r="427" customFormat="false" ht="29.25" hidden="false" customHeight="true" outlineLevel="0" collapsed="false">
      <c r="A427" s="4" t="n">
        <v>426</v>
      </c>
      <c r="B427" s="6" t="s">
        <v>1787</v>
      </c>
      <c r="C427" s="6" t="s">
        <v>1788</v>
      </c>
      <c r="D427" s="6" t="s">
        <v>1789</v>
      </c>
      <c r="E427" s="7" t="s">
        <v>21</v>
      </c>
      <c r="F427" s="6" t="s">
        <v>1887</v>
      </c>
      <c r="G427" s="6" t="s">
        <v>1888</v>
      </c>
      <c r="H427" s="6" t="s">
        <v>1889</v>
      </c>
      <c r="I427" s="6" t="s">
        <v>1890</v>
      </c>
      <c r="J427" s="6" t="s">
        <v>150</v>
      </c>
      <c r="K427" s="5"/>
      <c r="L427" s="4" t="s">
        <v>62</v>
      </c>
      <c r="M427" s="8" t="s">
        <v>79</v>
      </c>
      <c r="N427" s="9" t="s">
        <v>1891</v>
      </c>
      <c r="O427" s="5"/>
      <c r="P427" s="5"/>
      <c r="Q427" s="6" t="s">
        <v>30</v>
      </c>
      <c r="R427" s="4" t="s">
        <v>31</v>
      </c>
      <c r="S427" s="7" t="s">
        <v>32</v>
      </c>
      <c r="T427" s="5"/>
    </row>
    <row r="428" customFormat="false" ht="29.25" hidden="false" customHeight="true" outlineLevel="0" collapsed="false">
      <c r="A428" s="4" t="n">
        <v>427</v>
      </c>
      <c r="B428" s="6" t="s">
        <v>1787</v>
      </c>
      <c r="C428" s="6" t="s">
        <v>1788</v>
      </c>
      <c r="D428" s="6" t="s">
        <v>1789</v>
      </c>
      <c r="E428" s="7" t="s">
        <v>21</v>
      </c>
      <c r="F428" s="5" t="s">
        <v>1892</v>
      </c>
      <c r="G428" s="6" t="s">
        <v>1888</v>
      </c>
      <c r="H428" s="6" t="s">
        <v>1889</v>
      </c>
      <c r="I428" s="6" t="s">
        <v>1890</v>
      </c>
      <c r="J428" s="6" t="s">
        <v>150</v>
      </c>
      <c r="K428" s="5"/>
      <c r="L428" s="4" t="s">
        <v>51</v>
      </c>
      <c r="M428" s="8" t="s">
        <v>79</v>
      </c>
      <c r="N428" s="9" t="s">
        <v>1891</v>
      </c>
      <c r="O428" s="5"/>
      <c r="P428" s="5"/>
      <c r="Q428" s="6" t="s">
        <v>30</v>
      </c>
      <c r="R428" s="4" t="s">
        <v>31</v>
      </c>
      <c r="S428" s="7" t="s">
        <v>32</v>
      </c>
      <c r="T428" s="5"/>
    </row>
    <row r="429" customFormat="false" ht="29.25" hidden="false" customHeight="true" outlineLevel="0" collapsed="false">
      <c r="A429" s="4" t="n">
        <v>428</v>
      </c>
      <c r="B429" s="6" t="s">
        <v>1787</v>
      </c>
      <c r="C429" s="6" t="s">
        <v>1788</v>
      </c>
      <c r="D429" s="6" t="s">
        <v>1789</v>
      </c>
      <c r="E429" s="7" t="s">
        <v>21</v>
      </c>
      <c r="F429" s="6" t="s">
        <v>1893</v>
      </c>
      <c r="G429" s="6" t="s">
        <v>1894</v>
      </c>
      <c r="H429" s="6" t="s">
        <v>1895</v>
      </c>
      <c r="I429" s="6" t="s">
        <v>1896</v>
      </c>
      <c r="J429" s="6" t="s">
        <v>78</v>
      </c>
      <c r="K429" s="5"/>
      <c r="L429" s="4" t="s">
        <v>44</v>
      </c>
      <c r="M429" s="8" t="s">
        <v>79</v>
      </c>
      <c r="N429" s="9" t="s">
        <v>1795</v>
      </c>
      <c r="O429" s="5"/>
      <c r="P429" s="5"/>
      <c r="Q429" s="6" t="s">
        <v>30</v>
      </c>
      <c r="R429" s="4" t="s">
        <v>31</v>
      </c>
      <c r="S429" s="7" t="s">
        <v>32</v>
      </c>
      <c r="T429" s="5"/>
    </row>
    <row r="430" customFormat="false" ht="29.25" hidden="false" customHeight="true" outlineLevel="0" collapsed="false">
      <c r="A430" s="4" t="n">
        <v>429</v>
      </c>
      <c r="B430" s="6" t="s">
        <v>1787</v>
      </c>
      <c r="C430" s="6" t="s">
        <v>1788</v>
      </c>
      <c r="D430" s="6" t="s">
        <v>1789</v>
      </c>
      <c r="E430" s="7" t="s">
        <v>21</v>
      </c>
      <c r="F430" s="6" t="s">
        <v>1897</v>
      </c>
      <c r="G430" s="6" t="s">
        <v>1898</v>
      </c>
      <c r="H430" s="6" t="s">
        <v>1899</v>
      </c>
      <c r="I430" s="6" t="s">
        <v>1900</v>
      </c>
      <c r="J430" s="6" t="s">
        <v>150</v>
      </c>
      <c r="K430" s="5"/>
      <c r="L430" s="4" t="s">
        <v>27</v>
      </c>
      <c r="M430" s="8" t="s">
        <v>79</v>
      </c>
      <c r="N430" s="9" t="s">
        <v>1795</v>
      </c>
      <c r="O430" s="5"/>
      <c r="P430" s="5"/>
      <c r="Q430" s="6" t="s">
        <v>30</v>
      </c>
      <c r="R430" s="4" t="s">
        <v>31</v>
      </c>
      <c r="S430" s="7" t="s">
        <v>32</v>
      </c>
      <c r="T430" s="5"/>
    </row>
    <row r="431" customFormat="false" ht="29.25" hidden="false" customHeight="true" outlineLevel="0" collapsed="false">
      <c r="A431" s="4" t="n">
        <v>430</v>
      </c>
      <c r="B431" s="6" t="s">
        <v>1787</v>
      </c>
      <c r="C431" s="6" t="s">
        <v>1788</v>
      </c>
      <c r="D431" s="6" t="s">
        <v>1789</v>
      </c>
      <c r="E431" s="7" t="s">
        <v>21</v>
      </c>
      <c r="F431" s="6" t="s">
        <v>1901</v>
      </c>
      <c r="G431" s="5" t="s">
        <v>1253</v>
      </c>
      <c r="H431" s="5" t="s">
        <v>1254</v>
      </c>
      <c r="I431" s="5" t="s">
        <v>1255</v>
      </c>
      <c r="J431" s="5" t="s">
        <v>1902</v>
      </c>
      <c r="K431" s="5"/>
      <c r="L431" s="4" t="s">
        <v>62</v>
      </c>
      <c r="M431" s="8" t="s">
        <v>79</v>
      </c>
      <c r="N431" s="9" t="s">
        <v>1795</v>
      </c>
      <c r="O431" s="5"/>
      <c r="P431" s="5"/>
      <c r="Q431" s="6" t="s">
        <v>30</v>
      </c>
      <c r="R431" s="4" t="s">
        <v>31</v>
      </c>
      <c r="S431" s="7" t="s">
        <v>32</v>
      </c>
      <c r="T431" s="5"/>
    </row>
    <row r="432" customFormat="false" ht="29.25" hidden="false" customHeight="true" outlineLevel="0" collapsed="false">
      <c r="A432" s="4" t="n">
        <v>431</v>
      </c>
      <c r="B432" s="6" t="s">
        <v>1787</v>
      </c>
      <c r="C432" s="6" t="s">
        <v>1788</v>
      </c>
      <c r="D432" s="6" t="s">
        <v>1789</v>
      </c>
      <c r="E432" s="7" t="s">
        <v>21</v>
      </c>
      <c r="F432" s="6" t="s">
        <v>1903</v>
      </c>
      <c r="G432" s="6" t="s">
        <v>1904</v>
      </c>
      <c r="H432" s="6" t="s">
        <v>1905</v>
      </c>
      <c r="I432" s="6" t="s">
        <v>1906</v>
      </c>
      <c r="J432" s="6" t="s">
        <v>150</v>
      </c>
      <c r="K432" s="5"/>
      <c r="L432" s="4" t="s">
        <v>51</v>
      </c>
      <c r="M432" s="8" t="s">
        <v>79</v>
      </c>
      <c r="N432" s="9" t="s">
        <v>1795</v>
      </c>
      <c r="O432" s="5"/>
      <c r="P432" s="5"/>
      <c r="Q432" s="6" t="s">
        <v>30</v>
      </c>
      <c r="R432" s="4" t="s">
        <v>31</v>
      </c>
      <c r="S432" s="7" t="s">
        <v>32</v>
      </c>
      <c r="T432" s="5"/>
    </row>
    <row r="433" customFormat="false" ht="29.25" hidden="false" customHeight="true" outlineLevel="0" collapsed="false">
      <c r="A433" s="4" t="n">
        <v>432</v>
      </c>
      <c r="B433" s="6" t="s">
        <v>1787</v>
      </c>
      <c r="C433" s="6" t="s">
        <v>1788</v>
      </c>
      <c r="D433" s="6" t="s">
        <v>1789</v>
      </c>
      <c r="E433" s="7" t="s">
        <v>21</v>
      </c>
      <c r="F433" s="6" t="s">
        <v>1907</v>
      </c>
      <c r="G433" s="6" t="s">
        <v>1908</v>
      </c>
      <c r="H433" s="6" t="s">
        <v>1909</v>
      </c>
      <c r="I433" s="6" t="s">
        <v>1910</v>
      </c>
      <c r="J433" s="6" t="s">
        <v>1911</v>
      </c>
      <c r="K433" s="5"/>
      <c r="L433" s="4" t="s">
        <v>27</v>
      </c>
      <c r="M433" s="8" t="s">
        <v>79</v>
      </c>
      <c r="N433" s="9" t="s">
        <v>1795</v>
      </c>
      <c r="O433" s="5"/>
      <c r="P433" s="5"/>
      <c r="Q433" s="6" t="s">
        <v>30</v>
      </c>
      <c r="R433" s="4" t="s">
        <v>31</v>
      </c>
      <c r="S433" s="7" t="s">
        <v>32</v>
      </c>
      <c r="T433" s="5"/>
    </row>
    <row r="434" customFormat="false" ht="29.25" hidden="false" customHeight="true" outlineLevel="0" collapsed="false">
      <c r="A434" s="4" t="n">
        <v>433</v>
      </c>
      <c r="B434" s="6" t="s">
        <v>1787</v>
      </c>
      <c r="C434" s="6" t="s">
        <v>1788</v>
      </c>
      <c r="D434" s="6" t="s">
        <v>1789</v>
      </c>
      <c r="E434" s="7" t="s">
        <v>21</v>
      </c>
      <c r="F434" s="6" t="s">
        <v>1912</v>
      </c>
      <c r="G434" s="6" t="s">
        <v>1913</v>
      </c>
      <c r="H434" s="6" t="s">
        <v>1914</v>
      </c>
      <c r="I434" s="6" t="s">
        <v>1915</v>
      </c>
      <c r="J434" s="6" t="s">
        <v>1916</v>
      </c>
      <c r="K434" s="5"/>
      <c r="L434" s="4" t="s">
        <v>51</v>
      </c>
      <c r="M434" s="8" t="s">
        <v>79</v>
      </c>
      <c r="N434" s="9" t="s">
        <v>1795</v>
      </c>
      <c r="O434" s="5"/>
      <c r="P434" s="5"/>
      <c r="Q434" s="6" t="s">
        <v>30</v>
      </c>
      <c r="R434" s="4" t="s">
        <v>31</v>
      </c>
      <c r="S434" s="7" t="s">
        <v>32</v>
      </c>
      <c r="T434" s="5"/>
    </row>
    <row r="435" customFormat="false" ht="29.25" hidden="false" customHeight="true" outlineLevel="0" collapsed="false">
      <c r="A435" s="4" t="n">
        <v>434</v>
      </c>
      <c r="B435" s="6" t="s">
        <v>1787</v>
      </c>
      <c r="C435" s="6" t="s">
        <v>1788</v>
      </c>
      <c r="D435" s="6" t="s">
        <v>1789</v>
      </c>
      <c r="E435" s="7" t="s">
        <v>21</v>
      </c>
      <c r="F435" s="6" t="s">
        <v>1917</v>
      </c>
      <c r="G435" s="6" t="s">
        <v>1918</v>
      </c>
      <c r="H435" s="6" t="s">
        <v>1919</v>
      </c>
      <c r="I435" s="6" t="s">
        <v>1920</v>
      </c>
      <c r="J435" s="6" t="s">
        <v>1921</v>
      </c>
      <c r="K435" s="5"/>
      <c r="L435" s="4" t="s">
        <v>44</v>
      </c>
      <c r="M435" s="8" t="s">
        <v>79</v>
      </c>
      <c r="N435" s="9" t="s">
        <v>1922</v>
      </c>
      <c r="O435" s="5"/>
      <c r="P435" s="5"/>
      <c r="Q435" s="6" t="s">
        <v>30</v>
      </c>
      <c r="R435" s="4" t="s">
        <v>31</v>
      </c>
      <c r="S435" s="7" t="s">
        <v>32</v>
      </c>
      <c r="T435" s="5"/>
    </row>
    <row r="436" customFormat="false" ht="29.25" hidden="false" customHeight="true" outlineLevel="0" collapsed="false">
      <c r="A436" s="4" t="n">
        <v>435</v>
      </c>
      <c r="B436" s="6" t="s">
        <v>1787</v>
      </c>
      <c r="C436" s="6" t="s">
        <v>1788</v>
      </c>
      <c r="D436" s="6" t="s">
        <v>1789</v>
      </c>
      <c r="E436" s="7" t="s">
        <v>21</v>
      </c>
      <c r="F436" s="6" t="s">
        <v>1923</v>
      </c>
      <c r="G436" s="6" t="s">
        <v>1924</v>
      </c>
      <c r="H436" s="6" t="s">
        <v>1925</v>
      </c>
      <c r="I436" s="6" t="s">
        <v>1926</v>
      </c>
      <c r="J436" s="6" t="s">
        <v>1927</v>
      </c>
      <c r="K436" s="5"/>
      <c r="L436" s="4" t="s">
        <v>27</v>
      </c>
      <c r="M436" s="8" t="s">
        <v>79</v>
      </c>
      <c r="N436" s="9" t="s">
        <v>1922</v>
      </c>
      <c r="O436" s="5"/>
      <c r="P436" s="5"/>
      <c r="Q436" s="6" t="s">
        <v>30</v>
      </c>
      <c r="R436" s="4" t="s">
        <v>31</v>
      </c>
      <c r="S436" s="7" t="s">
        <v>32</v>
      </c>
      <c r="T436" s="5"/>
    </row>
    <row r="437" customFormat="false" ht="29.25" hidden="false" customHeight="true" outlineLevel="0" collapsed="false">
      <c r="A437" s="4" t="n">
        <v>436</v>
      </c>
      <c r="B437" s="6" t="s">
        <v>1787</v>
      </c>
      <c r="C437" s="6" t="s">
        <v>1788</v>
      </c>
      <c r="D437" s="6" t="s">
        <v>1789</v>
      </c>
      <c r="E437" s="7" t="s">
        <v>21</v>
      </c>
      <c r="F437" s="6" t="s">
        <v>1928</v>
      </c>
      <c r="G437" s="6" t="s">
        <v>1929</v>
      </c>
      <c r="H437" s="6" t="s">
        <v>1930</v>
      </c>
      <c r="I437" s="6" t="s">
        <v>1921</v>
      </c>
      <c r="J437" s="6" t="s">
        <v>1931</v>
      </c>
      <c r="K437" s="5"/>
      <c r="L437" s="4" t="s">
        <v>51</v>
      </c>
      <c r="M437" s="8" t="s">
        <v>79</v>
      </c>
      <c r="N437" s="9" t="s">
        <v>1795</v>
      </c>
      <c r="O437" s="5"/>
      <c r="P437" s="5"/>
      <c r="Q437" s="6" t="s">
        <v>30</v>
      </c>
      <c r="R437" s="4" t="s">
        <v>31</v>
      </c>
      <c r="S437" s="7" t="s">
        <v>32</v>
      </c>
      <c r="T437" s="5"/>
    </row>
    <row r="438" customFormat="false" ht="29.25" hidden="false" customHeight="true" outlineLevel="0" collapsed="false">
      <c r="A438" s="4" t="n">
        <v>437</v>
      </c>
      <c r="B438" s="6" t="s">
        <v>1787</v>
      </c>
      <c r="C438" s="6" t="s">
        <v>1788</v>
      </c>
      <c r="D438" s="6" t="s">
        <v>1789</v>
      </c>
      <c r="E438" s="7" t="s">
        <v>21</v>
      </c>
      <c r="F438" s="6" t="s">
        <v>1932</v>
      </c>
      <c r="G438" s="6" t="s">
        <v>1933</v>
      </c>
      <c r="H438" s="6" t="s">
        <v>1934</v>
      </c>
      <c r="I438" s="6" t="s">
        <v>1935</v>
      </c>
      <c r="J438" s="6" t="s">
        <v>1936</v>
      </c>
      <c r="K438" s="5"/>
      <c r="L438" s="4" t="s">
        <v>27</v>
      </c>
      <c r="M438" s="8" t="s">
        <v>79</v>
      </c>
      <c r="N438" s="9" t="s">
        <v>1795</v>
      </c>
      <c r="O438" s="5"/>
      <c r="P438" s="5"/>
      <c r="Q438" s="6" t="s">
        <v>30</v>
      </c>
      <c r="R438" s="4" t="s">
        <v>31</v>
      </c>
      <c r="S438" s="7" t="s">
        <v>32</v>
      </c>
      <c r="T438" s="5"/>
    </row>
    <row r="439" customFormat="false" ht="29.25" hidden="false" customHeight="true" outlineLevel="0" collapsed="false">
      <c r="A439" s="4" t="n">
        <v>438</v>
      </c>
      <c r="B439" s="6" t="s">
        <v>1787</v>
      </c>
      <c r="C439" s="6" t="s">
        <v>1788</v>
      </c>
      <c r="D439" s="6" t="s">
        <v>1789</v>
      </c>
      <c r="E439" s="7" t="s">
        <v>21</v>
      </c>
      <c r="F439" s="6" t="s">
        <v>1937</v>
      </c>
      <c r="G439" s="6" t="s">
        <v>1938</v>
      </c>
      <c r="H439" s="6" t="s">
        <v>1939</v>
      </c>
      <c r="I439" s="6" t="s">
        <v>1940</v>
      </c>
      <c r="J439" s="6" t="s">
        <v>1941</v>
      </c>
      <c r="K439" s="5"/>
      <c r="L439" s="4" t="s">
        <v>62</v>
      </c>
      <c r="M439" s="8" t="s">
        <v>79</v>
      </c>
      <c r="N439" s="9" t="s">
        <v>1795</v>
      </c>
      <c r="O439" s="5"/>
      <c r="P439" s="5"/>
      <c r="Q439" s="6" t="s">
        <v>30</v>
      </c>
      <c r="R439" s="4" t="s">
        <v>31</v>
      </c>
      <c r="S439" s="7" t="s">
        <v>32</v>
      </c>
      <c r="T439" s="5"/>
    </row>
    <row r="440" customFormat="false" ht="29.25" hidden="false" customHeight="true" outlineLevel="0" collapsed="false">
      <c r="A440" s="4" t="n">
        <v>439</v>
      </c>
      <c r="B440" s="6" t="s">
        <v>1787</v>
      </c>
      <c r="C440" s="6" t="s">
        <v>1788</v>
      </c>
      <c r="D440" s="6" t="s">
        <v>1789</v>
      </c>
      <c r="E440" s="7" t="s">
        <v>21</v>
      </c>
      <c r="F440" s="6" t="s">
        <v>1942</v>
      </c>
      <c r="G440" s="6" t="s">
        <v>1943</v>
      </c>
      <c r="H440" s="6" t="s">
        <v>1944</v>
      </c>
      <c r="I440" s="6" t="s">
        <v>1945</v>
      </c>
      <c r="J440" s="6" t="s">
        <v>1946</v>
      </c>
      <c r="K440" s="5"/>
      <c r="L440" s="4" t="s">
        <v>62</v>
      </c>
      <c r="M440" s="8" t="s">
        <v>79</v>
      </c>
      <c r="N440" s="9" t="s">
        <v>1795</v>
      </c>
      <c r="O440" s="5"/>
      <c r="P440" s="5"/>
      <c r="Q440" s="6" t="s">
        <v>30</v>
      </c>
      <c r="R440" s="4" t="s">
        <v>31</v>
      </c>
      <c r="S440" s="7" t="s">
        <v>32</v>
      </c>
      <c r="T440" s="5"/>
    </row>
    <row r="441" customFormat="false" ht="43.5" hidden="false" customHeight="true" outlineLevel="0" collapsed="false">
      <c r="A441" s="4" t="n">
        <v>440</v>
      </c>
      <c r="B441" s="6" t="s">
        <v>1787</v>
      </c>
      <c r="C441" s="6" t="s">
        <v>1788</v>
      </c>
      <c r="D441" s="6" t="s">
        <v>1789</v>
      </c>
      <c r="E441" s="7" t="s">
        <v>21</v>
      </c>
      <c r="F441" s="6" t="s">
        <v>1947</v>
      </c>
      <c r="G441" s="6" t="s">
        <v>1948</v>
      </c>
      <c r="H441" s="6" t="s">
        <v>1949</v>
      </c>
      <c r="I441" s="6" t="s">
        <v>1950</v>
      </c>
      <c r="J441" s="6" t="s">
        <v>1951</v>
      </c>
      <c r="K441" s="5"/>
      <c r="L441" s="4" t="s">
        <v>51</v>
      </c>
      <c r="M441" s="8" t="s">
        <v>79</v>
      </c>
      <c r="N441" s="9" t="s">
        <v>1795</v>
      </c>
      <c r="O441" s="5"/>
      <c r="P441" s="5"/>
      <c r="Q441" s="6" t="s">
        <v>30</v>
      </c>
      <c r="R441" s="4" t="s">
        <v>31</v>
      </c>
      <c r="S441" s="7" t="s">
        <v>32</v>
      </c>
      <c r="T441" s="5"/>
    </row>
    <row r="442" customFormat="false" ht="29.25" hidden="false" customHeight="true" outlineLevel="0" collapsed="false">
      <c r="A442" s="4" t="n">
        <v>441</v>
      </c>
      <c r="B442" s="6" t="s">
        <v>1787</v>
      </c>
      <c r="C442" s="6" t="s">
        <v>1788</v>
      </c>
      <c r="D442" s="6" t="s">
        <v>1789</v>
      </c>
      <c r="E442" s="7" t="s">
        <v>21</v>
      </c>
      <c r="F442" s="6" t="s">
        <v>1952</v>
      </c>
      <c r="G442" s="6" t="s">
        <v>1953</v>
      </c>
      <c r="H442" s="6" t="s">
        <v>536</v>
      </c>
      <c r="I442" s="6" t="s">
        <v>213</v>
      </c>
      <c r="J442" s="6" t="s">
        <v>535</v>
      </c>
      <c r="K442" s="5"/>
      <c r="L442" s="4" t="s">
        <v>44</v>
      </c>
      <c r="M442" s="8" t="s">
        <v>79</v>
      </c>
      <c r="N442" s="9" t="s">
        <v>1795</v>
      </c>
      <c r="O442" s="5"/>
      <c r="P442" s="5"/>
      <c r="Q442" s="6" t="s">
        <v>30</v>
      </c>
      <c r="R442" s="4" t="s">
        <v>31</v>
      </c>
      <c r="S442" s="7" t="s">
        <v>32</v>
      </c>
      <c r="T442" s="5"/>
    </row>
    <row r="443" customFormat="false" ht="29.25" hidden="false" customHeight="true" outlineLevel="0" collapsed="false">
      <c r="A443" s="4" t="n">
        <v>442</v>
      </c>
      <c r="B443" s="6" t="s">
        <v>1787</v>
      </c>
      <c r="C443" s="6" t="s">
        <v>1788</v>
      </c>
      <c r="D443" s="6" t="s">
        <v>1789</v>
      </c>
      <c r="E443" s="7" t="s">
        <v>21</v>
      </c>
      <c r="F443" s="6" t="s">
        <v>1954</v>
      </c>
      <c r="G443" s="6" t="s">
        <v>1955</v>
      </c>
      <c r="H443" s="6" t="s">
        <v>1956</v>
      </c>
      <c r="I443" s="6" t="s">
        <v>1921</v>
      </c>
      <c r="J443" s="6" t="s">
        <v>1401</v>
      </c>
      <c r="K443" s="5"/>
      <c r="L443" s="4" t="s">
        <v>62</v>
      </c>
      <c r="M443" s="8" t="s">
        <v>79</v>
      </c>
      <c r="N443" s="9" t="s">
        <v>1795</v>
      </c>
      <c r="O443" s="5"/>
      <c r="P443" s="5"/>
      <c r="Q443" s="6" t="s">
        <v>30</v>
      </c>
      <c r="R443" s="4" t="s">
        <v>31</v>
      </c>
      <c r="S443" s="7" t="s">
        <v>32</v>
      </c>
      <c r="T443" s="5"/>
    </row>
    <row r="444" customFormat="false" ht="29.25" hidden="false" customHeight="true" outlineLevel="0" collapsed="false">
      <c r="A444" s="4" t="n">
        <v>443</v>
      </c>
      <c r="B444" s="6" t="s">
        <v>1787</v>
      </c>
      <c r="C444" s="6" t="s">
        <v>1788</v>
      </c>
      <c r="D444" s="6" t="s">
        <v>1789</v>
      </c>
      <c r="E444" s="7" t="s">
        <v>21</v>
      </c>
      <c r="F444" s="6" t="s">
        <v>1957</v>
      </c>
      <c r="G444" s="6" t="s">
        <v>1958</v>
      </c>
      <c r="H444" s="6" t="s">
        <v>1959</v>
      </c>
      <c r="I444" s="6" t="s">
        <v>1931</v>
      </c>
      <c r="J444" s="6" t="s">
        <v>876</v>
      </c>
      <c r="K444" s="5"/>
      <c r="L444" s="4" t="s">
        <v>27</v>
      </c>
      <c r="M444" s="8" t="s">
        <v>129</v>
      </c>
      <c r="N444" s="9" t="s">
        <v>1795</v>
      </c>
      <c r="O444" s="5"/>
      <c r="P444" s="5"/>
      <c r="Q444" s="6" t="s">
        <v>30</v>
      </c>
      <c r="R444" s="4" t="s">
        <v>31</v>
      </c>
      <c r="S444" s="7" t="s">
        <v>32</v>
      </c>
      <c r="T444" s="5"/>
    </row>
    <row r="445" customFormat="false" ht="29.25" hidden="false" customHeight="true" outlineLevel="0" collapsed="false">
      <c r="A445" s="4" t="n">
        <v>444</v>
      </c>
      <c r="B445" s="6" t="s">
        <v>1787</v>
      </c>
      <c r="C445" s="6" t="s">
        <v>1788</v>
      </c>
      <c r="D445" s="6" t="s">
        <v>1789</v>
      </c>
      <c r="E445" s="7" t="s">
        <v>21</v>
      </c>
      <c r="F445" s="6" t="s">
        <v>1960</v>
      </c>
      <c r="G445" s="6" t="s">
        <v>1961</v>
      </c>
      <c r="H445" s="6" t="s">
        <v>1962</v>
      </c>
      <c r="I445" s="6" t="s">
        <v>1963</v>
      </c>
      <c r="J445" s="6" t="s">
        <v>1964</v>
      </c>
      <c r="K445" s="5"/>
      <c r="L445" s="4" t="s">
        <v>44</v>
      </c>
      <c r="M445" s="8" t="s">
        <v>28</v>
      </c>
      <c r="N445" s="9" t="s">
        <v>1795</v>
      </c>
      <c r="O445" s="5"/>
      <c r="P445" s="5"/>
      <c r="Q445" s="6" t="s">
        <v>30</v>
      </c>
      <c r="R445" s="4" t="s">
        <v>31</v>
      </c>
      <c r="S445" s="7" t="s">
        <v>32</v>
      </c>
      <c r="T445" s="5"/>
    </row>
    <row r="446" customFormat="false" ht="29.25" hidden="false" customHeight="true" outlineLevel="0" collapsed="false">
      <c r="A446" s="4" t="n">
        <v>445</v>
      </c>
      <c r="B446" s="6" t="s">
        <v>1787</v>
      </c>
      <c r="C446" s="6" t="s">
        <v>1788</v>
      </c>
      <c r="D446" s="6" t="s">
        <v>1789</v>
      </c>
      <c r="E446" s="7" t="s">
        <v>21</v>
      </c>
      <c r="F446" s="6" t="s">
        <v>1965</v>
      </c>
      <c r="G446" s="6" t="s">
        <v>1966</v>
      </c>
      <c r="H446" s="6" t="s">
        <v>1967</v>
      </c>
      <c r="I446" s="6" t="s">
        <v>1968</v>
      </c>
      <c r="J446" s="6" t="s">
        <v>1969</v>
      </c>
      <c r="K446" s="5"/>
      <c r="L446" s="4" t="s">
        <v>51</v>
      </c>
      <c r="M446" s="8" t="s">
        <v>79</v>
      </c>
      <c r="N446" s="9" t="s">
        <v>1795</v>
      </c>
      <c r="O446" s="5"/>
      <c r="P446" s="5"/>
      <c r="Q446" s="6" t="s">
        <v>30</v>
      </c>
      <c r="R446" s="4" t="s">
        <v>31</v>
      </c>
      <c r="S446" s="7" t="s">
        <v>32</v>
      </c>
      <c r="T446" s="5"/>
    </row>
    <row r="447" customFormat="false" ht="29.25" hidden="false" customHeight="true" outlineLevel="0" collapsed="false">
      <c r="A447" s="4" t="n">
        <v>446</v>
      </c>
      <c r="B447" s="6" t="s">
        <v>1787</v>
      </c>
      <c r="C447" s="6" t="s">
        <v>1788</v>
      </c>
      <c r="D447" s="6" t="s">
        <v>1789</v>
      </c>
      <c r="E447" s="7" t="s">
        <v>21</v>
      </c>
      <c r="F447" s="6" t="s">
        <v>1970</v>
      </c>
      <c r="G447" s="6" t="s">
        <v>1971</v>
      </c>
      <c r="H447" s="6" t="s">
        <v>1972</v>
      </c>
      <c r="I447" s="6" t="s">
        <v>1973</v>
      </c>
      <c r="J447" s="6" t="s">
        <v>1974</v>
      </c>
      <c r="K447" s="5"/>
      <c r="L447" s="4" t="s">
        <v>44</v>
      </c>
      <c r="M447" s="8" t="s">
        <v>129</v>
      </c>
      <c r="N447" s="9" t="s">
        <v>1795</v>
      </c>
      <c r="O447" s="5"/>
      <c r="P447" s="5"/>
      <c r="Q447" s="6" t="s">
        <v>30</v>
      </c>
      <c r="R447" s="4" t="s">
        <v>31</v>
      </c>
      <c r="S447" s="7" t="s">
        <v>32</v>
      </c>
      <c r="T447" s="5"/>
    </row>
    <row r="448" customFormat="false" ht="43.5" hidden="false" customHeight="true" outlineLevel="0" collapsed="false">
      <c r="A448" s="4" t="n">
        <v>447</v>
      </c>
      <c r="B448" s="6" t="s">
        <v>1787</v>
      </c>
      <c r="C448" s="6" t="s">
        <v>1788</v>
      </c>
      <c r="D448" s="6" t="s">
        <v>1789</v>
      </c>
      <c r="E448" s="7" t="s">
        <v>21</v>
      </c>
      <c r="F448" s="6" t="s">
        <v>1975</v>
      </c>
      <c r="G448" s="6" t="s">
        <v>1976</v>
      </c>
      <c r="H448" s="6" t="s">
        <v>1977</v>
      </c>
      <c r="I448" s="6" t="s">
        <v>1978</v>
      </c>
      <c r="J448" s="6" t="s">
        <v>1979</v>
      </c>
      <c r="K448" s="5"/>
      <c r="L448" s="4" t="s">
        <v>62</v>
      </c>
      <c r="M448" s="8" t="s">
        <v>79</v>
      </c>
      <c r="N448" s="9" t="s">
        <v>1795</v>
      </c>
      <c r="O448" s="5"/>
      <c r="P448" s="5"/>
      <c r="Q448" s="6" t="s">
        <v>30</v>
      </c>
      <c r="R448" s="4" t="s">
        <v>31</v>
      </c>
      <c r="S448" s="7" t="s">
        <v>32</v>
      </c>
      <c r="T448" s="5"/>
    </row>
    <row r="449" customFormat="false" ht="29.25" hidden="false" customHeight="true" outlineLevel="0" collapsed="false">
      <c r="A449" s="4" t="n">
        <v>448</v>
      </c>
      <c r="B449" s="6" t="s">
        <v>1787</v>
      </c>
      <c r="C449" s="6" t="s">
        <v>1788</v>
      </c>
      <c r="D449" s="6" t="s">
        <v>1789</v>
      </c>
      <c r="E449" s="7" t="s">
        <v>21</v>
      </c>
      <c r="F449" s="6" t="s">
        <v>1980</v>
      </c>
      <c r="G449" s="6" t="s">
        <v>1981</v>
      </c>
      <c r="H449" s="6" t="s">
        <v>1982</v>
      </c>
      <c r="I449" s="6" t="s">
        <v>1405</v>
      </c>
      <c r="J449" s="6" t="s">
        <v>1983</v>
      </c>
      <c r="K449" s="5"/>
      <c r="L449" s="4" t="s">
        <v>27</v>
      </c>
      <c r="M449" s="8" t="s">
        <v>129</v>
      </c>
      <c r="N449" s="9" t="s">
        <v>1795</v>
      </c>
      <c r="O449" s="5"/>
      <c r="P449" s="5"/>
      <c r="Q449" s="6" t="s">
        <v>30</v>
      </c>
      <c r="R449" s="4" t="s">
        <v>31</v>
      </c>
      <c r="S449" s="7" t="s">
        <v>32</v>
      </c>
      <c r="T449" s="5"/>
    </row>
    <row r="450" customFormat="false" ht="29.25" hidden="false" customHeight="true" outlineLevel="0" collapsed="false">
      <c r="A450" s="4" t="n">
        <v>449</v>
      </c>
      <c r="B450" s="6" t="s">
        <v>1787</v>
      </c>
      <c r="C450" s="6" t="s">
        <v>1788</v>
      </c>
      <c r="D450" s="6" t="s">
        <v>1789</v>
      </c>
      <c r="E450" s="7" t="s">
        <v>21</v>
      </c>
      <c r="F450" s="6" t="s">
        <v>1984</v>
      </c>
      <c r="G450" s="6" t="s">
        <v>1985</v>
      </c>
      <c r="H450" s="6" t="s">
        <v>536</v>
      </c>
      <c r="I450" s="6" t="s">
        <v>213</v>
      </c>
      <c r="J450" s="6" t="s">
        <v>535</v>
      </c>
      <c r="K450" s="5"/>
      <c r="L450" s="4" t="s">
        <v>51</v>
      </c>
      <c r="M450" s="8" t="s">
        <v>129</v>
      </c>
      <c r="N450" s="9" t="s">
        <v>1795</v>
      </c>
      <c r="O450" s="5"/>
      <c r="P450" s="5"/>
      <c r="Q450" s="6" t="s">
        <v>30</v>
      </c>
      <c r="R450" s="4" t="s">
        <v>31</v>
      </c>
      <c r="S450" s="7" t="s">
        <v>32</v>
      </c>
      <c r="T450" s="5"/>
    </row>
    <row r="451" customFormat="false" ht="29.25" hidden="false" customHeight="true" outlineLevel="0" collapsed="false">
      <c r="A451" s="4" t="n">
        <v>450</v>
      </c>
      <c r="B451" s="6" t="s">
        <v>1787</v>
      </c>
      <c r="C451" s="6" t="s">
        <v>1788</v>
      </c>
      <c r="D451" s="6" t="s">
        <v>1789</v>
      </c>
      <c r="E451" s="7" t="s">
        <v>21</v>
      </c>
      <c r="F451" s="6" t="s">
        <v>1986</v>
      </c>
      <c r="G451" s="6" t="s">
        <v>1953</v>
      </c>
      <c r="H451" s="6" t="s">
        <v>536</v>
      </c>
      <c r="I451" s="6" t="s">
        <v>213</v>
      </c>
      <c r="J451" s="6" t="s">
        <v>535</v>
      </c>
      <c r="K451" s="5"/>
      <c r="L451" s="4" t="s">
        <v>44</v>
      </c>
      <c r="M451" s="8" t="s">
        <v>129</v>
      </c>
      <c r="N451" s="9" t="s">
        <v>1795</v>
      </c>
      <c r="O451" s="5"/>
      <c r="P451" s="5"/>
      <c r="Q451" s="6" t="s">
        <v>30</v>
      </c>
      <c r="R451" s="4" t="s">
        <v>31</v>
      </c>
      <c r="S451" s="7" t="s">
        <v>32</v>
      </c>
      <c r="T451" s="5"/>
    </row>
    <row r="452" customFormat="false" ht="29.25" hidden="false" customHeight="true" outlineLevel="0" collapsed="false">
      <c r="A452" s="4" t="n">
        <v>451</v>
      </c>
      <c r="B452" s="6" t="s">
        <v>1787</v>
      </c>
      <c r="C452" s="6" t="s">
        <v>1788</v>
      </c>
      <c r="D452" s="6" t="s">
        <v>1789</v>
      </c>
      <c r="E452" s="7" t="s">
        <v>21</v>
      </c>
      <c r="F452" s="6" t="s">
        <v>1987</v>
      </c>
      <c r="G452" s="6" t="s">
        <v>1955</v>
      </c>
      <c r="H452" s="6" t="s">
        <v>1988</v>
      </c>
      <c r="I452" s="6" t="s">
        <v>1989</v>
      </c>
      <c r="J452" s="6" t="s">
        <v>1956</v>
      </c>
      <c r="K452" s="5"/>
      <c r="L452" s="4" t="s">
        <v>51</v>
      </c>
      <c r="M452" s="8" t="s">
        <v>129</v>
      </c>
      <c r="N452" s="9" t="s">
        <v>1795</v>
      </c>
      <c r="O452" s="5"/>
      <c r="P452" s="5"/>
      <c r="Q452" s="6" t="s">
        <v>30</v>
      </c>
      <c r="R452" s="4" t="s">
        <v>31</v>
      </c>
      <c r="S452" s="7" t="s">
        <v>32</v>
      </c>
      <c r="T452" s="5"/>
    </row>
    <row r="453" customFormat="false" ht="29.25" hidden="false" customHeight="true" outlineLevel="0" collapsed="false">
      <c r="A453" s="4" t="n">
        <v>452</v>
      </c>
      <c r="B453" s="6" t="s">
        <v>1787</v>
      </c>
      <c r="C453" s="6" t="s">
        <v>1788</v>
      </c>
      <c r="D453" s="6" t="s">
        <v>1789</v>
      </c>
      <c r="E453" s="7" t="s">
        <v>21</v>
      </c>
      <c r="F453" s="6" t="s">
        <v>1990</v>
      </c>
      <c r="G453" s="6" t="s">
        <v>1400</v>
      </c>
      <c r="H453" s="6" t="s">
        <v>876</v>
      </c>
      <c r="I453" s="6" t="s">
        <v>1991</v>
      </c>
      <c r="J453" s="6" t="s">
        <v>1992</v>
      </c>
      <c r="K453" s="5"/>
      <c r="L453" s="4" t="s">
        <v>27</v>
      </c>
      <c r="M453" s="8" t="s">
        <v>129</v>
      </c>
      <c r="N453" s="9" t="s">
        <v>1795</v>
      </c>
      <c r="O453" s="5"/>
      <c r="P453" s="5"/>
      <c r="Q453" s="6" t="s">
        <v>30</v>
      </c>
      <c r="R453" s="4" t="s">
        <v>31</v>
      </c>
      <c r="S453" s="7" t="s">
        <v>32</v>
      </c>
      <c r="T453" s="5"/>
    </row>
    <row r="454" customFormat="false" ht="43.5" hidden="false" customHeight="true" outlineLevel="0" collapsed="false">
      <c r="A454" s="4" t="n">
        <v>453</v>
      </c>
      <c r="B454" s="6" t="s">
        <v>1787</v>
      </c>
      <c r="C454" s="6" t="s">
        <v>1788</v>
      </c>
      <c r="D454" s="6" t="s">
        <v>1789</v>
      </c>
      <c r="E454" s="7" t="s">
        <v>21</v>
      </c>
      <c r="F454" s="6" t="s">
        <v>1993</v>
      </c>
      <c r="G454" s="6" t="s">
        <v>1994</v>
      </c>
      <c r="H454" s="6" t="s">
        <v>1995</v>
      </c>
      <c r="I454" s="6" t="s">
        <v>1996</v>
      </c>
      <c r="J454" s="6" t="s">
        <v>1997</v>
      </c>
      <c r="K454" s="5"/>
      <c r="L454" s="4" t="s">
        <v>62</v>
      </c>
      <c r="M454" s="8" t="s">
        <v>79</v>
      </c>
      <c r="N454" s="9" t="s">
        <v>1795</v>
      </c>
      <c r="O454" s="5"/>
      <c r="P454" s="5"/>
      <c r="Q454" s="6" t="s">
        <v>30</v>
      </c>
      <c r="R454" s="4" t="s">
        <v>31</v>
      </c>
      <c r="S454" s="7" t="s">
        <v>32</v>
      </c>
      <c r="T454" s="5"/>
    </row>
    <row r="455" customFormat="false" ht="29.25" hidden="false" customHeight="true" outlineLevel="0" collapsed="false">
      <c r="A455" s="4" t="n">
        <v>454</v>
      </c>
      <c r="B455" s="6" t="s">
        <v>1787</v>
      </c>
      <c r="C455" s="6" t="s">
        <v>1788</v>
      </c>
      <c r="D455" s="6" t="s">
        <v>1789</v>
      </c>
      <c r="E455" s="7" t="s">
        <v>21</v>
      </c>
      <c r="F455" s="6" t="s">
        <v>1998</v>
      </c>
      <c r="G455" s="6" t="s">
        <v>1999</v>
      </c>
      <c r="H455" s="6" t="s">
        <v>2000</v>
      </c>
      <c r="I455" s="6" t="s">
        <v>1821</v>
      </c>
      <c r="J455" s="6" t="s">
        <v>2001</v>
      </c>
      <c r="K455" s="5"/>
      <c r="L455" s="4" t="s">
        <v>51</v>
      </c>
      <c r="M455" s="8" t="s">
        <v>79</v>
      </c>
      <c r="N455" s="9" t="s">
        <v>1795</v>
      </c>
      <c r="O455" s="5"/>
      <c r="P455" s="5"/>
      <c r="Q455" s="6" t="s">
        <v>30</v>
      </c>
      <c r="R455" s="4" t="s">
        <v>31</v>
      </c>
      <c r="S455" s="7" t="s">
        <v>32</v>
      </c>
      <c r="T455" s="5"/>
    </row>
    <row r="456" customFormat="false" ht="29.25" hidden="false" customHeight="true" outlineLevel="0" collapsed="false">
      <c r="A456" s="4" t="n">
        <v>455</v>
      </c>
      <c r="B456" s="6" t="s">
        <v>1787</v>
      </c>
      <c r="C456" s="6" t="s">
        <v>1788</v>
      </c>
      <c r="D456" s="6" t="s">
        <v>1789</v>
      </c>
      <c r="E456" s="7" t="s">
        <v>21</v>
      </c>
      <c r="F456" s="6" t="s">
        <v>2002</v>
      </c>
      <c r="G456" s="6" t="s">
        <v>2003</v>
      </c>
      <c r="H456" s="6" t="s">
        <v>1350</v>
      </c>
      <c r="I456" s="6" t="s">
        <v>2004</v>
      </c>
      <c r="J456" s="6" t="s">
        <v>2005</v>
      </c>
      <c r="K456" s="5"/>
      <c r="L456" s="4" t="s">
        <v>62</v>
      </c>
      <c r="M456" s="8" t="s">
        <v>129</v>
      </c>
      <c r="N456" s="9" t="s">
        <v>1795</v>
      </c>
      <c r="O456" s="5"/>
      <c r="P456" s="5"/>
      <c r="Q456" s="6" t="s">
        <v>30</v>
      </c>
      <c r="R456" s="4" t="s">
        <v>31</v>
      </c>
      <c r="S456" s="7" t="s">
        <v>32</v>
      </c>
      <c r="T456" s="5"/>
    </row>
    <row r="457" customFormat="false" ht="29.25" hidden="false" customHeight="true" outlineLevel="0" collapsed="false">
      <c r="A457" s="4" t="n">
        <v>456</v>
      </c>
      <c r="B457" s="6" t="s">
        <v>1787</v>
      </c>
      <c r="C457" s="6" t="s">
        <v>1788</v>
      </c>
      <c r="D457" s="6" t="s">
        <v>1789</v>
      </c>
      <c r="E457" s="7" t="s">
        <v>21</v>
      </c>
      <c r="F457" s="6" t="s">
        <v>2006</v>
      </c>
      <c r="G457" s="6" t="s">
        <v>2007</v>
      </c>
      <c r="H457" s="6" t="s">
        <v>2008</v>
      </c>
      <c r="I457" s="6" t="s">
        <v>2009</v>
      </c>
      <c r="J457" s="6" t="s">
        <v>2010</v>
      </c>
      <c r="K457" s="5"/>
      <c r="L457" s="4" t="s">
        <v>44</v>
      </c>
      <c r="M457" s="8" t="s">
        <v>129</v>
      </c>
      <c r="N457" s="9" t="s">
        <v>1795</v>
      </c>
      <c r="O457" s="5"/>
      <c r="P457" s="5"/>
      <c r="Q457" s="6" t="s">
        <v>30</v>
      </c>
      <c r="R457" s="4" t="s">
        <v>31</v>
      </c>
      <c r="S457" s="7" t="s">
        <v>32</v>
      </c>
      <c r="T457" s="5"/>
    </row>
    <row r="458" customFormat="false" ht="29.25" hidden="false" customHeight="true" outlineLevel="0" collapsed="false">
      <c r="A458" s="4" t="n">
        <v>457</v>
      </c>
      <c r="B458" s="6" t="s">
        <v>1787</v>
      </c>
      <c r="C458" s="6" t="s">
        <v>1788</v>
      </c>
      <c r="D458" s="6" t="s">
        <v>1789</v>
      </c>
      <c r="E458" s="7" t="s">
        <v>21</v>
      </c>
      <c r="F458" s="6" t="s">
        <v>2011</v>
      </c>
      <c r="G458" s="6" t="s">
        <v>2012</v>
      </c>
      <c r="H458" s="6" t="s">
        <v>2013</v>
      </c>
      <c r="I458" s="6" t="s">
        <v>2014</v>
      </c>
      <c r="J458" s="6" t="s">
        <v>2015</v>
      </c>
      <c r="K458" s="5"/>
      <c r="L458" s="4" t="s">
        <v>27</v>
      </c>
      <c r="M458" s="8" t="s">
        <v>79</v>
      </c>
      <c r="N458" s="9" t="s">
        <v>1795</v>
      </c>
      <c r="O458" s="5"/>
      <c r="P458" s="5"/>
      <c r="Q458" s="6" t="s">
        <v>30</v>
      </c>
      <c r="R458" s="4" t="s">
        <v>31</v>
      </c>
      <c r="S458" s="7" t="s">
        <v>32</v>
      </c>
      <c r="T458" s="5"/>
    </row>
    <row r="459" customFormat="false" ht="29.25" hidden="false" customHeight="true" outlineLevel="0" collapsed="false">
      <c r="A459" s="4" t="n">
        <v>458</v>
      </c>
      <c r="B459" s="6" t="s">
        <v>1787</v>
      </c>
      <c r="C459" s="6" t="s">
        <v>1788</v>
      </c>
      <c r="D459" s="6" t="s">
        <v>1789</v>
      </c>
      <c r="E459" s="7" t="s">
        <v>21</v>
      </c>
      <c r="F459" s="6" t="s">
        <v>2016</v>
      </c>
      <c r="G459" s="6" t="s">
        <v>1981</v>
      </c>
      <c r="H459" s="6" t="s">
        <v>876</v>
      </c>
      <c r="I459" s="6" t="s">
        <v>1405</v>
      </c>
      <c r="J459" s="6" t="s">
        <v>2017</v>
      </c>
      <c r="K459" s="5"/>
      <c r="L459" s="4" t="s">
        <v>62</v>
      </c>
      <c r="M459" s="8" t="s">
        <v>79</v>
      </c>
      <c r="N459" s="9" t="s">
        <v>1795</v>
      </c>
      <c r="O459" s="5"/>
      <c r="P459" s="5"/>
      <c r="Q459" s="6" t="s">
        <v>30</v>
      </c>
      <c r="R459" s="4" t="s">
        <v>31</v>
      </c>
      <c r="S459" s="7" t="s">
        <v>32</v>
      </c>
      <c r="T459" s="5"/>
    </row>
    <row r="460" customFormat="false" ht="29.25" hidden="false" customHeight="true" outlineLevel="0" collapsed="false">
      <c r="A460" s="4" t="n">
        <v>459</v>
      </c>
      <c r="B460" s="6" t="s">
        <v>1787</v>
      </c>
      <c r="C460" s="6" t="s">
        <v>1788</v>
      </c>
      <c r="D460" s="6" t="s">
        <v>1789</v>
      </c>
      <c r="E460" s="7" t="s">
        <v>21</v>
      </c>
      <c r="F460" s="6" t="s">
        <v>2018</v>
      </c>
      <c r="G460" s="6" t="s">
        <v>1983</v>
      </c>
      <c r="H460" s="6" t="s">
        <v>2019</v>
      </c>
      <c r="I460" s="6" t="s">
        <v>2020</v>
      </c>
      <c r="J460" s="6" t="s">
        <v>2021</v>
      </c>
      <c r="K460" s="5"/>
      <c r="L460" s="4" t="s">
        <v>44</v>
      </c>
      <c r="M460" s="8" t="s">
        <v>79</v>
      </c>
      <c r="N460" s="9" t="s">
        <v>1795</v>
      </c>
      <c r="O460" s="5"/>
      <c r="P460" s="5"/>
      <c r="Q460" s="6" t="s">
        <v>30</v>
      </c>
      <c r="R460" s="4" t="s">
        <v>31</v>
      </c>
      <c r="S460" s="7" t="s">
        <v>32</v>
      </c>
      <c r="T460" s="5"/>
    </row>
    <row r="461" customFormat="false" ht="29.25" hidden="false" customHeight="true" outlineLevel="0" collapsed="false">
      <c r="A461" s="4" t="n">
        <v>460</v>
      </c>
      <c r="B461" s="6" t="s">
        <v>1787</v>
      </c>
      <c r="C461" s="6" t="s">
        <v>1788</v>
      </c>
      <c r="D461" s="6" t="s">
        <v>1789</v>
      </c>
      <c r="E461" s="7" t="s">
        <v>21</v>
      </c>
      <c r="F461" s="6" t="s">
        <v>2022</v>
      </c>
      <c r="G461" s="6" t="s">
        <v>2003</v>
      </c>
      <c r="H461" s="6" t="s">
        <v>2004</v>
      </c>
      <c r="I461" s="6" t="s">
        <v>2023</v>
      </c>
      <c r="J461" s="6" t="s">
        <v>2005</v>
      </c>
      <c r="K461" s="5"/>
      <c r="L461" s="4" t="s">
        <v>51</v>
      </c>
      <c r="M461" s="8" t="s">
        <v>129</v>
      </c>
      <c r="N461" s="9" t="s">
        <v>1795</v>
      </c>
      <c r="O461" s="5"/>
      <c r="P461" s="5"/>
      <c r="Q461" s="6" t="s">
        <v>30</v>
      </c>
      <c r="R461" s="4" t="s">
        <v>31</v>
      </c>
      <c r="S461" s="7" t="s">
        <v>32</v>
      </c>
      <c r="T461" s="5"/>
    </row>
    <row r="462" customFormat="false" ht="29.25" hidden="false" customHeight="true" outlineLevel="0" collapsed="false">
      <c r="A462" s="4" t="n">
        <v>461</v>
      </c>
      <c r="B462" s="6" t="s">
        <v>1787</v>
      </c>
      <c r="C462" s="6" t="s">
        <v>1788</v>
      </c>
      <c r="D462" s="6" t="s">
        <v>1789</v>
      </c>
      <c r="E462" s="7" t="s">
        <v>21</v>
      </c>
      <c r="F462" s="6" t="s">
        <v>2024</v>
      </c>
      <c r="G462" s="6" t="s">
        <v>213</v>
      </c>
      <c r="H462" s="6" t="s">
        <v>2025</v>
      </c>
      <c r="I462" s="6" t="s">
        <v>2026</v>
      </c>
      <c r="J462" s="6" t="s">
        <v>2027</v>
      </c>
      <c r="K462" s="5"/>
      <c r="L462" s="4" t="s">
        <v>44</v>
      </c>
      <c r="M462" s="8" t="s">
        <v>79</v>
      </c>
      <c r="N462" s="9" t="s">
        <v>1795</v>
      </c>
      <c r="O462" s="5"/>
      <c r="P462" s="5"/>
      <c r="Q462" s="6" t="s">
        <v>30</v>
      </c>
      <c r="R462" s="4" t="s">
        <v>31</v>
      </c>
      <c r="S462" s="7" t="s">
        <v>32</v>
      </c>
      <c r="T462" s="5"/>
    </row>
    <row r="463" customFormat="false" ht="29.25" hidden="false" customHeight="true" outlineLevel="0" collapsed="false">
      <c r="A463" s="4" t="n">
        <v>462</v>
      </c>
      <c r="B463" s="6" t="s">
        <v>1787</v>
      </c>
      <c r="C463" s="6" t="s">
        <v>1788</v>
      </c>
      <c r="D463" s="6" t="s">
        <v>1789</v>
      </c>
      <c r="E463" s="7" t="s">
        <v>21</v>
      </c>
      <c r="F463" s="6" t="s">
        <v>2028</v>
      </c>
      <c r="G463" s="6" t="s">
        <v>2029</v>
      </c>
      <c r="H463" s="6" t="s">
        <v>1983</v>
      </c>
      <c r="I463" s="6" t="s">
        <v>1981</v>
      </c>
      <c r="J463" s="6" t="s">
        <v>2030</v>
      </c>
      <c r="K463" s="5"/>
      <c r="L463" s="4" t="s">
        <v>27</v>
      </c>
      <c r="M463" s="8" t="s">
        <v>79</v>
      </c>
      <c r="N463" s="9" t="s">
        <v>1795</v>
      </c>
      <c r="O463" s="5"/>
      <c r="P463" s="5"/>
      <c r="Q463" s="6" t="s">
        <v>30</v>
      </c>
      <c r="R463" s="4" t="s">
        <v>31</v>
      </c>
      <c r="S463" s="7" t="s">
        <v>32</v>
      </c>
      <c r="T463" s="5"/>
    </row>
    <row r="464" customFormat="false" ht="29.25" hidden="false" customHeight="true" outlineLevel="0" collapsed="false">
      <c r="A464" s="4" t="n">
        <v>463</v>
      </c>
      <c r="B464" s="6" t="s">
        <v>1787</v>
      </c>
      <c r="C464" s="6" t="s">
        <v>1788</v>
      </c>
      <c r="D464" s="6" t="s">
        <v>1789</v>
      </c>
      <c r="E464" s="7" t="s">
        <v>21</v>
      </c>
      <c r="F464" s="6" t="s">
        <v>2031</v>
      </c>
      <c r="G464" s="6" t="s">
        <v>2032</v>
      </c>
      <c r="H464" s="6" t="s">
        <v>2033</v>
      </c>
      <c r="I464" s="6" t="s">
        <v>2034</v>
      </c>
      <c r="J464" s="6" t="s">
        <v>2035</v>
      </c>
      <c r="K464" s="5"/>
      <c r="L464" s="4" t="s">
        <v>62</v>
      </c>
      <c r="M464" s="8" t="s">
        <v>79</v>
      </c>
      <c r="N464" s="9" t="s">
        <v>1795</v>
      </c>
      <c r="O464" s="5"/>
      <c r="P464" s="5"/>
      <c r="Q464" s="6" t="s">
        <v>30</v>
      </c>
      <c r="R464" s="4" t="s">
        <v>31</v>
      </c>
      <c r="S464" s="7" t="s">
        <v>32</v>
      </c>
      <c r="T464" s="5"/>
    </row>
    <row r="465" customFormat="false" ht="57.75" hidden="false" customHeight="true" outlineLevel="0" collapsed="false">
      <c r="A465" s="4" t="n">
        <v>464</v>
      </c>
      <c r="B465" s="6" t="s">
        <v>1787</v>
      </c>
      <c r="C465" s="6" t="s">
        <v>1788</v>
      </c>
      <c r="D465" s="6" t="s">
        <v>1789</v>
      </c>
      <c r="E465" s="7" t="s">
        <v>21</v>
      </c>
      <c r="F465" s="6" t="s">
        <v>2036</v>
      </c>
      <c r="G465" s="6" t="s">
        <v>2037</v>
      </c>
      <c r="H465" s="6" t="s">
        <v>2038</v>
      </c>
      <c r="I465" s="6" t="s">
        <v>2039</v>
      </c>
      <c r="J465" s="6" t="s">
        <v>2040</v>
      </c>
      <c r="K465" s="5"/>
      <c r="L465" s="4" t="s">
        <v>51</v>
      </c>
      <c r="M465" s="8" t="s">
        <v>28</v>
      </c>
      <c r="N465" s="9" t="s">
        <v>1795</v>
      </c>
      <c r="O465" s="5"/>
      <c r="P465" s="5"/>
      <c r="Q465" s="6" t="s">
        <v>30</v>
      </c>
      <c r="R465" s="4" t="s">
        <v>31</v>
      </c>
      <c r="S465" s="7" t="s">
        <v>32</v>
      </c>
      <c r="T465" s="5"/>
    </row>
    <row r="466" customFormat="false" ht="29.25" hidden="false" customHeight="true" outlineLevel="0" collapsed="false">
      <c r="A466" s="4" t="n">
        <v>465</v>
      </c>
      <c r="B466" s="6" t="s">
        <v>1787</v>
      </c>
      <c r="C466" s="6" t="s">
        <v>1788</v>
      </c>
      <c r="D466" s="6" t="s">
        <v>1789</v>
      </c>
      <c r="E466" s="7" t="s">
        <v>21</v>
      </c>
      <c r="F466" s="6" t="s">
        <v>2041</v>
      </c>
      <c r="G466" s="6" t="s">
        <v>2029</v>
      </c>
      <c r="H466" s="6" t="s">
        <v>1405</v>
      </c>
      <c r="I466" s="6" t="s">
        <v>1981</v>
      </c>
      <c r="J466" s="6" t="s">
        <v>1982</v>
      </c>
      <c r="K466" s="5"/>
      <c r="L466" s="4" t="s">
        <v>27</v>
      </c>
      <c r="M466" s="8" t="s">
        <v>79</v>
      </c>
      <c r="N466" s="9" t="s">
        <v>1795</v>
      </c>
      <c r="O466" s="5"/>
      <c r="P466" s="5"/>
      <c r="Q466" s="6" t="s">
        <v>30</v>
      </c>
      <c r="R466" s="4" t="s">
        <v>31</v>
      </c>
      <c r="S466" s="7" t="s">
        <v>32</v>
      </c>
      <c r="T466" s="5"/>
    </row>
    <row r="467" customFormat="false" ht="29.25" hidden="false" customHeight="true" outlineLevel="0" collapsed="false">
      <c r="A467" s="4" t="n">
        <v>466</v>
      </c>
      <c r="B467" s="6" t="s">
        <v>1787</v>
      </c>
      <c r="C467" s="6" t="s">
        <v>1788</v>
      </c>
      <c r="D467" s="6" t="s">
        <v>1789</v>
      </c>
      <c r="E467" s="7" t="s">
        <v>21</v>
      </c>
      <c r="F467" s="6" t="s">
        <v>2042</v>
      </c>
      <c r="G467" s="6" t="s">
        <v>2043</v>
      </c>
      <c r="H467" s="6" t="s">
        <v>2044</v>
      </c>
      <c r="I467" s="6" t="s">
        <v>2045</v>
      </c>
      <c r="J467" s="6" t="s">
        <v>2046</v>
      </c>
      <c r="K467" s="5"/>
      <c r="L467" s="4" t="s">
        <v>44</v>
      </c>
      <c r="M467" s="8" t="s">
        <v>79</v>
      </c>
      <c r="N467" s="9" t="s">
        <v>1795</v>
      </c>
      <c r="O467" s="5"/>
      <c r="P467" s="5"/>
      <c r="Q467" s="6" t="s">
        <v>30</v>
      </c>
      <c r="R467" s="4" t="s">
        <v>31</v>
      </c>
      <c r="S467" s="7" t="s">
        <v>32</v>
      </c>
      <c r="T467" s="5"/>
    </row>
    <row r="468" customFormat="false" ht="29.25" hidden="false" customHeight="true" outlineLevel="0" collapsed="false">
      <c r="A468" s="4" t="n">
        <v>467</v>
      </c>
      <c r="B468" s="6" t="s">
        <v>1787</v>
      </c>
      <c r="C468" s="6" t="s">
        <v>1788</v>
      </c>
      <c r="D468" s="6" t="s">
        <v>1789</v>
      </c>
      <c r="E468" s="7" t="s">
        <v>21</v>
      </c>
      <c r="F468" s="6" t="s">
        <v>2047</v>
      </c>
      <c r="G468" s="6" t="s">
        <v>2048</v>
      </c>
      <c r="H468" s="6" t="s">
        <v>2049</v>
      </c>
      <c r="I468" s="6" t="s">
        <v>2029</v>
      </c>
      <c r="J468" s="6" t="s">
        <v>1981</v>
      </c>
      <c r="K468" s="5"/>
      <c r="L468" s="4" t="s">
        <v>62</v>
      </c>
      <c r="M468" s="8" t="s">
        <v>79</v>
      </c>
      <c r="N468" s="9" t="s">
        <v>1795</v>
      </c>
      <c r="O468" s="5"/>
      <c r="P468" s="5"/>
      <c r="Q468" s="6" t="s">
        <v>30</v>
      </c>
      <c r="R468" s="4" t="s">
        <v>31</v>
      </c>
      <c r="S468" s="7" t="s">
        <v>32</v>
      </c>
      <c r="T468" s="5"/>
    </row>
    <row r="469" customFormat="false" ht="29.25" hidden="false" customHeight="true" outlineLevel="0" collapsed="false">
      <c r="A469" s="4" t="n">
        <v>468</v>
      </c>
      <c r="B469" s="6" t="s">
        <v>1787</v>
      </c>
      <c r="C469" s="6" t="s">
        <v>1788</v>
      </c>
      <c r="D469" s="6" t="s">
        <v>1789</v>
      </c>
      <c r="E469" s="7" t="s">
        <v>21</v>
      </c>
      <c r="F469" s="6" t="s">
        <v>2050</v>
      </c>
      <c r="G469" s="6" t="s">
        <v>2051</v>
      </c>
      <c r="H469" s="6" t="s">
        <v>2052</v>
      </c>
      <c r="I469" s="6" t="s">
        <v>2053</v>
      </c>
      <c r="J469" s="6" t="s">
        <v>2054</v>
      </c>
      <c r="K469" s="5"/>
      <c r="L469" s="4" t="s">
        <v>44</v>
      </c>
      <c r="M469" s="8" t="s">
        <v>79</v>
      </c>
      <c r="N469" s="9" t="s">
        <v>2055</v>
      </c>
      <c r="O469" s="5"/>
      <c r="P469" s="5"/>
      <c r="Q469" s="6" t="s">
        <v>30</v>
      </c>
      <c r="R469" s="4" t="s">
        <v>31</v>
      </c>
      <c r="S469" s="7" t="s">
        <v>32</v>
      </c>
      <c r="T469" s="5"/>
    </row>
    <row r="470" customFormat="false" ht="43.5" hidden="false" customHeight="true" outlineLevel="0" collapsed="false">
      <c r="A470" s="4" t="n">
        <v>469</v>
      </c>
      <c r="B470" s="6" t="s">
        <v>1787</v>
      </c>
      <c r="C470" s="6" t="s">
        <v>1788</v>
      </c>
      <c r="D470" s="6" t="s">
        <v>1789</v>
      </c>
      <c r="E470" s="7" t="s">
        <v>21</v>
      </c>
      <c r="F470" s="6" t="s">
        <v>2056</v>
      </c>
      <c r="G470" s="6" t="s">
        <v>2057</v>
      </c>
      <c r="H470" s="6" t="s">
        <v>2058</v>
      </c>
      <c r="I470" s="6" t="s">
        <v>2059</v>
      </c>
      <c r="J470" s="6" t="s">
        <v>2060</v>
      </c>
      <c r="K470" s="5"/>
      <c r="L470" s="4" t="s">
        <v>27</v>
      </c>
      <c r="M470" s="8" t="s">
        <v>79</v>
      </c>
      <c r="N470" s="9" t="s">
        <v>1795</v>
      </c>
      <c r="O470" s="5"/>
      <c r="P470" s="5"/>
      <c r="Q470" s="6" t="s">
        <v>30</v>
      </c>
      <c r="R470" s="4" t="s">
        <v>31</v>
      </c>
      <c r="S470" s="7" t="s">
        <v>32</v>
      </c>
      <c r="T470" s="5"/>
    </row>
    <row r="471" customFormat="false" ht="29.25" hidden="false" customHeight="true" outlineLevel="0" collapsed="false">
      <c r="A471" s="4" t="n">
        <v>470</v>
      </c>
      <c r="B471" s="6" t="s">
        <v>1787</v>
      </c>
      <c r="C471" s="6" t="s">
        <v>1788</v>
      </c>
      <c r="D471" s="6" t="s">
        <v>1789</v>
      </c>
      <c r="E471" s="7" t="s">
        <v>21</v>
      </c>
      <c r="F471" s="6" t="s">
        <v>2061</v>
      </c>
      <c r="G471" s="6" t="s">
        <v>2052</v>
      </c>
      <c r="H471" s="6" t="s">
        <v>2062</v>
      </c>
      <c r="I471" s="6" t="s">
        <v>2063</v>
      </c>
      <c r="J471" s="6" t="s">
        <v>2064</v>
      </c>
      <c r="K471" s="5"/>
      <c r="L471" s="4" t="s">
        <v>51</v>
      </c>
      <c r="M471" s="8" t="s">
        <v>28</v>
      </c>
      <c r="N471" s="9" t="s">
        <v>1795</v>
      </c>
      <c r="O471" s="5"/>
      <c r="P471" s="5"/>
      <c r="Q471" s="6" t="s">
        <v>30</v>
      </c>
      <c r="R471" s="4" t="s">
        <v>31</v>
      </c>
      <c r="S471" s="7" t="s">
        <v>32</v>
      </c>
      <c r="T471" s="5"/>
    </row>
    <row r="472" customFormat="false" ht="29.25" hidden="false" customHeight="true" outlineLevel="0" collapsed="false">
      <c r="A472" s="4" t="n">
        <v>471</v>
      </c>
      <c r="B472" s="6" t="s">
        <v>1787</v>
      </c>
      <c r="C472" s="6" t="s">
        <v>1788</v>
      </c>
      <c r="D472" s="6" t="s">
        <v>1789</v>
      </c>
      <c r="E472" s="7" t="s">
        <v>21</v>
      </c>
      <c r="F472" s="6" t="s">
        <v>2065</v>
      </c>
      <c r="G472" s="6" t="s">
        <v>2066</v>
      </c>
      <c r="H472" s="6" t="s">
        <v>2067</v>
      </c>
      <c r="I472" s="6" t="s">
        <v>2068</v>
      </c>
      <c r="J472" s="6" t="s">
        <v>2069</v>
      </c>
      <c r="K472" s="5"/>
      <c r="L472" s="4" t="s">
        <v>62</v>
      </c>
      <c r="M472" s="8" t="s">
        <v>129</v>
      </c>
      <c r="N472" s="9" t="s">
        <v>1795</v>
      </c>
      <c r="O472" s="5"/>
      <c r="P472" s="5"/>
      <c r="Q472" s="6" t="s">
        <v>30</v>
      </c>
      <c r="R472" s="4" t="s">
        <v>31</v>
      </c>
      <c r="S472" s="7" t="s">
        <v>32</v>
      </c>
      <c r="T472" s="5"/>
    </row>
    <row r="473" customFormat="false" ht="29.25" hidden="false" customHeight="true" outlineLevel="0" collapsed="false">
      <c r="A473" s="4" t="n">
        <v>472</v>
      </c>
      <c r="B473" s="6" t="s">
        <v>1787</v>
      </c>
      <c r="C473" s="6" t="s">
        <v>1788</v>
      </c>
      <c r="D473" s="6" t="s">
        <v>1789</v>
      </c>
      <c r="E473" s="7" t="s">
        <v>21</v>
      </c>
      <c r="F473" s="6" t="s">
        <v>2070</v>
      </c>
      <c r="G473" s="6" t="s">
        <v>2071</v>
      </c>
      <c r="H473" s="6" t="s">
        <v>2072</v>
      </c>
      <c r="I473" s="6" t="s">
        <v>2073</v>
      </c>
      <c r="J473" s="6" t="s">
        <v>2074</v>
      </c>
      <c r="K473" s="5"/>
      <c r="L473" s="4" t="s">
        <v>44</v>
      </c>
      <c r="M473" s="8" t="s">
        <v>79</v>
      </c>
      <c r="N473" s="9" t="s">
        <v>1795</v>
      </c>
      <c r="O473" s="5"/>
      <c r="P473" s="5"/>
      <c r="Q473" s="6" t="s">
        <v>30</v>
      </c>
      <c r="R473" s="4" t="s">
        <v>31</v>
      </c>
      <c r="S473" s="7" t="s">
        <v>32</v>
      </c>
      <c r="T473" s="5"/>
    </row>
    <row r="474" customFormat="false" ht="29.25" hidden="false" customHeight="true" outlineLevel="0" collapsed="false">
      <c r="A474" s="4" t="n">
        <v>473</v>
      </c>
      <c r="B474" s="6" t="s">
        <v>1787</v>
      </c>
      <c r="C474" s="6" t="s">
        <v>1788</v>
      </c>
      <c r="D474" s="6" t="s">
        <v>1789</v>
      </c>
      <c r="E474" s="7" t="s">
        <v>21</v>
      </c>
      <c r="F474" s="6" t="s">
        <v>2075</v>
      </c>
      <c r="G474" s="6" t="s">
        <v>2049</v>
      </c>
      <c r="H474" s="6" t="s">
        <v>2076</v>
      </c>
      <c r="I474" s="6" t="s">
        <v>2029</v>
      </c>
      <c r="J474" s="6" t="s">
        <v>1981</v>
      </c>
      <c r="K474" s="5"/>
      <c r="L474" s="4" t="s">
        <v>27</v>
      </c>
      <c r="M474" s="8" t="s">
        <v>79</v>
      </c>
      <c r="N474" s="9" t="s">
        <v>1795</v>
      </c>
      <c r="O474" s="5"/>
      <c r="P474" s="5"/>
      <c r="Q474" s="6" t="s">
        <v>30</v>
      </c>
      <c r="R474" s="4" t="s">
        <v>31</v>
      </c>
      <c r="S474" s="7" t="s">
        <v>32</v>
      </c>
      <c r="T474" s="5"/>
    </row>
    <row r="475" customFormat="false" ht="29.25" hidden="false" customHeight="true" outlineLevel="0" collapsed="false">
      <c r="A475" s="4" t="n">
        <v>474</v>
      </c>
      <c r="B475" s="6" t="s">
        <v>1787</v>
      </c>
      <c r="C475" s="6" t="s">
        <v>1788</v>
      </c>
      <c r="D475" s="6" t="s">
        <v>1789</v>
      </c>
      <c r="E475" s="7" t="s">
        <v>21</v>
      </c>
      <c r="F475" s="6" t="s">
        <v>2077</v>
      </c>
      <c r="G475" s="6" t="s">
        <v>2078</v>
      </c>
      <c r="H475" s="6" t="s">
        <v>2079</v>
      </c>
      <c r="I475" s="6" t="s">
        <v>2080</v>
      </c>
      <c r="J475" s="6" t="s">
        <v>2081</v>
      </c>
      <c r="K475" s="5"/>
      <c r="L475" s="4" t="s">
        <v>62</v>
      </c>
      <c r="M475" s="8" t="s">
        <v>79</v>
      </c>
      <c r="N475" s="9" t="s">
        <v>1795</v>
      </c>
      <c r="O475" s="5"/>
      <c r="P475" s="5"/>
      <c r="Q475" s="6" t="s">
        <v>30</v>
      </c>
      <c r="R475" s="4" t="s">
        <v>31</v>
      </c>
      <c r="S475" s="7" t="s">
        <v>32</v>
      </c>
      <c r="T475" s="5"/>
    </row>
    <row r="476" customFormat="false" ht="29.25" hidden="false" customHeight="true" outlineLevel="0" collapsed="false">
      <c r="A476" s="4" t="n">
        <v>475</v>
      </c>
      <c r="B476" s="6" t="s">
        <v>1787</v>
      </c>
      <c r="C476" s="6" t="s">
        <v>1788</v>
      </c>
      <c r="D476" s="6" t="s">
        <v>1789</v>
      </c>
      <c r="E476" s="7" t="s">
        <v>21</v>
      </c>
      <c r="F476" s="6" t="s">
        <v>2082</v>
      </c>
      <c r="G476" s="6" t="s">
        <v>2083</v>
      </c>
      <c r="H476" s="6" t="s">
        <v>2084</v>
      </c>
      <c r="I476" s="6" t="s">
        <v>2085</v>
      </c>
      <c r="J476" s="6" t="s">
        <v>2086</v>
      </c>
      <c r="K476" s="5"/>
      <c r="L476" s="4" t="s">
        <v>51</v>
      </c>
      <c r="M476" s="8" t="s">
        <v>28</v>
      </c>
      <c r="N476" s="9" t="s">
        <v>1795</v>
      </c>
      <c r="O476" s="5"/>
      <c r="P476" s="5"/>
      <c r="Q476" s="6" t="s">
        <v>30</v>
      </c>
      <c r="R476" s="4" t="s">
        <v>31</v>
      </c>
      <c r="S476" s="7" t="s">
        <v>32</v>
      </c>
      <c r="T476" s="5"/>
    </row>
    <row r="477" customFormat="false" ht="29.25" hidden="false" customHeight="true" outlineLevel="0" collapsed="false">
      <c r="A477" s="4" t="n">
        <v>476</v>
      </c>
      <c r="B477" s="6" t="s">
        <v>1787</v>
      </c>
      <c r="C477" s="6" t="s">
        <v>1788</v>
      </c>
      <c r="D477" s="6" t="s">
        <v>1789</v>
      </c>
      <c r="E477" s="7" t="s">
        <v>21</v>
      </c>
      <c r="F477" s="6" t="s">
        <v>2087</v>
      </c>
      <c r="G477" s="6" t="s">
        <v>2088</v>
      </c>
      <c r="H477" s="6" t="s">
        <v>2089</v>
      </c>
      <c r="I477" s="6" t="s">
        <v>2090</v>
      </c>
      <c r="J477" s="6" t="s">
        <v>2091</v>
      </c>
      <c r="K477" s="5"/>
      <c r="L477" s="4" t="s">
        <v>27</v>
      </c>
      <c r="M477" s="8" t="s">
        <v>79</v>
      </c>
      <c r="N477" s="9" t="s">
        <v>1795</v>
      </c>
      <c r="O477" s="5"/>
      <c r="P477" s="5"/>
      <c r="Q477" s="6" t="s">
        <v>30</v>
      </c>
      <c r="R477" s="4" t="s">
        <v>31</v>
      </c>
      <c r="S477" s="7" t="s">
        <v>32</v>
      </c>
      <c r="T477" s="5"/>
    </row>
    <row r="478" customFormat="false" ht="29.25" hidden="false" customHeight="true" outlineLevel="0" collapsed="false">
      <c r="A478" s="4" t="n">
        <v>477</v>
      </c>
      <c r="B478" s="6" t="s">
        <v>1787</v>
      </c>
      <c r="C478" s="6" t="s">
        <v>1788</v>
      </c>
      <c r="D478" s="6" t="s">
        <v>1789</v>
      </c>
      <c r="E478" s="7" t="s">
        <v>21</v>
      </c>
      <c r="F478" s="6" t="s">
        <v>2092</v>
      </c>
      <c r="G478" s="6" t="s">
        <v>2093</v>
      </c>
      <c r="H478" s="6" t="s">
        <v>2094</v>
      </c>
      <c r="I478" s="6" t="s">
        <v>2095</v>
      </c>
      <c r="J478" s="6" t="s">
        <v>2096</v>
      </c>
      <c r="K478" s="5"/>
      <c r="L478" s="4" t="s">
        <v>44</v>
      </c>
      <c r="M478" s="8" t="s">
        <v>129</v>
      </c>
      <c r="N478" s="9" t="s">
        <v>1795</v>
      </c>
      <c r="O478" s="5"/>
      <c r="P478" s="5"/>
      <c r="Q478" s="6" t="s">
        <v>30</v>
      </c>
      <c r="R478" s="4" t="s">
        <v>31</v>
      </c>
      <c r="S478" s="7" t="s">
        <v>32</v>
      </c>
      <c r="T478" s="5"/>
    </row>
    <row r="479" customFormat="false" ht="29.25" hidden="false" customHeight="true" outlineLevel="0" collapsed="false">
      <c r="A479" s="4" t="n">
        <v>478</v>
      </c>
      <c r="B479" s="6" t="s">
        <v>1787</v>
      </c>
      <c r="C479" s="6" t="s">
        <v>1788</v>
      </c>
      <c r="D479" s="6" t="s">
        <v>1789</v>
      </c>
      <c r="E479" s="7" t="s">
        <v>21</v>
      </c>
      <c r="F479" s="6" t="s">
        <v>2097</v>
      </c>
      <c r="G479" s="6" t="s">
        <v>2093</v>
      </c>
      <c r="H479" s="6" t="s">
        <v>2094</v>
      </c>
      <c r="I479" s="6" t="s">
        <v>2095</v>
      </c>
      <c r="J479" s="6" t="s">
        <v>2096</v>
      </c>
      <c r="K479" s="5"/>
      <c r="L479" s="4" t="s">
        <v>62</v>
      </c>
      <c r="M479" s="8" t="s">
        <v>79</v>
      </c>
      <c r="N479" s="9" t="s">
        <v>1828</v>
      </c>
      <c r="O479" s="5"/>
      <c r="P479" s="5"/>
      <c r="Q479" s="6" t="s">
        <v>30</v>
      </c>
      <c r="R479" s="4" t="s">
        <v>31</v>
      </c>
      <c r="S479" s="7" t="s">
        <v>32</v>
      </c>
      <c r="T479" s="5"/>
    </row>
    <row r="480" customFormat="false" ht="29.25" hidden="false" customHeight="true" outlineLevel="0" collapsed="false">
      <c r="A480" s="4" t="n">
        <v>479</v>
      </c>
      <c r="B480" s="6" t="s">
        <v>1787</v>
      </c>
      <c r="C480" s="6" t="s">
        <v>1788</v>
      </c>
      <c r="D480" s="6" t="s">
        <v>1789</v>
      </c>
      <c r="E480" s="7" t="s">
        <v>21</v>
      </c>
      <c r="F480" s="6" t="s">
        <v>2098</v>
      </c>
      <c r="G480" s="6" t="s">
        <v>2094</v>
      </c>
      <c r="H480" s="6" t="s">
        <v>2096</v>
      </c>
      <c r="I480" s="6" t="s">
        <v>2093</v>
      </c>
      <c r="J480" s="6" t="s">
        <v>1817</v>
      </c>
      <c r="K480" s="5"/>
      <c r="L480" s="4" t="s">
        <v>27</v>
      </c>
      <c r="M480" s="8" t="s">
        <v>28</v>
      </c>
      <c r="N480" s="9" t="s">
        <v>1795</v>
      </c>
      <c r="O480" s="5"/>
      <c r="P480" s="5"/>
      <c r="Q480" s="6" t="s">
        <v>30</v>
      </c>
      <c r="R480" s="4" t="s">
        <v>31</v>
      </c>
      <c r="S480" s="7" t="s">
        <v>32</v>
      </c>
      <c r="T480" s="5"/>
    </row>
    <row r="481" customFormat="false" ht="29.25" hidden="false" customHeight="true" outlineLevel="0" collapsed="false">
      <c r="A481" s="4" t="n">
        <v>480</v>
      </c>
      <c r="B481" s="6" t="s">
        <v>1787</v>
      </c>
      <c r="C481" s="6" t="s">
        <v>1788</v>
      </c>
      <c r="D481" s="6" t="s">
        <v>1789</v>
      </c>
      <c r="E481" s="7" t="s">
        <v>21</v>
      </c>
      <c r="F481" s="6" t="s">
        <v>2099</v>
      </c>
      <c r="G481" s="6" t="s">
        <v>2093</v>
      </c>
      <c r="H481" s="6" t="s">
        <v>2094</v>
      </c>
      <c r="I481" s="6" t="s">
        <v>2095</v>
      </c>
      <c r="J481" s="6" t="s">
        <v>2096</v>
      </c>
      <c r="K481" s="5"/>
      <c r="L481" s="4" t="s">
        <v>51</v>
      </c>
      <c r="M481" s="8" t="s">
        <v>129</v>
      </c>
      <c r="N481" s="9" t="s">
        <v>1795</v>
      </c>
      <c r="O481" s="5"/>
      <c r="P481" s="5"/>
      <c r="Q481" s="6" t="s">
        <v>30</v>
      </c>
      <c r="R481" s="4" t="s">
        <v>31</v>
      </c>
      <c r="S481" s="7" t="s">
        <v>32</v>
      </c>
      <c r="T481" s="5"/>
    </row>
    <row r="482" customFormat="false" ht="43.5" hidden="false" customHeight="true" outlineLevel="0" collapsed="false">
      <c r="A482" s="4" t="n">
        <v>481</v>
      </c>
      <c r="B482" s="6" t="s">
        <v>1787</v>
      </c>
      <c r="C482" s="6" t="s">
        <v>1788</v>
      </c>
      <c r="D482" s="6" t="s">
        <v>1789</v>
      </c>
      <c r="E482" s="7" t="s">
        <v>21</v>
      </c>
      <c r="F482" s="6" t="s">
        <v>2036</v>
      </c>
      <c r="G482" s="6" t="s">
        <v>2100</v>
      </c>
      <c r="H482" s="6" t="s">
        <v>2101</v>
      </c>
      <c r="I482" s="6" t="s">
        <v>2102</v>
      </c>
      <c r="J482" s="6" t="s">
        <v>2103</v>
      </c>
      <c r="K482" s="5"/>
      <c r="L482" s="4" t="s">
        <v>44</v>
      </c>
      <c r="M482" s="8" t="s">
        <v>28</v>
      </c>
      <c r="N482" s="9" t="s">
        <v>1795</v>
      </c>
      <c r="O482" s="5"/>
      <c r="P482" s="5"/>
      <c r="Q482" s="6" t="s">
        <v>30</v>
      </c>
      <c r="R482" s="4" t="s">
        <v>31</v>
      </c>
      <c r="S482" s="7" t="s">
        <v>32</v>
      </c>
      <c r="T482" s="5"/>
    </row>
    <row r="483" customFormat="false" ht="29.25" hidden="false" customHeight="true" outlineLevel="0" collapsed="false">
      <c r="A483" s="4" t="n">
        <v>482</v>
      </c>
      <c r="B483" s="6" t="s">
        <v>1787</v>
      </c>
      <c r="C483" s="6" t="s">
        <v>1788</v>
      </c>
      <c r="D483" s="6" t="s">
        <v>1789</v>
      </c>
      <c r="E483" s="7" t="s">
        <v>21</v>
      </c>
      <c r="F483" s="6" t="s">
        <v>2104</v>
      </c>
      <c r="G483" s="6" t="s">
        <v>2105</v>
      </c>
      <c r="H483" s="6" t="s">
        <v>2106</v>
      </c>
      <c r="I483" s="6" t="s">
        <v>1821</v>
      </c>
      <c r="J483" s="6" t="s">
        <v>2107</v>
      </c>
      <c r="K483" s="5"/>
      <c r="L483" s="4" t="s">
        <v>62</v>
      </c>
      <c r="M483" s="8" t="s">
        <v>79</v>
      </c>
      <c r="N483" s="9" t="s">
        <v>1795</v>
      </c>
      <c r="O483" s="5"/>
      <c r="P483" s="5"/>
      <c r="Q483" s="6" t="s">
        <v>30</v>
      </c>
      <c r="R483" s="4" t="s">
        <v>31</v>
      </c>
      <c r="S483" s="7" t="s">
        <v>32</v>
      </c>
      <c r="T483" s="5"/>
    </row>
    <row r="484" customFormat="false" ht="29.25" hidden="false" customHeight="true" outlineLevel="0" collapsed="false">
      <c r="A484" s="4" t="n">
        <v>483</v>
      </c>
      <c r="B484" s="6" t="s">
        <v>1787</v>
      </c>
      <c r="C484" s="6" t="s">
        <v>1788</v>
      </c>
      <c r="D484" s="6" t="s">
        <v>1789</v>
      </c>
      <c r="E484" s="7" t="s">
        <v>21</v>
      </c>
      <c r="F484" s="6" t="s">
        <v>2108</v>
      </c>
      <c r="G484" s="6" t="s">
        <v>2109</v>
      </c>
      <c r="H484" s="6" t="s">
        <v>2110</v>
      </c>
      <c r="I484" s="6" t="s">
        <v>2111</v>
      </c>
      <c r="J484" s="6" t="s">
        <v>2112</v>
      </c>
      <c r="K484" s="5"/>
      <c r="L484" s="4" t="s">
        <v>27</v>
      </c>
      <c r="M484" s="8" t="s">
        <v>28</v>
      </c>
      <c r="N484" s="9" t="s">
        <v>1795</v>
      </c>
      <c r="O484" s="5"/>
      <c r="P484" s="5"/>
      <c r="Q484" s="6" t="s">
        <v>30</v>
      </c>
      <c r="R484" s="4" t="s">
        <v>31</v>
      </c>
      <c r="S484" s="7" t="s">
        <v>32</v>
      </c>
      <c r="T484" s="5"/>
    </row>
    <row r="485" customFormat="false" ht="29.25" hidden="false" customHeight="true" outlineLevel="0" collapsed="false">
      <c r="A485" s="4" t="n">
        <v>484</v>
      </c>
      <c r="B485" s="6" t="s">
        <v>1787</v>
      </c>
      <c r="C485" s="6" t="s">
        <v>1788</v>
      </c>
      <c r="D485" s="6" t="s">
        <v>1789</v>
      </c>
      <c r="E485" s="7" t="s">
        <v>21</v>
      </c>
      <c r="F485" s="6" t="s">
        <v>2113</v>
      </c>
      <c r="G485" s="6" t="s">
        <v>2094</v>
      </c>
      <c r="H485" s="6" t="s">
        <v>2114</v>
      </c>
      <c r="I485" s="6" t="s">
        <v>1823</v>
      </c>
      <c r="J485" s="6" t="s">
        <v>2093</v>
      </c>
      <c r="K485" s="5"/>
      <c r="L485" s="4" t="s">
        <v>27</v>
      </c>
      <c r="M485" s="8" t="s">
        <v>79</v>
      </c>
      <c r="N485" s="9" t="s">
        <v>1795</v>
      </c>
      <c r="O485" s="5"/>
      <c r="P485" s="5"/>
      <c r="Q485" s="6" t="s">
        <v>30</v>
      </c>
      <c r="R485" s="4" t="s">
        <v>31</v>
      </c>
      <c r="S485" s="7" t="s">
        <v>32</v>
      </c>
      <c r="T485" s="5"/>
    </row>
    <row r="486" customFormat="false" ht="29.25" hidden="false" customHeight="true" outlineLevel="0" collapsed="false">
      <c r="A486" s="4" t="n">
        <v>485</v>
      </c>
      <c r="B486" s="6" t="s">
        <v>1787</v>
      </c>
      <c r="C486" s="6" t="s">
        <v>1788</v>
      </c>
      <c r="D486" s="6" t="s">
        <v>1789</v>
      </c>
      <c r="E486" s="7" t="s">
        <v>21</v>
      </c>
      <c r="F486" s="6" t="s">
        <v>2115</v>
      </c>
      <c r="G486" s="6" t="s">
        <v>2105</v>
      </c>
      <c r="H486" s="6" t="s">
        <v>2107</v>
      </c>
      <c r="I486" s="6" t="s">
        <v>1821</v>
      </c>
      <c r="J486" s="6" t="s">
        <v>1823</v>
      </c>
      <c r="K486" s="5"/>
      <c r="L486" s="4" t="s">
        <v>51</v>
      </c>
      <c r="M486" s="8" t="s">
        <v>28</v>
      </c>
      <c r="N486" s="9" t="s">
        <v>1795</v>
      </c>
      <c r="O486" s="5"/>
      <c r="P486" s="5"/>
      <c r="Q486" s="6" t="s">
        <v>30</v>
      </c>
      <c r="R486" s="4" t="s">
        <v>31</v>
      </c>
      <c r="S486" s="7" t="s">
        <v>32</v>
      </c>
      <c r="T486" s="5"/>
    </row>
    <row r="487" customFormat="false" ht="29.25" hidden="false" customHeight="true" outlineLevel="0" collapsed="false">
      <c r="A487" s="4" t="n">
        <v>486</v>
      </c>
      <c r="B487" s="6" t="s">
        <v>1787</v>
      </c>
      <c r="C487" s="6" t="s">
        <v>1788</v>
      </c>
      <c r="D487" s="6" t="s">
        <v>1789</v>
      </c>
      <c r="E487" s="7" t="s">
        <v>21</v>
      </c>
      <c r="F487" s="6" t="s">
        <v>2116</v>
      </c>
      <c r="G487" s="6" t="s">
        <v>1824</v>
      </c>
      <c r="H487" s="6" t="s">
        <v>1817</v>
      </c>
      <c r="I487" s="6" t="s">
        <v>2096</v>
      </c>
      <c r="J487" s="6" t="s">
        <v>1823</v>
      </c>
      <c r="K487" s="5"/>
      <c r="L487" s="4" t="s">
        <v>44</v>
      </c>
      <c r="M487" s="8" t="s">
        <v>79</v>
      </c>
      <c r="N487" s="9" t="s">
        <v>1795</v>
      </c>
      <c r="O487" s="5"/>
      <c r="P487" s="5"/>
      <c r="Q487" s="6" t="s">
        <v>30</v>
      </c>
      <c r="R487" s="4" t="s">
        <v>31</v>
      </c>
      <c r="S487" s="7" t="s">
        <v>32</v>
      </c>
      <c r="T487" s="5"/>
    </row>
    <row r="488" customFormat="false" ht="29.25" hidden="false" customHeight="true" outlineLevel="0" collapsed="false">
      <c r="A488" s="4" t="n">
        <v>487</v>
      </c>
      <c r="B488" s="6" t="s">
        <v>1787</v>
      </c>
      <c r="C488" s="6" t="s">
        <v>1788</v>
      </c>
      <c r="D488" s="6" t="s">
        <v>1789</v>
      </c>
      <c r="E488" s="7" t="s">
        <v>21</v>
      </c>
      <c r="F488" s="6" t="s">
        <v>2117</v>
      </c>
      <c r="G488" s="6" t="s">
        <v>1824</v>
      </c>
      <c r="H488" s="6" t="s">
        <v>1817</v>
      </c>
      <c r="I488" s="6" t="s">
        <v>1821</v>
      </c>
      <c r="J488" s="6" t="s">
        <v>2096</v>
      </c>
      <c r="K488" s="5"/>
      <c r="L488" s="4" t="s">
        <v>27</v>
      </c>
      <c r="M488" s="8" t="s">
        <v>79</v>
      </c>
      <c r="N488" s="9" t="s">
        <v>1795</v>
      </c>
      <c r="O488" s="5"/>
      <c r="P488" s="5"/>
      <c r="Q488" s="6" t="s">
        <v>30</v>
      </c>
      <c r="R488" s="4" t="s">
        <v>31</v>
      </c>
      <c r="S488" s="7" t="s">
        <v>32</v>
      </c>
      <c r="T488" s="5"/>
    </row>
    <row r="489" customFormat="false" ht="29.25" hidden="false" customHeight="true" outlineLevel="0" collapsed="false">
      <c r="A489" s="4" t="n">
        <v>488</v>
      </c>
      <c r="B489" s="6" t="s">
        <v>1787</v>
      </c>
      <c r="C489" s="6" t="s">
        <v>1788</v>
      </c>
      <c r="D489" s="6" t="s">
        <v>1789</v>
      </c>
      <c r="E489" s="7" t="s">
        <v>21</v>
      </c>
      <c r="F489" s="6" t="s">
        <v>2118</v>
      </c>
      <c r="G489" s="6" t="s">
        <v>2119</v>
      </c>
      <c r="H489" s="6" t="s">
        <v>2120</v>
      </c>
      <c r="I489" s="6" t="s">
        <v>2121</v>
      </c>
      <c r="J489" s="6" t="s">
        <v>2122</v>
      </c>
      <c r="K489" s="5"/>
      <c r="L489" s="4" t="s">
        <v>62</v>
      </c>
      <c r="M489" s="8" t="s">
        <v>79</v>
      </c>
      <c r="N489" s="9" t="s">
        <v>1795</v>
      </c>
      <c r="O489" s="5"/>
      <c r="P489" s="5"/>
      <c r="Q489" s="6" t="s">
        <v>30</v>
      </c>
      <c r="R489" s="4" t="s">
        <v>31</v>
      </c>
      <c r="S489" s="7" t="s">
        <v>32</v>
      </c>
      <c r="T489" s="5"/>
    </row>
    <row r="490" customFormat="false" ht="29.25" hidden="false" customHeight="true" outlineLevel="0" collapsed="false">
      <c r="A490" s="4" t="n">
        <v>489</v>
      </c>
      <c r="B490" s="6" t="s">
        <v>1787</v>
      </c>
      <c r="C490" s="6" t="s">
        <v>1788</v>
      </c>
      <c r="D490" s="6" t="s">
        <v>1789</v>
      </c>
      <c r="E490" s="7" t="s">
        <v>21</v>
      </c>
      <c r="F490" s="6" t="s">
        <v>2123</v>
      </c>
      <c r="G490" s="6" t="s">
        <v>2124</v>
      </c>
      <c r="H490" s="6" t="s">
        <v>2125</v>
      </c>
      <c r="I490" s="6" t="s">
        <v>2126</v>
      </c>
      <c r="J490" s="6" t="s">
        <v>2127</v>
      </c>
      <c r="K490" s="5"/>
      <c r="L490" s="4" t="s">
        <v>51</v>
      </c>
      <c r="M490" s="8" t="s">
        <v>28</v>
      </c>
      <c r="N490" s="9" t="s">
        <v>1795</v>
      </c>
      <c r="O490" s="5"/>
      <c r="P490" s="5"/>
      <c r="Q490" s="6" t="s">
        <v>30</v>
      </c>
      <c r="R490" s="4" t="s">
        <v>31</v>
      </c>
      <c r="S490" s="7" t="s">
        <v>32</v>
      </c>
      <c r="T490" s="5"/>
    </row>
    <row r="491" customFormat="false" ht="29.25" hidden="false" customHeight="true" outlineLevel="0" collapsed="false">
      <c r="A491" s="4" t="n">
        <v>490</v>
      </c>
      <c r="B491" s="6" t="s">
        <v>1787</v>
      </c>
      <c r="C491" s="6" t="s">
        <v>1788</v>
      </c>
      <c r="D491" s="6" t="s">
        <v>1789</v>
      </c>
      <c r="E491" s="7" t="s">
        <v>21</v>
      </c>
      <c r="F491" s="6" t="s">
        <v>2128</v>
      </c>
      <c r="G491" s="6" t="s">
        <v>2129</v>
      </c>
      <c r="H491" s="6" t="s">
        <v>2130</v>
      </c>
      <c r="I491" s="6" t="s">
        <v>2105</v>
      </c>
      <c r="J491" s="6" t="s">
        <v>2106</v>
      </c>
      <c r="K491" s="5"/>
      <c r="L491" s="4" t="s">
        <v>44</v>
      </c>
      <c r="M491" s="8" t="s">
        <v>79</v>
      </c>
      <c r="N491" s="9" t="s">
        <v>1831</v>
      </c>
      <c r="O491" s="5"/>
      <c r="P491" s="5"/>
      <c r="Q491" s="6" t="s">
        <v>30</v>
      </c>
      <c r="R491" s="4" t="s">
        <v>31</v>
      </c>
      <c r="S491" s="7" t="s">
        <v>32</v>
      </c>
      <c r="T491" s="5"/>
    </row>
    <row r="492" customFormat="false" ht="29.25" hidden="false" customHeight="true" outlineLevel="0" collapsed="false">
      <c r="A492" s="4" t="n">
        <v>491</v>
      </c>
      <c r="B492" s="6" t="s">
        <v>1787</v>
      </c>
      <c r="C492" s="6" t="s">
        <v>1788</v>
      </c>
      <c r="D492" s="6" t="s">
        <v>1789</v>
      </c>
      <c r="E492" s="7" t="s">
        <v>21</v>
      </c>
      <c r="F492" s="6" t="s">
        <v>2131</v>
      </c>
      <c r="G492" s="6" t="s">
        <v>2129</v>
      </c>
      <c r="H492" s="6" t="s">
        <v>2130</v>
      </c>
      <c r="I492" s="6" t="s">
        <v>2105</v>
      </c>
      <c r="J492" s="6" t="s">
        <v>2106</v>
      </c>
      <c r="K492" s="5"/>
      <c r="L492" s="4" t="s">
        <v>62</v>
      </c>
      <c r="M492" s="8" t="s">
        <v>129</v>
      </c>
      <c r="N492" s="9" t="s">
        <v>1795</v>
      </c>
      <c r="O492" s="5"/>
      <c r="P492" s="5"/>
      <c r="Q492" s="6" t="s">
        <v>30</v>
      </c>
      <c r="R492" s="4" t="s">
        <v>31</v>
      </c>
      <c r="S492" s="7" t="s">
        <v>32</v>
      </c>
      <c r="T492" s="5"/>
    </row>
    <row r="493" customFormat="false" ht="29.25" hidden="false" customHeight="true" outlineLevel="0" collapsed="false">
      <c r="A493" s="4" t="n">
        <v>492</v>
      </c>
      <c r="B493" s="6" t="s">
        <v>1787</v>
      </c>
      <c r="C493" s="6" t="s">
        <v>1788</v>
      </c>
      <c r="D493" s="6" t="s">
        <v>1789</v>
      </c>
      <c r="E493" s="7" t="s">
        <v>21</v>
      </c>
      <c r="F493" s="6" t="s">
        <v>2132</v>
      </c>
      <c r="G493" s="6" t="s">
        <v>1953</v>
      </c>
      <c r="H493" s="6" t="s">
        <v>536</v>
      </c>
      <c r="I493" s="6" t="s">
        <v>213</v>
      </c>
      <c r="J493" s="6" t="s">
        <v>535</v>
      </c>
      <c r="K493" s="5"/>
      <c r="L493" s="4" t="s">
        <v>44</v>
      </c>
      <c r="M493" s="8" t="s">
        <v>129</v>
      </c>
      <c r="N493" s="9" t="s">
        <v>1795</v>
      </c>
      <c r="O493" s="5"/>
      <c r="P493" s="5"/>
      <c r="Q493" s="6" t="s">
        <v>30</v>
      </c>
      <c r="R493" s="4" t="s">
        <v>31</v>
      </c>
      <c r="S493" s="7" t="s">
        <v>32</v>
      </c>
      <c r="T493" s="5"/>
    </row>
    <row r="494" customFormat="false" ht="29.25" hidden="false" customHeight="true" outlineLevel="0" collapsed="false">
      <c r="A494" s="4" t="n">
        <v>493</v>
      </c>
      <c r="B494" s="6" t="s">
        <v>1787</v>
      </c>
      <c r="C494" s="6" t="s">
        <v>1788</v>
      </c>
      <c r="D494" s="6" t="s">
        <v>1789</v>
      </c>
      <c r="E494" s="7" t="s">
        <v>21</v>
      </c>
      <c r="F494" s="6" t="s">
        <v>2133</v>
      </c>
      <c r="G494" s="6" t="s">
        <v>1953</v>
      </c>
      <c r="H494" s="6" t="s">
        <v>536</v>
      </c>
      <c r="I494" s="6" t="s">
        <v>535</v>
      </c>
      <c r="J494" s="6" t="s">
        <v>213</v>
      </c>
      <c r="K494" s="5"/>
      <c r="L494" s="4" t="s">
        <v>27</v>
      </c>
      <c r="M494" s="8" t="s">
        <v>129</v>
      </c>
      <c r="N494" s="9" t="s">
        <v>1795</v>
      </c>
      <c r="O494" s="5"/>
      <c r="P494" s="5"/>
      <c r="Q494" s="6" t="s">
        <v>30</v>
      </c>
      <c r="R494" s="4" t="s">
        <v>31</v>
      </c>
      <c r="S494" s="7" t="s">
        <v>32</v>
      </c>
      <c r="T494" s="5"/>
    </row>
    <row r="495" customFormat="false" ht="29.25" hidden="false" customHeight="true" outlineLevel="0" collapsed="false">
      <c r="A495" s="4" t="n">
        <v>494</v>
      </c>
      <c r="B495" s="6" t="s">
        <v>1787</v>
      </c>
      <c r="C495" s="6" t="s">
        <v>1788</v>
      </c>
      <c r="D495" s="6" t="s">
        <v>1789</v>
      </c>
      <c r="E495" s="7" t="s">
        <v>21</v>
      </c>
      <c r="F495" s="6" t="s">
        <v>2134</v>
      </c>
      <c r="G495" s="6" t="s">
        <v>535</v>
      </c>
      <c r="H495" s="6" t="s">
        <v>536</v>
      </c>
      <c r="I495" s="6" t="s">
        <v>1953</v>
      </c>
      <c r="J495" s="6" t="s">
        <v>213</v>
      </c>
      <c r="K495" s="5"/>
      <c r="L495" s="4" t="s">
        <v>51</v>
      </c>
      <c r="M495" s="8" t="s">
        <v>129</v>
      </c>
      <c r="N495" s="9" t="s">
        <v>1922</v>
      </c>
      <c r="O495" s="5"/>
      <c r="P495" s="5"/>
      <c r="Q495" s="6" t="s">
        <v>30</v>
      </c>
      <c r="R495" s="4" t="s">
        <v>31</v>
      </c>
      <c r="S495" s="7" t="s">
        <v>32</v>
      </c>
      <c r="T495" s="5"/>
    </row>
    <row r="496" customFormat="false" ht="29.25" hidden="false" customHeight="true" outlineLevel="0" collapsed="false">
      <c r="A496" s="4" t="n">
        <v>495</v>
      </c>
      <c r="B496" s="6" t="s">
        <v>1787</v>
      </c>
      <c r="C496" s="6" t="s">
        <v>1788</v>
      </c>
      <c r="D496" s="6" t="s">
        <v>1789</v>
      </c>
      <c r="E496" s="7" t="s">
        <v>21</v>
      </c>
      <c r="F496" s="6" t="s">
        <v>2135</v>
      </c>
      <c r="G496" s="5" t="s">
        <v>2136</v>
      </c>
      <c r="H496" s="5" t="s">
        <v>2137</v>
      </c>
      <c r="I496" s="5" t="s">
        <v>2138</v>
      </c>
      <c r="J496" s="5" t="s">
        <v>2139</v>
      </c>
      <c r="K496" s="5"/>
      <c r="L496" s="4" t="s">
        <v>62</v>
      </c>
      <c r="M496" s="8" t="s">
        <v>79</v>
      </c>
      <c r="N496" s="9" t="s">
        <v>1795</v>
      </c>
      <c r="O496" s="5"/>
      <c r="P496" s="5"/>
      <c r="Q496" s="6" t="s">
        <v>30</v>
      </c>
      <c r="R496" s="4" t="s">
        <v>31</v>
      </c>
      <c r="S496" s="7" t="s">
        <v>32</v>
      </c>
      <c r="T496" s="5"/>
    </row>
    <row r="497" customFormat="false" ht="29.25" hidden="false" customHeight="true" outlineLevel="0" collapsed="false">
      <c r="A497" s="4" t="n">
        <v>496</v>
      </c>
      <c r="B497" s="6" t="s">
        <v>1787</v>
      </c>
      <c r="C497" s="6" t="s">
        <v>1788</v>
      </c>
      <c r="D497" s="6" t="s">
        <v>1789</v>
      </c>
      <c r="E497" s="7" t="s">
        <v>21</v>
      </c>
      <c r="F497" s="6" t="s">
        <v>2140</v>
      </c>
      <c r="G497" s="6" t="s">
        <v>2141</v>
      </c>
      <c r="H497" s="6" t="s">
        <v>2142</v>
      </c>
      <c r="I497" s="6" t="s">
        <v>2143</v>
      </c>
      <c r="J497" s="6" t="s">
        <v>2144</v>
      </c>
      <c r="K497" s="5"/>
      <c r="L497" s="4" t="s">
        <v>27</v>
      </c>
      <c r="M497" s="8" t="s">
        <v>79</v>
      </c>
      <c r="N497" s="9" t="s">
        <v>1795</v>
      </c>
      <c r="O497" s="5"/>
      <c r="P497" s="5"/>
      <c r="Q497" s="6" t="s">
        <v>30</v>
      </c>
      <c r="R497" s="4" t="s">
        <v>31</v>
      </c>
      <c r="S497" s="7" t="s">
        <v>32</v>
      </c>
      <c r="T497" s="5"/>
    </row>
    <row r="498" customFormat="false" ht="29.25" hidden="false" customHeight="true" outlineLevel="0" collapsed="false">
      <c r="A498" s="4" t="n">
        <v>497</v>
      </c>
      <c r="B498" s="6" t="s">
        <v>1787</v>
      </c>
      <c r="C498" s="6" t="s">
        <v>1788</v>
      </c>
      <c r="D498" s="6" t="s">
        <v>1789</v>
      </c>
      <c r="E498" s="7" t="s">
        <v>21</v>
      </c>
      <c r="F498" s="6" t="s">
        <v>2145</v>
      </c>
      <c r="G498" s="6" t="s">
        <v>1953</v>
      </c>
      <c r="H498" s="6" t="s">
        <v>536</v>
      </c>
      <c r="I498" s="6" t="s">
        <v>2146</v>
      </c>
      <c r="J498" s="6" t="s">
        <v>2147</v>
      </c>
      <c r="K498" s="5"/>
      <c r="L498" s="4" t="s">
        <v>44</v>
      </c>
      <c r="M498" s="8" t="s">
        <v>79</v>
      </c>
      <c r="N498" s="9" t="s">
        <v>1828</v>
      </c>
      <c r="O498" s="5"/>
      <c r="P498" s="5"/>
      <c r="Q498" s="6" t="s">
        <v>30</v>
      </c>
      <c r="R498" s="4" t="s">
        <v>31</v>
      </c>
      <c r="S498" s="7" t="s">
        <v>32</v>
      </c>
      <c r="T498" s="5"/>
    </row>
    <row r="499" customFormat="false" ht="29.25" hidden="false" customHeight="true" outlineLevel="0" collapsed="false">
      <c r="A499" s="4" t="n">
        <v>498</v>
      </c>
      <c r="B499" s="6" t="s">
        <v>1787</v>
      </c>
      <c r="C499" s="6" t="s">
        <v>1788</v>
      </c>
      <c r="D499" s="6" t="s">
        <v>1789</v>
      </c>
      <c r="E499" s="7" t="s">
        <v>21</v>
      </c>
      <c r="F499" s="6" t="s">
        <v>2148</v>
      </c>
      <c r="G499" s="6" t="s">
        <v>1953</v>
      </c>
      <c r="H499" s="6" t="s">
        <v>536</v>
      </c>
      <c r="I499" s="6" t="s">
        <v>2146</v>
      </c>
      <c r="J499" s="6" t="s">
        <v>213</v>
      </c>
      <c r="K499" s="5"/>
      <c r="L499" s="4" t="s">
        <v>62</v>
      </c>
      <c r="M499" s="8" t="s">
        <v>79</v>
      </c>
      <c r="N499" s="9" t="s">
        <v>1795</v>
      </c>
      <c r="O499" s="5"/>
      <c r="P499" s="5"/>
      <c r="Q499" s="6" t="s">
        <v>30</v>
      </c>
      <c r="R499" s="4" t="s">
        <v>31</v>
      </c>
      <c r="S499" s="7" t="s">
        <v>32</v>
      </c>
      <c r="T499" s="5"/>
    </row>
    <row r="500" customFormat="false" ht="29.25" hidden="false" customHeight="true" outlineLevel="0" collapsed="false">
      <c r="A500" s="4" t="n">
        <v>499</v>
      </c>
      <c r="B500" s="6" t="s">
        <v>1787</v>
      </c>
      <c r="C500" s="6" t="s">
        <v>1788</v>
      </c>
      <c r="D500" s="6" t="s">
        <v>1789</v>
      </c>
      <c r="E500" s="7" t="s">
        <v>21</v>
      </c>
      <c r="F500" s="6" t="s">
        <v>2149</v>
      </c>
      <c r="G500" s="6" t="s">
        <v>2150</v>
      </c>
      <c r="H500" s="6" t="s">
        <v>2151</v>
      </c>
      <c r="I500" s="6" t="s">
        <v>2152</v>
      </c>
      <c r="J500" s="6" t="s">
        <v>2153</v>
      </c>
      <c r="K500" s="5"/>
      <c r="L500" s="4" t="s">
        <v>44</v>
      </c>
      <c r="M500" s="8" t="s">
        <v>28</v>
      </c>
      <c r="N500" s="9" t="s">
        <v>1795</v>
      </c>
      <c r="O500" s="5"/>
      <c r="P500" s="5"/>
      <c r="Q500" s="6" t="s">
        <v>30</v>
      </c>
      <c r="R500" s="4" t="s">
        <v>31</v>
      </c>
      <c r="S500" s="7" t="s">
        <v>32</v>
      </c>
      <c r="T500" s="5"/>
    </row>
    <row r="501" customFormat="false" ht="29.25" hidden="false" customHeight="true" outlineLevel="0" collapsed="false">
      <c r="A501" s="4" t="n">
        <v>500</v>
      </c>
      <c r="B501" s="6" t="s">
        <v>1787</v>
      </c>
      <c r="C501" s="6" t="s">
        <v>1788</v>
      </c>
      <c r="D501" s="6" t="s">
        <v>1789</v>
      </c>
      <c r="E501" s="7" t="s">
        <v>21</v>
      </c>
      <c r="F501" s="6" t="s">
        <v>2154</v>
      </c>
      <c r="G501" s="6" t="s">
        <v>1953</v>
      </c>
      <c r="H501" s="6" t="s">
        <v>536</v>
      </c>
      <c r="I501" s="6" t="s">
        <v>535</v>
      </c>
      <c r="J501" s="6" t="s">
        <v>213</v>
      </c>
      <c r="K501" s="5"/>
      <c r="L501" s="4" t="s">
        <v>44</v>
      </c>
      <c r="M501" s="8" t="s">
        <v>79</v>
      </c>
      <c r="N501" s="9" t="s">
        <v>1795</v>
      </c>
      <c r="O501" s="5"/>
      <c r="P501" s="5"/>
      <c r="Q501" s="6" t="s">
        <v>30</v>
      </c>
      <c r="R501" s="4" t="s">
        <v>31</v>
      </c>
      <c r="S501" s="7" t="s">
        <v>32</v>
      </c>
      <c r="T501" s="5"/>
    </row>
    <row r="502" customFormat="false" ht="29.25" hidden="false" customHeight="true" outlineLevel="0" collapsed="false">
      <c r="A502" s="4" t="n">
        <v>501</v>
      </c>
      <c r="B502" s="6" t="s">
        <v>1787</v>
      </c>
      <c r="C502" s="6" t="s">
        <v>1788</v>
      </c>
      <c r="D502" s="6" t="s">
        <v>1789</v>
      </c>
      <c r="E502" s="7" t="s">
        <v>21</v>
      </c>
      <c r="F502" s="6" t="s">
        <v>2155</v>
      </c>
      <c r="G502" s="6" t="s">
        <v>1953</v>
      </c>
      <c r="H502" s="6" t="s">
        <v>213</v>
      </c>
      <c r="I502" s="6" t="s">
        <v>536</v>
      </c>
      <c r="J502" s="6" t="s">
        <v>535</v>
      </c>
      <c r="K502" s="5"/>
      <c r="L502" s="4" t="s">
        <v>62</v>
      </c>
      <c r="M502" s="8" t="s">
        <v>79</v>
      </c>
      <c r="N502" s="9" t="s">
        <v>1795</v>
      </c>
      <c r="O502" s="5"/>
      <c r="P502" s="5"/>
      <c r="Q502" s="6" t="s">
        <v>30</v>
      </c>
      <c r="R502" s="4" t="s">
        <v>31</v>
      </c>
      <c r="S502" s="7" t="s">
        <v>32</v>
      </c>
      <c r="T502" s="5"/>
    </row>
    <row r="503" customFormat="false" ht="29.25" hidden="false" customHeight="true" outlineLevel="0" collapsed="false">
      <c r="A503" s="4" t="n">
        <v>502</v>
      </c>
      <c r="B503" s="6" t="s">
        <v>1787</v>
      </c>
      <c r="C503" s="6" t="s">
        <v>1788</v>
      </c>
      <c r="D503" s="6" t="s">
        <v>1789</v>
      </c>
      <c r="E503" s="7" t="s">
        <v>21</v>
      </c>
      <c r="F503" s="6" t="s">
        <v>2156</v>
      </c>
      <c r="G503" s="6" t="s">
        <v>1953</v>
      </c>
      <c r="H503" s="6" t="s">
        <v>536</v>
      </c>
      <c r="I503" s="6" t="s">
        <v>213</v>
      </c>
      <c r="J503" s="6" t="s">
        <v>535</v>
      </c>
      <c r="K503" s="5"/>
      <c r="L503" s="4" t="s">
        <v>27</v>
      </c>
      <c r="M503" s="8" t="s">
        <v>129</v>
      </c>
      <c r="N503" s="9" t="s">
        <v>1795</v>
      </c>
      <c r="O503" s="5"/>
      <c r="P503" s="5"/>
      <c r="Q503" s="6" t="s">
        <v>30</v>
      </c>
      <c r="R503" s="4" t="s">
        <v>31</v>
      </c>
      <c r="S503" s="7" t="s">
        <v>32</v>
      </c>
      <c r="T503" s="5"/>
    </row>
    <row r="504" customFormat="false" ht="29.25" hidden="false" customHeight="true" outlineLevel="0" collapsed="false">
      <c r="A504" s="4" t="n">
        <v>503</v>
      </c>
      <c r="B504" s="6" t="s">
        <v>1787</v>
      </c>
      <c r="C504" s="6" t="s">
        <v>1788</v>
      </c>
      <c r="D504" s="6" t="s">
        <v>1789</v>
      </c>
      <c r="E504" s="7" t="s">
        <v>21</v>
      </c>
      <c r="F504" s="6" t="s">
        <v>2157</v>
      </c>
      <c r="G504" s="6" t="s">
        <v>2146</v>
      </c>
      <c r="H504" s="6" t="s">
        <v>535</v>
      </c>
      <c r="I504" s="6" t="s">
        <v>536</v>
      </c>
      <c r="J504" s="6" t="s">
        <v>1985</v>
      </c>
      <c r="K504" s="5"/>
      <c r="L504" s="4" t="s">
        <v>27</v>
      </c>
      <c r="M504" s="8" t="s">
        <v>129</v>
      </c>
      <c r="N504" s="9" t="s">
        <v>1795</v>
      </c>
      <c r="O504" s="5"/>
      <c r="P504" s="5"/>
      <c r="Q504" s="6" t="s">
        <v>30</v>
      </c>
      <c r="R504" s="4" t="s">
        <v>31</v>
      </c>
      <c r="S504" s="7" t="s">
        <v>32</v>
      </c>
      <c r="T504" s="5"/>
    </row>
    <row r="505" customFormat="false" ht="29.25" hidden="false" customHeight="true" outlineLevel="0" collapsed="false">
      <c r="A505" s="4" t="n">
        <v>504</v>
      </c>
      <c r="B505" s="6" t="s">
        <v>1787</v>
      </c>
      <c r="C505" s="6" t="s">
        <v>1788</v>
      </c>
      <c r="D505" s="6" t="s">
        <v>1789</v>
      </c>
      <c r="E505" s="7" t="s">
        <v>21</v>
      </c>
      <c r="F505" s="6" t="s">
        <v>2158</v>
      </c>
      <c r="G505" s="6" t="s">
        <v>2001</v>
      </c>
      <c r="H505" s="6" t="s">
        <v>2159</v>
      </c>
      <c r="I505" s="6" t="s">
        <v>211</v>
      </c>
      <c r="J505" s="6" t="s">
        <v>210</v>
      </c>
      <c r="K505" s="5"/>
      <c r="L505" s="4" t="s">
        <v>44</v>
      </c>
      <c r="M505" s="8" t="s">
        <v>79</v>
      </c>
      <c r="N505" s="9" t="s">
        <v>1795</v>
      </c>
      <c r="O505" s="5"/>
      <c r="P505" s="5"/>
      <c r="Q505" s="6" t="s">
        <v>30</v>
      </c>
      <c r="R505" s="4" t="s">
        <v>31</v>
      </c>
      <c r="S505" s="7" t="s">
        <v>32</v>
      </c>
      <c r="T505" s="5"/>
    </row>
    <row r="506" customFormat="false" ht="29.25" hidden="false" customHeight="true" outlineLevel="0" collapsed="false">
      <c r="A506" s="4" t="n">
        <v>505</v>
      </c>
      <c r="B506" s="6" t="s">
        <v>1787</v>
      </c>
      <c r="C506" s="6" t="s">
        <v>1788</v>
      </c>
      <c r="D506" s="6" t="s">
        <v>1789</v>
      </c>
      <c r="E506" s="7" t="s">
        <v>21</v>
      </c>
      <c r="F506" s="6" t="s">
        <v>2160</v>
      </c>
      <c r="G506" s="6" t="s">
        <v>2161</v>
      </c>
      <c r="H506" s="6" t="s">
        <v>2162</v>
      </c>
      <c r="I506" s="6" t="s">
        <v>2163</v>
      </c>
      <c r="J506" s="6" t="s">
        <v>2164</v>
      </c>
      <c r="K506" s="5"/>
      <c r="L506" s="4" t="s">
        <v>27</v>
      </c>
      <c r="M506" s="8" t="s">
        <v>28</v>
      </c>
      <c r="N506" s="9" t="s">
        <v>1795</v>
      </c>
      <c r="O506" s="5"/>
      <c r="P506" s="5"/>
      <c r="Q506" s="6" t="s">
        <v>30</v>
      </c>
      <c r="R506" s="4" t="s">
        <v>31</v>
      </c>
      <c r="S506" s="7" t="s">
        <v>32</v>
      </c>
      <c r="T506" s="5"/>
    </row>
    <row r="507" customFormat="false" ht="29.25" hidden="false" customHeight="true" outlineLevel="0" collapsed="false">
      <c r="A507" s="4" t="n">
        <v>506</v>
      </c>
      <c r="B507" s="6" t="s">
        <v>1787</v>
      </c>
      <c r="C507" s="6" t="s">
        <v>1788</v>
      </c>
      <c r="D507" s="6" t="s">
        <v>1789</v>
      </c>
      <c r="E507" s="7" t="s">
        <v>21</v>
      </c>
      <c r="F507" s="6" t="s">
        <v>2165</v>
      </c>
      <c r="G507" s="6" t="s">
        <v>2166</v>
      </c>
      <c r="H507" s="6" t="s">
        <v>2167</v>
      </c>
      <c r="I507" s="6" t="s">
        <v>2168</v>
      </c>
      <c r="J507" s="6" t="s">
        <v>2169</v>
      </c>
      <c r="K507" s="5"/>
      <c r="L507" s="4" t="s">
        <v>62</v>
      </c>
      <c r="M507" s="8" t="s">
        <v>79</v>
      </c>
      <c r="N507" s="9" t="s">
        <v>1831</v>
      </c>
      <c r="O507" s="5"/>
      <c r="P507" s="5"/>
      <c r="Q507" s="6" t="s">
        <v>30</v>
      </c>
      <c r="R507" s="4" t="s">
        <v>31</v>
      </c>
      <c r="S507" s="7" t="s">
        <v>32</v>
      </c>
      <c r="T507" s="5"/>
    </row>
    <row r="508" customFormat="false" ht="29.25" hidden="false" customHeight="true" outlineLevel="0" collapsed="false">
      <c r="A508" s="4" t="n">
        <v>507</v>
      </c>
      <c r="B508" s="6" t="s">
        <v>1787</v>
      </c>
      <c r="C508" s="6" t="s">
        <v>1788</v>
      </c>
      <c r="D508" s="6" t="s">
        <v>1789</v>
      </c>
      <c r="E508" s="7" t="s">
        <v>21</v>
      </c>
      <c r="F508" s="6" t="s">
        <v>2170</v>
      </c>
      <c r="G508" s="6" t="s">
        <v>2171</v>
      </c>
      <c r="H508" s="6" t="s">
        <v>2172</v>
      </c>
      <c r="I508" s="6" t="s">
        <v>2173</v>
      </c>
      <c r="J508" s="6" t="s">
        <v>2174</v>
      </c>
      <c r="K508" s="5"/>
      <c r="L508" s="4" t="s">
        <v>44</v>
      </c>
      <c r="M508" s="8" t="s">
        <v>79</v>
      </c>
      <c r="N508" s="9" t="s">
        <v>1795</v>
      </c>
      <c r="O508" s="5"/>
      <c r="P508" s="5"/>
      <c r="Q508" s="6" t="s">
        <v>30</v>
      </c>
      <c r="R508" s="4" t="s">
        <v>31</v>
      </c>
      <c r="S508" s="7" t="s">
        <v>32</v>
      </c>
      <c r="T508" s="5"/>
    </row>
    <row r="509" customFormat="false" ht="43.5" hidden="false" customHeight="true" outlineLevel="0" collapsed="false">
      <c r="A509" s="4" t="n">
        <v>508</v>
      </c>
      <c r="B509" s="6" t="s">
        <v>1787</v>
      </c>
      <c r="C509" s="6" t="s">
        <v>1788</v>
      </c>
      <c r="D509" s="6" t="s">
        <v>1789</v>
      </c>
      <c r="E509" s="7" t="s">
        <v>21</v>
      </c>
      <c r="F509" s="6" t="s">
        <v>2175</v>
      </c>
      <c r="G509" s="6" t="s">
        <v>2176</v>
      </c>
      <c r="H509" s="6" t="s">
        <v>2177</v>
      </c>
      <c r="I509" s="6" t="s">
        <v>2178</v>
      </c>
      <c r="J509" s="6" t="s">
        <v>2179</v>
      </c>
      <c r="K509" s="5"/>
      <c r="L509" s="4" t="s">
        <v>51</v>
      </c>
      <c r="M509" s="8" t="s">
        <v>28</v>
      </c>
      <c r="N509" s="9" t="s">
        <v>1795</v>
      </c>
      <c r="O509" s="5"/>
      <c r="P509" s="5"/>
      <c r="Q509" s="6" t="s">
        <v>30</v>
      </c>
      <c r="R509" s="4" t="s">
        <v>31</v>
      </c>
      <c r="S509" s="7" t="s">
        <v>32</v>
      </c>
      <c r="T509" s="5"/>
    </row>
    <row r="510" customFormat="false" ht="29.25" hidden="false" customHeight="true" outlineLevel="0" collapsed="false">
      <c r="A510" s="4" t="n">
        <v>509</v>
      </c>
      <c r="B510" s="6" t="s">
        <v>1787</v>
      </c>
      <c r="C510" s="6" t="s">
        <v>1788</v>
      </c>
      <c r="D510" s="6" t="s">
        <v>1789</v>
      </c>
      <c r="E510" s="7" t="s">
        <v>21</v>
      </c>
      <c r="F510" s="6" t="s">
        <v>2180</v>
      </c>
      <c r="G510" s="6" t="s">
        <v>2181</v>
      </c>
      <c r="H510" s="6" t="s">
        <v>2182</v>
      </c>
      <c r="I510" s="6" t="s">
        <v>1411</v>
      </c>
      <c r="J510" s="6" t="s">
        <v>2183</v>
      </c>
      <c r="K510" s="5"/>
      <c r="L510" s="4" t="s">
        <v>44</v>
      </c>
      <c r="M510" s="8" t="s">
        <v>79</v>
      </c>
      <c r="N510" s="9" t="s">
        <v>1795</v>
      </c>
      <c r="O510" s="5"/>
      <c r="P510" s="5"/>
      <c r="Q510" s="6" t="s">
        <v>30</v>
      </c>
      <c r="R510" s="4" t="s">
        <v>31</v>
      </c>
      <c r="S510" s="7" t="s">
        <v>32</v>
      </c>
      <c r="T510" s="5"/>
    </row>
    <row r="511" customFormat="false" ht="43.5" hidden="false" customHeight="true" outlineLevel="0" collapsed="false">
      <c r="A511" s="4" t="n">
        <v>510</v>
      </c>
      <c r="B511" s="6" t="s">
        <v>1787</v>
      </c>
      <c r="C511" s="6" t="s">
        <v>1788</v>
      </c>
      <c r="D511" s="6" t="s">
        <v>1789</v>
      </c>
      <c r="E511" s="7" t="s">
        <v>21</v>
      </c>
      <c r="F511" s="6" t="s">
        <v>2184</v>
      </c>
      <c r="G511" s="6" t="s">
        <v>2185</v>
      </c>
      <c r="H511" s="6" t="s">
        <v>2186</v>
      </c>
      <c r="I511" s="6" t="s">
        <v>2187</v>
      </c>
      <c r="J511" s="6" t="s">
        <v>2188</v>
      </c>
      <c r="K511" s="5"/>
      <c r="L511" s="4" t="s">
        <v>44</v>
      </c>
      <c r="M511" s="8" t="s">
        <v>79</v>
      </c>
      <c r="N511" s="9" t="s">
        <v>1795</v>
      </c>
      <c r="O511" s="5"/>
      <c r="P511" s="5"/>
      <c r="Q511" s="6" t="s">
        <v>30</v>
      </c>
      <c r="R511" s="4" t="s">
        <v>31</v>
      </c>
      <c r="S511" s="7" t="s">
        <v>32</v>
      </c>
      <c r="T511" s="5"/>
    </row>
    <row r="512" customFormat="false" ht="29.25" hidden="false" customHeight="true" outlineLevel="0" collapsed="false">
      <c r="A512" s="4" t="n">
        <v>511</v>
      </c>
      <c r="B512" s="6" t="s">
        <v>1787</v>
      </c>
      <c r="C512" s="6" t="s">
        <v>1788</v>
      </c>
      <c r="D512" s="6" t="s">
        <v>1789</v>
      </c>
      <c r="E512" s="7" t="s">
        <v>21</v>
      </c>
      <c r="F512" s="6" t="s">
        <v>2189</v>
      </c>
      <c r="G512" s="6" t="s">
        <v>1411</v>
      </c>
      <c r="H512" s="6" t="s">
        <v>1400</v>
      </c>
      <c r="I512" s="6" t="s">
        <v>1401</v>
      </c>
      <c r="J512" s="6" t="s">
        <v>1931</v>
      </c>
      <c r="K512" s="5"/>
      <c r="L512" s="4" t="s">
        <v>51</v>
      </c>
      <c r="M512" s="8" t="s">
        <v>79</v>
      </c>
      <c r="N512" s="9" t="s">
        <v>1795</v>
      </c>
      <c r="O512" s="5"/>
      <c r="P512" s="5"/>
      <c r="Q512" s="6" t="s">
        <v>30</v>
      </c>
      <c r="R512" s="4" t="s">
        <v>31</v>
      </c>
      <c r="S512" s="7" t="s">
        <v>32</v>
      </c>
      <c r="T512" s="5"/>
    </row>
    <row r="513" customFormat="false" ht="29.25" hidden="false" customHeight="true" outlineLevel="0" collapsed="false">
      <c r="A513" s="4" t="n">
        <v>512</v>
      </c>
      <c r="B513" s="6" t="s">
        <v>1787</v>
      </c>
      <c r="C513" s="6" t="s">
        <v>1788</v>
      </c>
      <c r="D513" s="6" t="s">
        <v>1789</v>
      </c>
      <c r="E513" s="7" t="s">
        <v>21</v>
      </c>
      <c r="F513" s="6" t="s">
        <v>2190</v>
      </c>
      <c r="G513" s="6" t="s">
        <v>2191</v>
      </c>
      <c r="H513" s="6" t="s">
        <v>2192</v>
      </c>
      <c r="I513" s="6" t="s">
        <v>2193</v>
      </c>
      <c r="J513" s="6" t="s">
        <v>2194</v>
      </c>
      <c r="K513" s="5"/>
      <c r="L513" s="4" t="s">
        <v>62</v>
      </c>
      <c r="M513" s="8" t="s">
        <v>129</v>
      </c>
      <c r="N513" s="9" t="s">
        <v>1795</v>
      </c>
      <c r="O513" s="5"/>
      <c r="P513" s="5"/>
      <c r="Q513" s="6" t="s">
        <v>30</v>
      </c>
      <c r="R513" s="4" t="s">
        <v>31</v>
      </c>
      <c r="S513" s="7" t="s">
        <v>32</v>
      </c>
      <c r="T513" s="5"/>
    </row>
    <row r="514" customFormat="false" ht="29.25" hidden="false" customHeight="true" outlineLevel="0" collapsed="false">
      <c r="A514" s="4" t="n">
        <v>513</v>
      </c>
      <c r="B514" s="6" t="s">
        <v>1787</v>
      </c>
      <c r="C514" s="6" t="s">
        <v>1788</v>
      </c>
      <c r="D514" s="6" t="s">
        <v>1789</v>
      </c>
      <c r="E514" s="7" t="s">
        <v>21</v>
      </c>
      <c r="F514" s="6" t="s">
        <v>2195</v>
      </c>
      <c r="G514" s="6" t="s">
        <v>2196</v>
      </c>
      <c r="H514" s="6" t="s">
        <v>2197</v>
      </c>
      <c r="I514" s="6" t="s">
        <v>2198</v>
      </c>
      <c r="J514" s="6" t="s">
        <v>2199</v>
      </c>
      <c r="K514" s="5"/>
      <c r="L514" s="4" t="s">
        <v>27</v>
      </c>
      <c r="M514" s="8" t="s">
        <v>79</v>
      </c>
      <c r="N514" s="9" t="s">
        <v>1795</v>
      </c>
      <c r="O514" s="5"/>
      <c r="P514" s="5"/>
      <c r="Q514" s="6" t="s">
        <v>30</v>
      </c>
      <c r="R514" s="4" t="s">
        <v>31</v>
      </c>
      <c r="S514" s="7" t="s">
        <v>32</v>
      </c>
      <c r="T514" s="5"/>
    </row>
    <row r="515" customFormat="false" ht="29.25" hidden="false" customHeight="true" outlineLevel="0" collapsed="false">
      <c r="A515" s="4" t="n">
        <v>514</v>
      </c>
      <c r="B515" s="6" t="s">
        <v>1787</v>
      </c>
      <c r="C515" s="6" t="s">
        <v>1788</v>
      </c>
      <c r="D515" s="6" t="s">
        <v>1789</v>
      </c>
      <c r="E515" s="7" t="s">
        <v>21</v>
      </c>
      <c r="F515" s="6" t="s">
        <v>2200</v>
      </c>
      <c r="G515" s="6" t="s">
        <v>1919</v>
      </c>
      <c r="H515" s="6" t="s">
        <v>2201</v>
      </c>
      <c r="I515" s="6" t="s">
        <v>2202</v>
      </c>
      <c r="J515" s="6" t="s">
        <v>2203</v>
      </c>
      <c r="K515" s="5"/>
      <c r="L515" s="4" t="s">
        <v>62</v>
      </c>
      <c r="M515" s="8" t="s">
        <v>79</v>
      </c>
      <c r="N515" s="9" t="s">
        <v>1922</v>
      </c>
      <c r="O515" s="5"/>
      <c r="P515" s="5"/>
      <c r="Q515" s="6" t="s">
        <v>30</v>
      </c>
      <c r="R515" s="4" t="s">
        <v>31</v>
      </c>
      <c r="S515" s="7" t="s">
        <v>32</v>
      </c>
      <c r="T515" s="5"/>
    </row>
    <row r="516" customFormat="false" ht="29.25" hidden="false" customHeight="true" outlineLevel="0" collapsed="false">
      <c r="A516" s="4" t="n">
        <v>515</v>
      </c>
      <c r="B516" s="6" t="s">
        <v>1787</v>
      </c>
      <c r="C516" s="6" t="s">
        <v>1788</v>
      </c>
      <c r="D516" s="6" t="s">
        <v>1789</v>
      </c>
      <c r="E516" s="7" t="s">
        <v>21</v>
      </c>
      <c r="F516" s="6" t="s">
        <v>2200</v>
      </c>
      <c r="G516" s="6" t="s">
        <v>1921</v>
      </c>
      <c r="H516" s="6" t="s">
        <v>1920</v>
      </c>
      <c r="I516" s="6" t="s">
        <v>2204</v>
      </c>
      <c r="J516" s="6" t="s">
        <v>1918</v>
      </c>
      <c r="K516" s="5"/>
      <c r="L516" s="4" t="s">
        <v>51</v>
      </c>
      <c r="M516" s="8" t="s">
        <v>79</v>
      </c>
      <c r="N516" s="9" t="s">
        <v>1922</v>
      </c>
      <c r="O516" s="5"/>
      <c r="P516" s="5"/>
      <c r="Q516" s="6" t="s">
        <v>30</v>
      </c>
      <c r="R516" s="4" t="s">
        <v>31</v>
      </c>
      <c r="S516" s="7" t="s">
        <v>32</v>
      </c>
      <c r="T516" s="5"/>
    </row>
    <row r="517" customFormat="false" ht="29.25" hidden="false" customHeight="true" outlineLevel="0" collapsed="false">
      <c r="A517" s="4" t="n">
        <v>516</v>
      </c>
      <c r="B517" s="6" t="s">
        <v>1787</v>
      </c>
      <c r="C517" s="6" t="s">
        <v>1788</v>
      </c>
      <c r="D517" s="6" t="s">
        <v>1789</v>
      </c>
      <c r="E517" s="7" t="s">
        <v>21</v>
      </c>
      <c r="F517" s="6" t="s">
        <v>2205</v>
      </c>
      <c r="G517" s="6" t="s">
        <v>2206</v>
      </c>
      <c r="H517" s="6" t="s">
        <v>2207</v>
      </c>
      <c r="I517" s="6" t="s">
        <v>2208</v>
      </c>
      <c r="J517" s="6" t="s">
        <v>2209</v>
      </c>
      <c r="K517" s="5"/>
      <c r="L517" s="4" t="s">
        <v>27</v>
      </c>
      <c r="M517" s="8" t="s">
        <v>79</v>
      </c>
      <c r="N517" s="9" t="s">
        <v>2210</v>
      </c>
      <c r="O517" s="5"/>
      <c r="P517" s="5"/>
      <c r="Q517" s="6" t="s">
        <v>30</v>
      </c>
      <c r="R517" s="4" t="s">
        <v>31</v>
      </c>
      <c r="S517" s="7" t="s">
        <v>32</v>
      </c>
      <c r="T517" s="5"/>
    </row>
    <row r="518" customFormat="false" ht="29.25" hidden="false" customHeight="true" outlineLevel="0" collapsed="false">
      <c r="A518" s="4" t="n">
        <v>517</v>
      </c>
      <c r="B518" s="6" t="s">
        <v>1787</v>
      </c>
      <c r="C518" s="6" t="s">
        <v>1788</v>
      </c>
      <c r="D518" s="6" t="s">
        <v>1789</v>
      </c>
      <c r="E518" s="7" t="s">
        <v>21</v>
      </c>
      <c r="F518" s="6" t="s">
        <v>2211</v>
      </c>
      <c r="G518" s="6" t="s">
        <v>2206</v>
      </c>
      <c r="H518" s="6" t="s">
        <v>2207</v>
      </c>
      <c r="I518" s="6" t="s">
        <v>2208</v>
      </c>
      <c r="J518" s="6" t="s">
        <v>2209</v>
      </c>
      <c r="K518" s="5"/>
      <c r="L518" s="4" t="s">
        <v>44</v>
      </c>
      <c r="M518" s="8" t="s">
        <v>79</v>
      </c>
      <c r="N518" s="9" t="s">
        <v>2210</v>
      </c>
      <c r="O518" s="5"/>
      <c r="P518" s="5"/>
      <c r="Q518" s="6" t="s">
        <v>30</v>
      </c>
      <c r="R518" s="4" t="s">
        <v>31</v>
      </c>
      <c r="S518" s="7" t="s">
        <v>32</v>
      </c>
      <c r="T518" s="5"/>
    </row>
    <row r="519" customFormat="false" ht="29.25" hidden="false" customHeight="true" outlineLevel="0" collapsed="false">
      <c r="A519" s="4" t="n">
        <v>518</v>
      </c>
      <c r="B519" s="6" t="s">
        <v>1787</v>
      </c>
      <c r="C519" s="6" t="s">
        <v>1788</v>
      </c>
      <c r="D519" s="6" t="s">
        <v>1789</v>
      </c>
      <c r="E519" s="7" t="s">
        <v>21</v>
      </c>
      <c r="F519" s="6" t="s">
        <v>2212</v>
      </c>
      <c r="G519" s="6" t="s">
        <v>2213</v>
      </c>
      <c r="H519" s="6" t="s">
        <v>2214</v>
      </c>
      <c r="I519" s="6" t="s">
        <v>2215</v>
      </c>
      <c r="J519" s="6" t="s">
        <v>2216</v>
      </c>
      <c r="K519" s="5"/>
      <c r="L519" s="4" t="s">
        <v>27</v>
      </c>
      <c r="M519" s="8" t="s">
        <v>79</v>
      </c>
      <c r="N519" s="9" t="s">
        <v>2210</v>
      </c>
      <c r="O519" s="5"/>
      <c r="P519" s="5"/>
      <c r="Q519" s="6" t="s">
        <v>30</v>
      </c>
      <c r="R519" s="4" t="s">
        <v>31</v>
      </c>
      <c r="S519" s="7" t="s">
        <v>32</v>
      </c>
      <c r="T519" s="5"/>
    </row>
    <row r="520" customFormat="false" ht="29.25" hidden="false" customHeight="true" outlineLevel="0" collapsed="false">
      <c r="A520" s="4" t="n">
        <v>519</v>
      </c>
      <c r="B520" s="6" t="s">
        <v>1787</v>
      </c>
      <c r="C520" s="6" t="s">
        <v>1788</v>
      </c>
      <c r="D520" s="6" t="s">
        <v>1789</v>
      </c>
      <c r="E520" s="7" t="s">
        <v>21</v>
      </c>
      <c r="F520" s="6" t="s">
        <v>2217</v>
      </c>
      <c r="G520" s="6" t="s">
        <v>2218</v>
      </c>
      <c r="H520" s="6" t="s">
        <v>1920</v>
      </c>
      <c r="I520" s="6" t="s">
        <v>2219</v>
      </c>
      <c r="J520" s="6" t="s">
        <v>2220</v>
      </c>
      <c r="K520" s="5"/>
      <c r="L520" s="4" t="s">
        <v>62</v>
      </c>
      <c r="M520" s="8" t="s">
        <v>79</v>
      </c>
      <c r="N520" s="9" t="s">
        <v>1922</v>
      </c>
      <c r="O520" s="5"/>
      <c r="P520" s="5"/>
      <c r="Q520" s="6" t="s">
        <v>30</v>
      </c>
      <c r="R520" s="4" t="s">
        <v>31</v>
      </c>
      <c r="S520" s="7" t="s">
        <v>32</v>
      </c>
      <c r="T520" s="5"/>
    </row>
    <row r="521" customFormat="false" ht="29.25" hidden="false" customHeight="true" outlineLevel="0" collapsed="false">
      <c r="A521" s="4" t="n">
        <v>520</v>
      </c>
      <c r="B521" s="6" t="s">
        <v>1787</v>
      </c>
      <c r="C521" s="6" t="s">
        <v>1788</v>
      </c>
      <c r="D521" s="6" t="s">
        <v>1789</v>
      </c>
      <c r="E521" s="7" t="s">
        <v>21</v>
      </c>
      <c r="F521" s="6" t="s">
        <v>2221</v>
      </c>
      <c r="G521" s="6" t="s">
        <v>2222</v>
      </c>
      <c r="H521" s="6" t="s">
        <v>2223</v>
      </c>
      <c r="I521" s="6" t="s">
        <v>2224</v>
      </c>
      <c r="J521" s="6" t="s">
        <v>2225</v>
      </c>
      <c r="K521" s="5"/>
      <c r="L521" s="4" t="s">
        <v>44</v>
      </c>
      <c r="M521" s="8" t="s">
        <v>79</v>
      </c>
      <c r="N521" s="9" t="s">
        <v>2210</v>
      </c>
      <c r="O521" s="5"/>
      <c r="P521" s="5"/>
      <c r="Q521" s="6" t="s">
        <v>30</v>
      </c>
      <c r="R521" s="4" t="s">
        <v>31</v>
      </c>
      <c r="S521" s="7" t="s">
        <v>32</v>
      </c>
      <c r="T521" s="5"/>
    </row>
    <row r="522" customFormat="false" ht="29.25" hidden="false" customHeight="true" outlineLevel="0" collapsed="false">
      <c r="A522" s="4" t="n">
        <v>521</v>
      </c>
      <c r="B522" s="6" t="s">
        <v>1787</v>
      </c>
      <c r="C522" s="6" t="s">
        <v>1788</v>
      </c>
      <c r="D522" s="6" t="s">
        <v>1789</v>
      </c>
      <c r="E522" s="7" t="s">
        <v>21</v>
      </c>
      <c r="F522" s="6" t="s">
        <v>2226</v>
      </c>
      <c r="G522" s="6" t="s">
        <v>1824</v>
      </c>
      <c r="H522" s="6" t="s">
        <v>1818</v>
      </c>
      <c r="I522" s="6" t="s">
        <v>1817</v>
      </c>
      <c r="J522" s="6" t="s">
        <v>1819</v>
      </c>
      <c r="K522" s="5"/>
      <c r="L522" s="4" t="s">
        <v>62</v>
      </c>
      <c r="M522" s="8" t="s">
        <v>129</v>
      </c>
      <c r="N522" s="9" t="s">
        <v>1795</v>
      </c>
      <c r="O522" s="5"/>
      <c r="P522" s="5"/>
      <c r="Q522" s="6" t="s">
        <v>30</v>
      </c>
      <c r="R522" s="4" t="s">
        <v>31</v>
      </c>
      <c r="S522" s="7" t="s">
        <v>32</v>
      </c>
      <c r="T522" s="5"/>
    </row>
    <row r="523" customFormat="false" ht="29.25" hidden="false" customHeight="true" outlineLevel="0" collapsed="false">
      <c r="A523" s="4" t="n">
        <v>522</v>
      </c>
      <c r="B523" s="6" t="s">
        <v>1787</v>
      </c>
      <c r="C523" s="6" t="s">
        <v>1788</v>
      </c>
      <c r="D523" s="6" t="s">
        <v>1789</v>
      </c>
      <c r="E523" s="7" t="s">
        <v>21</v>
      </c>
      <c r="F523" s="6" t="s">
        <v>2227</v>
      </c>
      <c r="G523" s="6" t="s">
        <v>1823</v>
      </c>
      <c r="H523" s="6" t="s">
        <v>1826</v>
      </c>
      <c r="I523" s="6" t="s">
        <v>2114</v>
      </c>
      <c r="J523" s="6" t="s">
        <v>1819</v>
      </c>
      <c r="K523" s="5"/>
      <c r="L523" s="4" t="s">
        <v>51</v>
      </c>
      <c r="M523" s="8" t="s">
        <v>129</v>
      </c>
      <c r="N523" s="9" t="s">
        <v>1795</v>
      </c>
      <c r="O523" s="5"/>
      <c r="P523" s="5"/>
      <c r="Q523" s="6" t="s">
        <v>30</v>
      </c>
      <c r="R523" s="4" t="s">
        <v>31</v>
      </c>
      <c r="S523" s="7" t="s">
        <v>32</v>
      </c>
      <c r="T523" s="5"/>
    </row>
    <row r="524" customFormat="false" ht="29.25" hidden="false" customHeight="true" outlineLevel="0" collapsed="false">
      <c r="A524" s="4" t="n">
        <v>523</v>
      </c>
      <c r="B524" s="6" t="s">
        <v>1787</v>
      </c>
      <c r="C524" s="6" t="s">
        <v>1788</v>
      </c>
      <c r="D524" s="6" t="s">
        <v>1789</v>
      </c>
      <c r="E524" s="7" t="s">
        <v>21</v>
      </c>
      <c r="F524" s="6" t="s">
        <v>2228</v>
      </c>
      <c r="G524" s="6" t="s">
        <v>1824</v>
      </c>
      <c r="H524" s="6" t="s">
        <v>1817</v>
      </c>
      <c r="I524" s="6" t="s">
        <v>1830</v>
      </c>
      <c r="J524" s="6" t="s">
        <v>1826</v>
      </c>
      <c r="K524" s="5"/>
      <c r="L524" s="4" t="s">
        <v>27</v>
      </c>
      <c r="M524" s="8" t="s">
        <v>129</v>
      </c>
      <c r="N524" s="9" t="s">
        <v>1795</v>
      </c>
      <c r="O524" s="5"/>
      <c r="P524" s="5"/>
      <c r="Q524" s="6" t="s">
        <v>30</v>
      </c>
      <c r="R524" s="4" t="s">
        <v>31</v>
      </c>
      <c r="S524" s="7" t="s">
        <v>32</v>
      </c>
      <c r="T524" s="5"/>
    </row>
    <row r="525" customFormat="false" ht="29.25" hidden="false" customHeight="true" outlineLevel="0" collapsed="false">
      <c r="A525" s="4" t="n">
        <v>524</v>
      </c>
      <c r="B525" s="6" t="s">
        <v>1787</v>
      </c>
      <c r="C525" s="6" t="s">
        <v>1788</v>
      </c>
      <c r="D525" s="6" t="s">
        <v>1789</v>
      </c>
      <c r="E525" s="7" t="s">
        <v>21</v>
      </c>
      <c r="F525" s="6" t="s">
        <v>2229</v>
      </c>
      <c r="G525" s="6" t="s">
        <v>1818</v>
      </c>
      <c r="H525" s="6" t="s">
        <v>2230</v>
      </c>
      <c r="I525" s="6" t="s">
        <v>1826</v>
      </c>
      <c r="J525" s="6" t="s">
        <v>1821</v>
      </c>
      <c r="K525" s="5"/>
      <c r="L525" s="4" t="s">
        <v>44</v>
      </c>
      <c r="M525" s="8" t="s">
        <v>129</v>
      </c>
      <c r="N525" s="9" t="s">
        <v>1795</v>
      </c>
      <c r="O525" s="5"/>
      <c r="P525" s="5"/>
      <c r="Q525" s="6" t="s">
        <v>30</v>
      </c>
      <c r="R525" s="4" t="s">
        <v>31</v>
      </c>
      <c r="S525" s="7" t="s">
        <v>32</v>
      </c>
      <c r="T525" s="5"/>
    </row>
    <row r="526" customFormat="false" ht="43.5" hidden="false" customHeight="true" outlineLevel="0" collapsed="false">
      <c r="A526" s="4" t="n">
        <v>525</v>
      </c>
      <c r="B526" s="6" t="s">
        <v>1787</v>
      </c>
      <c r="C526" s="6" t="s">
        <v>1788</v>
      </c>
      <c r="D526" s="6" t="s">
        <v>1789</v>
      </c>
      <c r="E526" s="7" t="s">
        <v>21</v>
      </c>
      <c r="F526" s="6" t="s">
        <v>2231</v>
      </c>
      <c r="G526" s="6" t="s">
        <v>2232</v>
      </c>
      <c r="H526" s="6" t="s">
        <v>2233</v>
      </c>
      <c r="I526" s="6" t="s">
        <v>2234</v>
      </c>
      <c r="J526" s="6" t="s">
        <v>2235</v>
      </c>
      <c r="K526" s="5"/>
      <c r="L526" s="4" t="s">
        <v>27</v>
      </c>
      <c r="M526" s="8" t="s">
        <v>28</v>
      </c>
      <c r="N526" s="9" t="s">
        <v>1828</v>
      </c>
      <c r="O526" s="5"/>
      <c r="P526" s="5"/>
      <c r="Q526" s="6" t="s">
        <v>30</v>
      </c>
      <c r="R526" s="4" t="s">
        <v>31</v>
      </c>
      <c r="S526" s="7" t="s">
        <v>32</v>
      </c>
      <c r="T526" s="5"/>
    </row>
    <row r="527" customFormat="false" ht="29.25" hidden="false" customHeight="true" outlineLevel="0" collapsed="false">
      <c r="A527" s="4" t="n">
        <v>526</v>
      </c>
      <c r="B527" s="6" t="s">
        <v>1787</v>
      </c>
      <c r="C527" s="6" t="s">
        <v>1788</v>
      </c>
      <c r="D527" s="6" t="s">
        <v>1789</v>
      </c>
      <c r="E527" s="7" t="s">
        <v>21</v>
      </c>
      <c r="F527" s="6" t="s">
        <v>2236</v>
      </c>
      <c r="G527" s="6" t="s">
        <v>2237</v>
      </c>
      <c r="H527" s="6" t="s">
        <v>2238</v>
      </c>
      <c r="I527" s="6" t="s">
        <v>2239</v>
      </c>
      <c r="J527" s="6" t="s">
        <v>2193</v>
      </c>
      <c r="K527" s="5"/>
      <c r="L527" s="4" t="s">
        <v>62</v>
      </c>
      <c r="M527" s="8" t="s">
        <v>129</v>
      </c>
      <c r="N527" s="9" t="s">
        <v>1828</v>
      </c>
      <c r="O527" s="5"/>
      <c r="P527" s="5"/>
      <c r="Q527" s="6" t="s">
        <v>30</v>
      </c>
      <c r="R527" s="4" t="s">
        <v>31</v>
      </c>
      <c r="S527" s="7" t="s">
        <v>32</v>
      </c>
      <c r="T527" s="5"/>
    </row>
    <row r="528" customFormat="false" ht="29.25" hidden="false" customHeight="true" outlineLevel="0" collapsed="false">
      <c r="A528" s="4" t="n">
        <v>527</v>
      </c>
      <c r="B528" s="6" t="s">
        <v>1787</v>
      </c>
      <c r="C528" s="6" t="s">
        <v>1788</v>
      </c>
      <c r="D528" s="6" t="s">
        <v>1789</v>
      </c>
      <c r="E528" s="7" t="s">
        <v>21</v>
      </c>
      <c r="F528" s="6" t="s">
        <v>2240</v>
      </c>
      <c r="G528" s="6" t="s">
        <v>2237</v>
      </c>
      <c r="H528" s="6" t="s">
        <v>2239</v>
      </c>
      <c r="I528" s="6" t="s">
        <v>2241</v>
      </c>
      <c r="J528" s="6" t="s">
        <v>2242</v>
      </c>
      <c r="K528" s="5"/>
      <c r="L528" s="4" t="s">
        <v>27</v>
      </c>
      <c r="M528" s="8" t="s">
        <v>79</v>
      </c>
      <c r="N528" s="9" t="s">
        <v>1795</v>
      </c>
      <c r="O528" s="5"/>
      <c r="P528" s="5"/>
      <c r="Q528" s="6" t="s">
        <v>30</v>
      </c>
      <c r="R528" s="4" t="s">
        <v>31</v>
      </c>
      <c r="S528" s="7" t="s">
        <v>32</v>
      </c>
      <c r="T528" s="5"/>
    </row>
    <row r="529" customFormat="false" ht="29.25" hidden="false" customHeight="true" outlineLevel="0" collapsed="false">
      <c r="A529" s="4" t="n">
        <v>528</v>
      </c>
      <c r="B529" s="6" t="s">
        <v>1787</v>
      </c>
      <c r="C529" s="6" t="s">
        <v>1788</v>
      </c>
      <c r="D529" s="6" t="s">
        <v>1789</v>
      </c>
      <c r="E529" s="7" t="s">
        <v>21</v>
      </c>
      <c r="F529" s="6" t="s">
        <v>2243</v>
      </c>
      <c r="G529" s="6" t="s">
        <v>2239</v>
      </c>
      <c r="H529" s="6" t="s">
        <v>2244</v>
      </c>
      <c r="I529" s="6" t="s">
        <v>2245</v>
      </c>
      <c r="J529" s="6" t="s">
        <v>2246</v>
      </c>
      <c r="K529" s="5"/>
      <c r="L529" s="4" t="s">
        <v>62</v>
      </c>
      <c r="M529" s="8" t="s">
        <v>129</v>
      </c>
      <c r="N529" s="9" t="s">
        <v>1795</v>
      </c>
      <c r="O529" s="5"/>
      <c r="P529" s="5"/>
      <c r="Q529" s="6" t="s">
        <v>30</v>
      </c>
      <c r="R529" s="4" t="s">
        <v>31</v>
      </c>
      <c r="S529" s="7" t="s">
        <v>32</v>
      </c>
      <c r="T529" s="5"/>
    </row>
    <row r="530" customFormat="false" ht="29.25" hidden="false" customHeight="true" outlineLevel="0" collapsed="false">
      <c r="A530" s="4" t="n">
        <v>529</v>
      </c>
      <c r="B530" s="6" t="s">
        <v>1787</v>
      </c>
      <c r="C530" s="6" t="s">
        <v>1788</v>
      </c>
      <c r="D530" s="6" t="s">
        <v>1789</v>
      </c>
      <c r="E530" s="7" t="s">
        <v>21</v>
      </c>
      <c r="F530" s="6" t="s">
        <v>2247</v>
      </c>
      <c r="G530" s="6" t="s">
        <v>2239</v>
      </c>
      <c r="H530" s="6" t="s">
        <v>2244</v>
      </c>
      <c r="I530" s="6" t="s">
        <v>2245</v>
      </c>
      <c r="J530" s="6" t="s">
        <v>2246</v>
      </c>
      <c r="K530" s="5"/>
      <c r="L530" s="4" t="s">
        <v>27</v>
      </c>
      <c r="M530" s="8" t="s">
        <v>129</v>
      </c>
      <c r="N530" s="9" t="s">
        <v>1795</v>
      </c>
      <c r="O530" s="5"/>
      <c r="P530" s="5"/>
      <c r="Q530" s="6" t="s">
        <v>30</v>
      </c>
      <c r="R530" s="4" t="s">
        <v>31</v>
      </c>
      <c r="S530" s="7" t="s">
        <v>32</v>
      </c>
      <c r="T530" s="5"/>
    </row>
    <row r="531" customFormat="false" ht="29.25" hidden="false" customHeight="true" outlineLevel="0" collapsed="false">
      <c r="A531" s="4" t="n">
        <v>530</v>
      </c>
      <c r="B531" s="6" t="s">
        <v>1787</v>
      </c>
      <c r="C531" s="6" t="s">
        <v>1788</v>
      </c>
      <c r="D531" s="6" t="s">
        <v>1789</v>
      </c>
      <c r="E531" s="7" t="s">
        <v>21</v>
      </c>
      <c r="F531" s="6" t="s">
        <v>2248</v>
      </c>
      <c r="G531" s="6" t="s">
        <v>2249</v>
      </c>
      <c r="H531" s="6" t="s">
        <v>2025</v>
      </c>
      <c r="I531" s="6" t="s">
        <v>2026</v>
      </c>
      <c r="J531" s="6" t="s">
        <v>213</v>
      </c>
      <c r="K531" s="5"/>
      <c r="L531" s="4" t="s">
        <v>51</v>
      </c>
      <c r="M531" s="8" t="s">
        <v>79</v>
      </c>
      <c r="N531" s="9" t="s">
        <v>1828</v>
      </c>
      <c r="O531" s="5"/>
      <c r="P531" s="5"/>
      <c r="Q531" s="6" t="s">
        <v>30</v>
      </c>
      <c r="R531" s="4" t="s">
        <v>31</v>
      </c>
      <c r="S531" s="7" t="s">
        <v>32</v>
      </c>
      <c r="T531" s="5"/>
    </row>
    <row r="532" customFormat="false" ht="29.25" hidden="false" customHeight="true" outlineLevel="0" collapsed="false">
      <c r="A532" s="4" t="n">
        <v>531</v>
      </c>
      <c r="B532" s="6" t="s">
        <v>1787</v>
      </c>
      <c r="C532" s="6" t="s">
        <v>1788</v>
      </c>
      <c r="D532" s="6" t="s">
        <v>1789</v>
      </c>
      <c r="E532" s="7" t="s">
        <v>21</v>
      </c>
      <c r="F532" s="6" t="s">
        <v>2250</v>
      </c>
      <c r="G532" s="6" t="s">
        <v>2251</v>
      </c>
      <c r="H532" s="6" t="s">
        <v>2252</v>
      </c>
      <c r="I532" s="6" t="s">
        <v>2241</v>
      </c>
      <c r="J532" s="6" t="s">
        <v>2246</v>
      </c>
      <c r="K532" s="5"/>
      <c r="L532" s="4" t="s">
        <v>44</v>
      </c>
      <c r="M532" s="8" t="s">
        <v>129</v>
      </c>
      <c r="N532" s="9" t="s">
        <v>1795</v>
      </c>
      <c r="O532" s="5"/>
      <c r="P532" s="5"/>
      <c r="Q532" s="6" t="s">
        <v>30</v>
      </c>
      <c r="R532" s="4" t="s">
        <v>31</v>
      </c>
      <c r="S532" s="7" t="s">
        <v>32</v>
      </c>
      <c r="T532" s="5"/>
    </row>
    <row r="533" customFormat="false" ht="29.25" hidden="false" customHeight="true" outlineLevel="0" collapsed="false">
      <c r="A533" s="4" t="n">
        <v>532</v>
      </c>
      <c r="B533" s="6" t="s">
        <v>1787</v>
      </c>
      <c r="C533" s="6" t="s">
        <v>1788</v>
      </c>
      <c r="D533" s="6" t="s">
        <v>1789</v>
      </c>
      <c r="E533" s="7" t="s">
        <v>21</v>
      </c>
      <c r="F533" s="6" t="s">
        <v>2253</v>
      </c>
      <c r="G533" s="6" t="s">
        <v>2251</v>
      </c>
      <c r="H533" s="6" t="s">
        <v>2252</v>
      </c>
      <c r="I533" s="6" t="s">
        <v>2241</v>
      </c>
      <c r="J533" s="6" t="s">
        <v>2246</v>
      </c>
      <c r="K533" s="5"/>
      <c r="L533" s="4" t="s">
        <v>62</v>
      </c>
      <c r="M533" s="8" t="s">
        <v>79</v>
      </c>
      <c r="N533" s="9" t="s">
        <v>1795</v>
      </c>
      <c r="O533" s="5"/>
      <c r="P533" s="5"/>
      <c r="Q533" s="6" t="s">
        <v>30</v>
      </c>
      <c r="R533" s="4" t="s">
        <v>31</v>
      </c>
      <c r="S533" s="7" t="s">
        <v>32</v>
      </c>
      <c r="T533" s="5"/>
    </row>
    <row r="534" customFormat="false" ht="29.25" hidden="false" customHeight="true" outlineLevel="0" collapsed="false">
      <c r="A534" s="4" t="n">
        <v>533</v>
      </c>
      <c r="B534" s="6" t="s">
        <v>1787</v>
      </c>
      <c r="C534" s="6" t="s">
        <v>1788</v>
      </c>
      <c r="D534" s="6" t="s">
        <v>1789</v>
      </c>
      <c r="E534" s="7" t="s">
        <v>21</v>
      </c>
      <c r="F534" s="6" t="s">
        <v>2254</v>
      </c>
      <c r="G534" s="6" t="s">
        <v>2251</v>
      </c>
      <c r="H534" s="6" t="s">
        <v>2252</v>
      </c>
      <c r="I534" s="6" t="s">
        <v>2241</v>
      </c>
      <c r="J534" s="6" t="s">
        <v>2246</v>
      </c>
      <c r="K534" s="5"/>
      <c r="L534" s="4" t="s">
        <v>51</v>
      </c>
      <c r="M534" s="8" t="s">
        <v>129</v>
      </c>
      <c r="N534" s="9" t="s">
        <v>1831</v>
      </c>
      <c r="O534" s="5"/>
      <c r="P534" s="5"/>
      <c r="Q534" s="6" t="s">
        <v>30</v>
      </c>
      <c r="R534" s="4" t="s">
        <v>31</v>
      </c>
      <c r="S534" s="7" t="s">
        <v>32</v>
      </c>
      <c r="T534" s="5"/>
    </row>
    <row r="535" customFormat="false" ht="29.25" hidden="false" customHeight="true" outlineLevel="0" collapsed="false">
      <c r="A535" s="4" t="n">
        <v>534</v>
      </c>
      <c r="B535" s="6" t="s">
        <v>1787</v>
      </c>
      <c r="C535" s="6" t="s">
        <v>1788</v>
      </c>
      <c r="D535" s="6" t="s">
        <v>1789</v>
      </c>
      <c r="E535" s="7" t="s">
        <v>21</v>
      </c>
      <c r="F535" s="6" t="s">
        <v>2255</v>
      </c>
      <c r="G535" s="6" t="s">
        <v>2256</v>
      </c>
      <c r="H535" s="6" t="s">
        <v>2257</v>
      </c>
      <c r="I535" s="6" t="s">
        <v>2258</v>
      </c>
      <c r="J535" s="6" t="s">
        <v>2259</v>
      </c>
      <c r="K535" s="5"/>
      <c r="L535" s="4" t="s">
        <v>44</v>
      </c>
      <c r="M535" s="8" t="s">
        <v>129</v>
      </c>
      <c r="N535" s="9" t="s">
        <v>1831</v>
      </c>
      <c r="O535" s="5"/>
      <c r="P535" s="5"/>
      <c r="Q535" s="6" t="s">
        <v>30</v>
      </c>
      <c r="R535" s="4" t="s">
        <v>31</v>
      </c>
      <c r="S535" s="7" t="s">
        <v>32</v>
      </c>
      <c r="T535" s="5"/>
    </row>
    <row r="536" customFormat="false" ht="29.25" hidden="false" customHeight="true" outlineLevel="0" collapsed="false">
      <c r="A536" s="4" t="n">
        <v>535</v>
      </c>
      <c r="B536" s="6" t="s">
        <v>1787</v>
      </c>
      <c r="C536" s="6" t="s">
        <v>1788</v>
      </c>
      <c r="D536" s="6" t="s">
        <v>1789</v>
      </c>
      <c r="E536" s="7" t="s">
        <v>21</v>
      </c>
      <c r="F536" s="6" t="s">
        <v>2260</v>
      </c>
      <c r="G536" s="6" t="s">
        <v>2261</v>
      </c>
      <c r="H536" s="6" t="s">
        <v>2262</v>
      </c>
      <c r="I536" s="6" t="s">
        <v>2263</v>
      </c>
      <c r="J536" s="6" t="s">
        <v>2264</v>
      </c>
      <c r="K536" s="5"/>
      <c r="L536" s="4" t="s">
        <v>62</v>
      </c>
      <c r="M536" s="8" t="s">
        <v>28</v>
      </c>
      <c r="N536" s="9" t="s">
        <v>1828</v>
      </c>
      <c r="O536" s="5"/>
      <c r="P536" s="5"/>
      <c r="Q536" s="6" t="s">
        <v>30</v>
      </c>
      <c r="R536" s="4" t="s">
        <v>31</v>
      </c>
      <c r="S536" s="7" t="s">
        <v>32</v>
      </c>
      <c r="T536" s="5"/>
    </row>
    <row r="537" customFormat="false" ht="29.25" hidden="false" customHeight="true" outlineLevel="0" collapsed="false">
      <c r="A537" s="4" t="n">
        <v>536</v>
      </c>
      <c r="B537" s="6" t="s">
        <v>1787</v>
      </c>
      <c r="C537" s="6" t="s">
        <v>1788</v>
      </c>
      <c r="D537" s="6" t="s">
        <v>1789</v>
      </c>
      <c r="E537" s="7" t="s">
        <v>21</v>
      </c>
      <c r="F537" s="6" t="s">
        <v>2265</v>
      </c>
      <c r="G537" s="6" t="s">
        <v>2049</v>
      </c>
      <c r="H537" s="6" t="s">
        <v>2029</v>
      </c>
      <c r="I537" s="6" t="s">
        <v>2048</v>
      </c>
      <c r="J537" s="6" t="s">
        <v>1981</v>
      </c>
      <c r="K537" s="5"/>
      <c r="L537" s="4" t="s">
        <v>27</v>
      </c>
      <c r="M537" s="8" t="s">
        <v>79</v>
      </c>
      <c r="N537" s="9" t="s">
        <v>1828</v>
      </c>
      <c r="O537" s="5"/>
      <c r="P537" s="5"/>
      <c r="Q537" s="6" t="s">
        <v>30</v>
      </c>
      <c r="R537" s="4" t="s">
        <v>31</v>
      </c>
      <c r="S537" s="7" t="s">
        <v>32</v>
      </c>
      <c r="T537" s="5"/>
    </row>
    <row r="538" customFormat="false" ht="29.25" hidden="false" customHeight="true" outlineLevel="0" collapsed="false">
      <c r="A538" s="4" t="n">
        <v>537</v>
      </c>
      <c r="B538" s="6" t="s">
        <v>1787</v>
      </c>
      <c r="C538" s="6" t="s">
        <v>1788</v>
      </c>
      <c r="D538" s="6" t="s">
        <v>1789</v>
      </c>
      <c r="E538" s="7" t="s">
        <v>21</v>
      </c>
      <c r="F538" s="6" t="s">
        <v>2266</v>
      </c>
      <c r="G538" s="6" t="s">
        <v>2237</v>
      </c>
      <c r="H538" s="6" t="s">
        <v>2193</v>
      </c>
      <c r="I538" s="6" t="s">
        <v>2239</v>
      </c>
      <c r="J538" s="6" t="s">
        <v>2238</v>
      </c>
      <c r="K538" s="5"/>
      <c r="L538" s="4" t="s">
        <v>51</v>
      </c>
      <c r="M538" s="8" t="s">
        <v>129</v>
      </c>
      <c r="N538" s="9" t="s">
        <v>1828</v>
      </c>
      <c r="O538" s="5"/>
      <c r="P538" s="5"/>
      <c r="Q538" s="6" t="s">
        <v>30</v>
      </c>
      <c r="R538" s="4" t="s">
        <v>31</v>
      </c>
      <c r="S538" s="7" t="s">
        <v>32</v>
      </c>
      <c r="T538" s="5"/>
    </row>
    <row r="539" customFormat="false" ht="29.25" hidden="false" customHeight="true" outlineLevel="0" collapsed="false">
      <c r="A539" s="4" t="n">
        <v>538</v>
      </c>
      <c r="B539" s="6" t="s">
        <v>1787</v>
      </c>
      <c r="C539" s="6" t="s">
        <v>1788</v>
      </c>
      <c r="D539" s="6" t="s">
        <v>1789</v>
      </c>
      <c r="E539" s="7" t="s">
        <v>21</v>
      </c>
      <c r="F539" s="6" t="s">
        <v>2267</v>
      </c>
      <c r="G539" s="6" t="s">
        <v>2237</v>
      </c>
      <c r="H539" s="6" t="s">
        <v>2241</v>
      </c>
      <c r="I539" s="6" t="s">
        <v>2239</v>
      </c>
      <c r="J539" s="6" t="s">
        <v>2242</v>
      </c>
      <c r="K539" s="5"/>
      <c r="L539" s="4" t="s">
        <v>44</v>
      </c>
      <c r="M539" s="8" t="s">
        <v>129</v>
      </c>
      <c r="N539" s="9" t="s">
        <v>1795</v>
      </c>
      <c r="O539" s="5"/>
      <c r="P539" s="5"/>
      <c r="Q539" s="6" t="s">
        <v>30</v>
      </c>
      <c r="R539" s="4" t="s">
        <v>31</v>
      </c>
      <c r="S539" s="7" t="s">
        <v>32</v>
      </c>
      <c r="T539" s="5"/>
    </row>
    <row r="540" customFormat="false" ht="29.25" hidden="false" customHeight="true" outlineLevel="0" collapsed="false">
      <c r="A540" s="4" t="n">
        <v>539</v>
      </c>
      <c r="B540" s="6" t="s">
        <v>1787</v>
      </c>
      <c r="C540" s="6" t="s">
        <v>1788</v>
      </c>
      <c r="D540" s="6" t="s">
        <v>1789</v>
      </c>
      <c r="E540" s="7" t="s">
        <v>21</v>
      </c>
      <c r="F540" s="6" t="s">
        <v>2268</v>
      </c>
      <c r="G540" s="6" t="s">
        <v>2269</v>
      </c>
      <c r="H540" s="6" t="s">
        <v>2270</v>
      </c>
      <c r="I540" s="6" t="s">
        <v>2271</v>
      </c>
      <c r="J540" s="6" t="s">
        <v>2272</v>
      </c>
      <c r="K540" s="5"/>
      <c r="L540" s="4" t="s">
        <v>51</v>
      </c>
      <c r="M540" s="8" t="s">
        <v>129</v>
      </c>
      <c r="N540" s="9" t="s">
        <v>1828</v>
      </c>
      <c r="O540" s="5"/>
      <c r="P540" s="5"/>
      <c r="Q540" s="6" t="s">
        <v>30</v>
      </c>
      <c r="R540" s="4" t="s">
        <v>31</v>
      </c>
      <c r="S540" s="7" t="s">
        <v>32</v>
      </c>
      <c r="T540" s="5"/>
    </row>
    <row r="541" customFormat="false" ht="29.25" hidden="false" customHeight="true" outlineLevel="0" collapsed="false">
      <c r="A541" s="4" t="n">
        <v>540</v>
      </c>
      <c r="B541" s="6" t="s">
        <v>1787</v>
      </c>
      <c r="C541" s="6" t="s">
        <v>1788</v>
      </c>
      <c r="D541" s="6" t="s">
        <v>1789</v>
      </c>
      <c r="E541" s="7" t="s">
        <v>21</v>
      </c>
      <c r="F541" s="6" t="s">
        <v>2273</v>
      </c>
      <c r="G541" s="6" t="s">
        <v>2274</v>
      </c>
      <c r="H541" s="6" t="s">
        <v>2275</v>
      </c>
      <c r="I541" s="6" t="s">
        <v>2276</v>
      </c>
      <c r="J541" s="6" t="s">
        <v>2277</v>
      </c>
      <c r="K541" s="5"/>
      <c r="L541" s="4" t="s">
        <v>62</v>
      </c>
      <c r="M541" s="8" t="s">
        <v>129</v>
      </c>
      <c r="N541" s="9" t="s">
        <v>2278</v>
      </c>
      <c r="O541" s="5"/>
      <c r="P541" s="5"/>
      <c r="Q541" s="6" t="s">
        <v>30</v>
      </c>
      <c r="R541" s="4" t="s">
        <v>31</v>
      </c>
      <c r="S541" s="7" t="s">
        <v>32</v>
      </c>
      <c r="T541" s="5"/>
    </row>
    <row r="542" customFormat="false" ht="29.25" hidden="false" customHeight="true" outlineLevel="0" collapsed="false">
      <c r="A542" s="4" t="n">
        <v>541</v>
      </c>
      <c r="B542" s="6" t="s">
        <v>1787</v>
      </c>
      <c r="C542" s="6" t="s">
        <v>1788</v>
      </c>
      <c r="D542" s="6" t="s">
        <v>1789</v>
      </c>
      <c r="E542" s="7" t="s">
        <v>21</v>
      </c>
      <c r="F542" s="6" t="s">
        <v>2279</v>
      </c>
      <c r="G542" s="6" t="s">
        <v>2053</v>
      </c>
      <c r="H542" s="6" t="s">
        <v>2062</v>
      </c>
      <c r="I542" s="6" t="s">
        <v>2280</v>
      </c>
      <c r="J542" s="6" t="s">
        <v>78</v>
      </c>
      <c r="K542" s="5"/>
      <c r="L542" s="4" t="s">
        <v>62</v>
      </c>
      <c r="M542" s="8" t="s">
        <v>79</v>
      </c>
      <c r="N542" s="9" t="s">
        <v>1795</v>
      </c>
      <c r="O542" s="5"/>
      <c r="P542" s="5"/>
      <c r="Q542" s="6" t="s">
        <v>30</v>
      </c>
      <c r="R542" s="4" t="s">
        <v>31</v>
      </c>
      <c r="S542" s="7" t="s">
        <v>32</v>
      </c>
      <c r="T542" s="5"/>
    </row>
    <row r="543" customFormat="false" ht="29.25" hidden="false" customHeight="true" outlineLevel="0" collapsed="false">
      <c r="A543" s="4" t="n">
        <v>542</v>
      </c>
      <c r="B543" s="6" t="s">
        <v>1787</v>
      </c>
      <c r="C543" s="6" t="s">
        <v>1788</v>
      </c>
      <c r="D543" s="6" t="s">
        <v>1789</v>
      </c>
      <c r="E543" s="7" t="s">
        <v>21</v>
      </c>
      <c r="F543" s="6" t="s">
        <v>2281</v>
      </c>
      <c r="G543" s="6" t="s">
        <v>2282</v>
      </c>
      <c r="H543" s="6" t="s">
        <v>2062</v>
      </c>
      <c r="I543" s="6" t="s">
        <v>2283</v>
      </c>
      <c r="J543" s="6" t="s">
        <v>2280</v>
      </c>
      <c r="K543" s="5"/>
      <c r="L543" s="4" t="s">
        <v>27</v>
      </c>
      <c r="M543" s="8" t="s">
        <v>129</v>
      </c>
      <c r="N543" s="9" t="s">
        <v>1795</v>
      </c>
      <c r="O543" s="5"/>
      <c r="P543" s="5"/>
      <c r="Q543" s="6" t="s">
        <v>30</v>
      </c>
      <c r="R543" s="4" t="s">
        <v>31</v>
      </c>
      <c r="S543" s="7" t="s">
        <v>32</v>
      </c>
      <c r="T543" s="5"/>
    </row>
    <row r="544" customFormat="false" ht="29.25" hidden="false" customHeight="true" outlineLevel="0" collapsed="false">
      <c r="A544" s="4" t="n">
        <v>543</v>
      </c>
      <c r="B544" s="6" t="s">
        <v>1787</v>
      </c>
      <c r="C544" s="6" t="s">
        <v>1788</v>
      </c>
      <c r="D544" s="6" t="s">
        <v>1789</v>
      </c>
      <c r="E544" s="7" t="s">
        <v>21</v>
      </c>
      <c r="F544" s="6" t="s">
        <v>2284</v>
      </c>
      <c r="G544" s="6" t="s">
        <v>2285</v>
      </c>
      <c r="H544" s="6" t="s">
        <v>2062</v>
      </c>
      <c r="I544" s="6" t="s">
        <v>2280</v>
      </c>
      <c r="J544" s="6" t="s">
        <v>2286</v>
      </c>
      <c r="K544" s="5"/>
      <c r="L544" s="4" t="s">
        <v>44</v>
      </c>
      <c r="M544" s="8" t="s">
        <v>129</v>
      </c>
      <c r="N544" s="9" t="s">
        <v>1795</v>
      </c>
      <c r="O544" s="5"/>
      <c r="P544" s="5"/>
      <c r="Q544" s="6" t="s">
        <v>30</v>
      </c>
      <c r="R544" s="4" t="s">
        <v>31</v>
      </c>
      <c r="S544" s="7" t="s">
        <v>32</v>
      </c>
      <c r="T544" s="5"/>
    </row>
    <row r="545" customFormat="false" ht="29.25" hidden="false" customHeight="true" outlineLevel="0" collapsed="false">
      <c r="A545" s="4" t="n">
        <v>544</v>
      </c>
      <c r="B545" s="6" t="s">
        <v>1787</v>
      </c>
      <c r="C545" s="6" t="s">
        <v>1788</v>
      </c>
      <c r="D545" s="6" t="s">
        <v>1789</v>
      </c>
      <c r="E545" s="7" t="s">
        <v>21</v>
      </c>
      <c r="F545" s="6" t="s">
        <v>2287</v>
      </c>
      <c r="G545" s="6" t="s">
        <v>2054</v>
      </c>
      <c r="H545" s="6" t="s">
        <v>2067</v>
      </c>
      <c r="I545" s="6" t="s">
        <v>2053</v>
      </c>
      <c r="J545" s="6" t="s">
        <v>2052</v>
      </c>
      <c r="K545" s="5"/>
      <c r="L545" s="4" t="s">
        <v>51</v>
      </c>
      <c r="M545" s="8" t="s">
        <v>129</v>
      </c>
      <c r="N545" s="9" t="s">
        <v>1795</v>
      </c>
      <c r="O545" s="5"/>
      <c r="P545" s="5"/>
      <c r="Q545" s="6" t="s">
        <v>30</v>
      </c>
      <c r="R545" s="4" t="s">
        <v>31</v>
      </c>
      <c r="S545" s="7" t="s">
        <v>32</v>
      </c>
      <c r="T545" s="5"/>
    </row>
    <row r="546" customFormat="false" ht="29.25" hidden="false" customHeight="true" outlineLevel="0" collapsed="false">
      <c r="A546" s="4" t="n">
        <v>545</v>
      </c>
      <c r="B546" s="6" t="s">
        <v>1787</v>
      </c>
      <c r="C546" s="6" t="s">
        <v>1788</v>
      </c>
      <c r="D546" s="6" t="s">
        <v>1789</v>
      </c>
      <c r="E546" s="7" t="s">
        <v>21</v>
      </c>
      <c r="F546" s="6" t="s">
        <v>2288</v>
      </c>
      <c r="G546" s="6" t="s">
        <v>1823</v>
      </c>
      <c r="H546" s="6" t="s">
        <v>1931</v>
      </c>
      <c r="I546" s="6" t="s">
        <v>2114</v>
      </c>
      <c r="J546" s="6" t="s">
        <v>2289</v>
      </c>
      <c r="K546" s="5"/>
      <c r="L546" s="4" t="s">
        <v>62</v>
      </c>
      <c r="M546" s="8" t="s">
        <v>79</v>
      </c>
      <c r="N546" s="9" t="s">
        <v>1795</v>
      </c>
      <c r="O546" s="5"/>
      <c r="P546" s="5"/>
      <c r="Q546" s="6" t="s">
        <v>30</v>
      </c>
      <c r="R546" s="4" t="s">
        <v>31</v>
      </c>
      <c r="S546" s="7" t="s">
        <v>32</v>
      </c>
      <c r="T546" s="5"/>
    </row>
    <row r="547" customFormat="false" ht="29.25" hidden="false" customHeight="true" outlineLevel="0" collapsed="false">
      <c r="A547" s="4" t="n">
        <v>546</v>
      </c>
      <c r="B547" s="6" t="s">
        <v>1787</v>
      </c>
      <c r="C547" s="6" t="s">
        <v>1788</v>
      </c>
      <c r="D547" s="6" t="s">
        <v>1789</v>
      </c>
      <c r="E547" s="7" t="s">
        <v>21</v>
      </c>
      <c r="F547" s="6" t="s">
        <v>2290</v>
      </c>
      <c r="G547" s="6" t="s">
        <v>2291</v>
      </c>
      <c r="H547" s="6" t="s">
        <v>2292</v>
      </c>
      <c r="I547" s="6" t="s">
        <v>2293</v>
      </c>
      <c r="J547" s="6" t="s">
        <v>2294</v>
      </c>
      <c r="K547" s="5"/>
      <c r="L547" s="4" t="s">
        <v>27</v>
      </c>
      <c r="M547" s="8" t="s">
        <v>79</v>
      </c>
      <c r="N547" s="9" t="s">
        <v>1831</v>
      </c>
      <c r="O547" s="5"/>
      <c r="P547" s="5"/>
      <c r="Q547" s="6" t="s">
        <v>30</v>
      </c>
      <c r="R547" s="4" t="s">
        <v>31</v>
      </c>
      <c r="S547" s="7" t="s">
        <v>32</v>
      </c>
      <c r="T547" s="5"/>
    </row>
    <row r="548" customFormat="false" ht="29.25" hidden="false" customHeight="true" outlineLevel="0" collapsed="false">
      <c r="A548" s="4" t="n">
        <v>547</v>
      </c>
      <c r="B548" s="6" t="s">
        <v>1787</v>
      </c>
      <c r="C548" s="6" t="s">
        <v>1788</v>
      </c>
      <c r="D548" s="6" t="s">
        <v>1789</v>
      </c>
      <c r="E548" s="7" t="s">
        <v>21</v>
      </c>
      <c r="F548" s="6" t="s">
        <v>2295</v>
      </c>
      <c r="G548" s="6" t="s">
        <v>2049</v>
      </c>
      <c r="H548" s="6" t="s">
        <v>2048</v>
      </c>
      <c r="I548" s="6" t="s">
        <v>1981</v>
      </c>
      <c r="J548" s="6" t="s">
        <v>2029</v>
      </c>
      <c r="K548" s="5"/>
      <c r="L548" s="4" t="s">
        <v>44</v>
      </c>
      <c r="M548" s="8" t="s">
        <v>79</v>
      </c>
      <c r="N548" s="9" t="s">
        <v>1831</v>
      </c>
      <c r="O548" s="5"/>
      <c r="P548" s="5"/>
      <c r="Q548" s="6" t="s">
        <v>30</v>
      </c>
      <c r="R548" s="4" t="s">
        <v>31</v>
      </c>
      <c r="S548" s="7" t="s">
        <v>32</v>
      </c>
      <c r="T548" s="5"/>
    </row>
    <row r="549" customFormat="false" ht="29.25" hidden="false" customHeight="true" outlineLevel="0" collapsed="false">
      <c r="A549" s="4" t="n">
        <v>548</v>
      </c>
      <c r="B549" s="6" t="s">
        <v>1787</v>
      </c>
      <c r="C549" s="6" t="s">
        <v>1788</v>
      </c>
      <c r="D549" s="6" t="s">
        <v>1789</v>
      </c>
      <c r="E549" s="7" t="s">
        <v>21</v>
      </c>
      <c r="F549" s="6" t="s">
        <v>2296</v>
      </c>
      <c r="G549" s="6" t="s">
        <v>2297</v>
      </c>
      <c r="H549" s="6" t="s">
        <v>1400</v>
      </c>
      <c r="I549" s="6" t="s">
        <v>1401</v>
      </c>
      <c r="J549" s="6" t="s">
        <v>1405</v>
      </c>
      <c r="K549" s="5"/>
      <c r="L549" s="4" t="s">
        <v>51</v>
      </c>
      <c r="M549" s="8" t="s">
        <v>79</v>
      </c>
      <c r="N549" s="9" t="s">
        <v>1795</v>
      </c>
      <c r="O549" s="5"/>
      <c r="P549" s="5"/>
      <c r="Q549" s="6" t="s">
        <v>30</v>
      </c>
      <c r="R549" s="4" t="s">
        <v>31</v>
      </c>
      <c r="S549" s="7" t="s">
        <v>32</v>
      </c>
      <c r="T549" s="5"/>
    </row>
    <row r="550" customFormat="false" ht="29.25" hidden="false" customHeight="true" outlineLevel="0" collapsed="false">
      <c r="A550" s="4" t="n">
        <v>549</v>
      </c>
      <c r="B550" s="6" t="s">
        <v>1787</v>
      </c>
      <c r="C550" s="6" t="s">
        <v>1788</v>
      </c>
      <c r="D550" s="6" t="s">
        <v>1789</v>
      </c>
      <c r="E550" s="7" t="s">
        <v>21</v>
      </c>
      <c r="F550" s="6" t="s">
        <v>2298</v>
      </c>
      <c r="G550" s="6" t="s">
        <v>2299</v>
      </c>
      <c r="H550" s="6" t="s">
        <v>2300</v>
      </c>
      <c r="I550" s="6" t="s">
        <v>1931</v>
      </c>
      <c r="J550" s="6" t="s">
        <v>2301</v>
      </c>
      <c r="K550" s="5"/>
      <c r="L550" s="4" t="s">
        <v>27</v>
      </c>
      <c r="M550" s="8" t="s">
        <v>28</v>
      </c>
      <c r="N550" s="9" t="s">
        <v>1795</v>
      </c>
      <c r="O550" s="5"/>
      <c r="P550" s="5"/>
      <c r="Q550" s="6" t="s">
        <v>30</v>
      </c>
      <c r="R550" s="4" t="s">
        <v>31</v>
      </c>
      <c r="S550" s="7" t="s">
        <v>32</v>
      </c>
      <c r="T550" s="5"/>
    </row>
    <row r="551" customFormat="false" ht="29.25" hidden="false" customHeight="true" outlineLevel="0" collapsed="false">
      <c r="A551" s="4" t="n">
        <v>550</v>
      </c>
      <c r="B551" s="6" t="s">
        <v>1787</v>
      </c>
      <c r="C551" s="6" t="s">
        <v>1788</v>
      </c>
      <c r="D551" s="6" t="s">
        <v>1789</v>
      </c>
      <c r="E551" s="7" t="s">
        <v>21</v>
      </c>
      <c r="F551" s="6" t="s">
        <v>2302</v>
      </c>
      <c r="G551" s="6" t="s">
        <v>2303</v>
      </c>
      <c r="H551" s="6" t="s">
        <v>1350</v>
      </c>
      <c r="I551" s="6" t="s">
        <v>1849</v>
      </c>
      <c r="J551" s="6" t="s">
        <v>2304</v>
      </c>
      <c r="K551" s="5"/>
      <c r="L551" s="4" t="s">
        <v>62</v>
      </c>
      <c r="M551" s="8" t="s">
        <v>129</v>
      </c>
      <c r="N551" s="9" t="s">
        <v>1795</v>
      </c>
      <c r="O551" s="5"/>
      <c r="P551" s="5"/>
      <c r="Q551" s="6" t="s">
        <v>30</v>
      </c>
      <c r="R551" s="4" t="s">
        <v>31</v>
      </c>
      <c r="S551" s="7" t="s">
        <v>32</v>
      </c>
      <c r="T551" s="5"/>
    </row>
    <row r="552" customFormat="false" ht="29.25" hidden="false" customHeight="true" outlineLevel="0" collapsed="false">
      <c r="A552" s="4" t="n">
        <v>551</v>
      </c>
      <c r="B552" s="6" t="s">
        <v>1787</v>
      </c>
      <c r="C552" s="6" t="s">
        <v>1788</v>
      </c>
      <c r="D552" s="6" t="s">
        <v>1789</v>
      </c>
      <c r="E552" s="7" t="s">
        <v>21</v>
      </c>
      <c r="F552" s="6" t="s">
        <v>2305</v>
      </c>
      <c r="G552" s="6" t="s">
        <v>2306</v>
      </c>
      <c r="H552" s="6" t="s">
        <v>2307</v>
      </c>
      <c r="I552" s="6" t="s">
        <v>2308</v>
      </c>
      <c r="J552" s="6" t="s">
        <v>2309</v>
      </c>
      <c r="K552" s="5"/>
      <c r="L552" s="4" t="s">
        <v>44</v>
      </c>
      <c r="M552" s="8" t="s">
        <v>79</v>
      </c>
      <c r="N552" s="9" t="s">
        <v>1828</v>
      </c>
      <c r="O552" s="5"/>
      <c r="P552" s="5"/>
      <c r="Q552" s="6" t="s">
        <v>30</v>
      </c>
      <c r="R552" s="4" t="s">
        <v>31</v>
      </c>
      <c r="S552" s="7" t="s">
        <v>32</v>
      </c>
      <c r="T552" s="5"/>
    </row>
    <row r="553" customFormat="false" ht="43.5" hidden="false" customHeight="true" outlineLevel="0" collapsed="false">
      <c r="A553" s="4" t="n">
        <v>552</v>
      </c>
      <c r="B553" s="6" t="s">
        <v>1787</v>
      </c>
      <c r="C553" s="6" t="s">
        <v>1788</v>
      </c>
      <c r="D553" s="6" t="s">
        <v>1789</v>
      </c>
      <c r="E553" s="7" t="s">
        <v>21</v>
      </c>
      <c r="F553" s="6" t="s">
        <v>2310</v>
      </c>
      <c r="G553" s="6" t="s">
        <v>2311</v>
      </c>
      <c r="H553" s="6" t="s">
        <v>2312</v>
      </c>
      <c r="I553" s="6" t="s">
        <v>2313</v>
      </c>
      <c r="J553" s="6" t="s">
        <v>2314</v>
      </c>
      <c r="K553" s="5"/>
      <c r="L553" s="4" t="s">
        <v>27</v>
      </c>
      <c r="M553" s="8" t="s">
        <v>79</v>
      </c>
      <c r="N553" s="9" t="s">
        <v>1795</v>
      </c>
      <c r="O553" s="5"/>
      <c r="P553" s="5"/>
      <c r="Q553" s="6" t="s">
        <v>30</v>
      </c>
      <c r="R553" s="4" t="s">
        <v>31</v>
      </c>
      <c r="S553" s="7" t="s">
        <v>32</v>
      </c>
      <c r="T553" s="5"/>
    </row>
    <row r="554" customFormat="false" ht="29.25" hidden="false" customHeight="true" outlineLevel="0" collapsed="false">
      <c r="A554" s="4" t="n">
        <v>553</v>
      </c>
      <c r="B554" s="6" t="s">
        <v>1787</v>
      </c>
      <c r="C554" s="6" t="s">
        <v>1788</v>
      </c>
      <c r="D554" s="6" t="s">
        <v>1789</v>
      </c>
      <c r="E554" s="7" t="s">
        <v>21</v>
      </c>
      <c r="F554" s="6" t="s">
        <v>2315</v>
      </c>
      <c r="G554" s="6" t="s">
        <v>2316</v>
      </c>
      <c r="H554" s="6" t="s">
        <v>2317</v>
      </c>
      <c r="I554" s="6" t="s">
        <v>2308</v>
      </c>
      <c r="J554" s="6" t="s">
        <v>2318</v>
      </c>
      <c r="K554" s="5"/>
      <c r="L554" s="4" t="s">
        <v>51</v>
      </c>
      <c r="M554" s="8" t="s">
        <v>129</v>
      </c>
      <c r="N554" s="9" t="s">
        <v>1795</v>
      </c>
      <c r="O554" s="5"/>
      <c r="P554" s="5"/>
      <c r="Q554" s="6" t="s">
        <v>30</v>
      </c>
      <c r="R554" s="4" t="s">
        <v>31</v>
      </c>
      <c r="S554" s="7" t="s">
        <v>32</v>
      </c>
      <c r="T554" s="5"/>
    </row>
    <row r="555" customFormat="false" ht="29.25" hidden="false" customHeight="true" outlineLevel="0" collapsed="false">
      <c r="A555" s="4" t="n">
        <v>554</v>
      </c>
      <c r="B555" s="6" t="s">
        <v>1787</v>
      </c>
      <c r="C555" s="6" t="s">
        <v>1788</v>
      </c>
      <c r="D555" s="6" t="s">
        <v>1789</v>
      </c>
      <c r="E555" s="7" t="s">
        <v>21</v>
      </c>
      <c r="F555" s="6" t="s">
        <v>2319</v>
      </c>
      <c r="G555" s="6" t="s">
        <v>2320</v>
      </c>
      <c r="H555" s="6" t="s">
        <v>2308</v>
      </c>
      <c r="I555" s="6" t="s">
        <v>2321</v>
      </c>
      <c r="J555" s="6" t="s">
        <v>2297</v>
      </c>
      <c r="K555" s="5"/>
      <c r="L555" s="4" t="s">
        <v>51</v>
      </c>
      <c r="M555" s="8" t="s">
        <v>79</v>
      </c>
      <c r="N555" s="9" t="s">
        <v>1795</v>
      </c>
      <c r="O555" s="5"/>
      <c r="P555" s="5"/>
      <c r="Q555" s="6" t="s">
        <v>30</v>
      </c>
      <c r="R555" s="4" t="s">
        <v>31</v>
      </c>
      <c r="S555" s="7" t="s">
        <v>32</v>
      </c>
      <c r="T555" s="5"/>
    </row>
    <row r="556" customFormat="false" ht="29.25" hidden="false" customHeight="true" outlineLevel="0" collapsed="false">
      <c r="A556" s="4" t="n">
        <v>555</v>
      </c>
      <c r="B556" s="6" t="s">
        <v>1787</v>
      </c>
      <c r="C556" s="6" t="s">
        <v>1788</v>
      </c>
      <c r="D556" s="6" t="s">
        <v>1789</v>
      </c>
      <c r="E556" s="7" t="s">
        <v>21</v>
      </c>
      <c r="F556" s="6" t="s">
        <v>2322</v>
      </c>
      <c r="G556" s="6" t="s">
        <v>2323</v>
      </c>
      <c r="H556" s="6" t="s">
        <v>2324</v>
      </c>
      <c r="I556" s="6" t="s">
        <v>2325</v>
      </c>
      <c r="J556" s="6" t="s">
        <v>2326</v>
      </c>
      <c r="K556" s="5"/>
      <c r="L556" s="4" t="s">
        <v>27</v>
      </c>
      <c r="M556" s="8" t="s">
        <v>79</v>
      </c>
      <c r="N556" s="9" t="s">
        <v>1795</v>
      </c>
      <c r="O556" s="5"/>
      <c r="P556" s="5"/>
      <c r="Q556" s="6" t="s">
        <v>30</v>
      </c>
      <c r="R556" s="4" t="s">
        <v>31</v>
      </c>
      <c r="S556" s="7" t="s">
        <v>32</v>
      </c>
      <c r="T556" s="5"/>
    </row>
    <row r="557" customFormat="false" ht="29.25" hidden="false" customHeight="true" outlineLevel="0" collapsed="false">
      <c r="A557" s="4" t="n">
        <v>556</v>
      </c>
      <c r="B557" s="6" t="s">
        <v>1787</v>
      </c>
      <c r="C557" s="6" t="s">
        <v>1788</v>
      </c>
      <c r="D557" s="6" t="s">
        <v>1789</v>
      </c>
      <c r="E557" s="7" t="s">
        <v>21</v>
      </c>
      <c r="F557" s="6" t="s">
        <v>2327</v>
      </c>
      <c r="G557" s="6" t="s">
        <v>2328</v>
      </c>
      <c r="H557" s="6" t="s">
        <v>2329</v>
      </c>
      <c r="I557" s="6" t="s">
        <v>2330</v>
      </c>
      <c r="J557" s="6" t="s">
        <v>2331</v>
      </c>
      <c r="K557" s="5"/>
      <c r="L557" s="4" t="s">
        <v>62</v>
      </c>
      <c r="M557" s="8" t="s">
        <v>79</v>
      </c>
      <c r="N557" s="9" t="s">
        <v>1795</v>
      </c>
      <c r="O557" s="5"/>
      <c r="P557" s="5"/>
      <c r="Q557" s="6" t="s">
        <v>30</v>
      </c>
      <c r="R557" s="4" t="s">
        <v>31</v>
      </c>
      <c r="S557" s="7" t="s">
        <v>32</v>
      </c>
      <c r="T557" s="5"/>
    </row>
    <row r="558" customFormat="false" ht="43.5" hidden="false" customHeight="true" outlineLevel="0" collapsed="false">
      <c r="A558" s="4" t="n">
        <v>557</v>
      </c>
      <c r="B558" s="6" t="s">
        <v>1787</v>
      </c>
      <c r="C558" s="6" t="s">
        <v>1788</v>
      </c>
      <c r="D558" s="6" t="s">
        <v>1789</v>
      </c>
      <c r="E558" s="7" t="s">
        <v>21</v>
      </c>
      <c r="F558" s="6" t="s">
        <v>2332</v>
      </c>
      <c r="G558" s="6" t="s">
        <v>2333</v>
      </c>
      <c r="H558" s="6" t="s">
        <v>2334</v>
      </c>
      <c r="I558" s="6" t="s">
        <v>2335</v>
      </c>
      <c r="J558" s="6" t="s">
        <v>2336</v>
      </c>
      <c r="K558" s="5"/>
      <c r="L558" s="4" t="s">
        <v>51</v>
      </c>
      <c r="M558" s="8" t="s">
        <v>79</v>
      </c>
      <c r="N558" s="9" t="s">
        <v>1795</v>
      </c>
      <c r="O558" s="5"/>
      <c r="P558" s="5"/>
      <c r="Q558" s="6" t="s">
        <v>30</v>
      </c>
      <c r="R558" s="4" t="s">
        <v>31</v>
      </c>
      <c r="S558" s="7" t="s">
        <v>32</v>
      </c>
      <c r="T558" s="5"/>
    </row>
    <row r="559" customFormat="false" ht="29.25" hidden="false" customHeight="true" outlineLevel="0" collapsed="false">
      <c r="A559" s="4" t="n">
        <v>558</v>
      </c>
      <c r="B559" s="6" t="s">
        <v>1787</v>
      </c>
      <c r="C559" s="6" t="s">
        <v>1788</v>
      </c>
      <c r="D559" s="6" t="s">
        <v>1789</v>
      </c>
      <c r="E559" s="7" t="s">
        <v>21</v>
      </c>
      <c r="F559" s="6" t="s">
        <v>2337</v>
      </c>
      <c r="G559" s="6" t="s">
        <v>2167</v>
      </c>
      <c r="H559" s="6" t="s">
        <v>2338</v>
      </c>
      <c r="I559" s="6" t="s">
        <v>2339</v>
      </c>
      <c r="J559" s="6" t="s">
        <v>2340</v>
      </c>
      <c r="K559" s="5"/>
      <c r="L559" s="4" t="s">
        <v>44</v>
      </c>
      <c r="M559" s="8" t="s">
        <v>129</v>
      </c>
      <c r="N559" s="9" t="s">
        <v>1795</v>
      </c>
      <c r="O559" s="5"/>
      <c r="P559" s="5"/>
      <c r="Q559" s="6" t="s">
        <v>30</v>
      </c>
      <c r="R559" s="4" t="s">
        <v>31</v>
      </c>
      <c r="S559" s="7" t="s">
        <v>32</v>
      </c>
      <c r="T559" s="5"/>
    </row>
    <row r="560" customFormat="false" ht="29.25" hidden="false" customHeight="true" outlineLevel="0" collapsed="false">
      <c r="A560" s="4" t="n">
        <v>559</v>
      </c>
      <c r="B560" s="6" t="s">
        <v>1787</v>
      </c>
      <c r="C560" s="6" t="s">
        <v>1788</v>
      </c>
      <c r="D560" s="6" t="s">
        <v>1789</v>
      </c>
      <c r="E560" s="7" t="s">
        <v>21</v>
      </c>
      <c r="F560" s="6" t="s">
        <v>2341</v>
      </c>
      <c r="G560" s="6" t="s">
        <v>2342</v>
      </c>
      <c r="H560" s="6" t="s">
        <v>2172</v>
      </c>
      <c r="I560" s="6" t="s">
        <v>2343</v>
      </c>
      <c r="J560" s="6" t="s">
        <v>2344</v>
      </c>
      <c r="K560" s="5"/>
      <c r="L560" s="4" t="s">
        <v>44</v>
      </c>
      <c r="M560" s="8" t="s">
        <v>129</v>
      </c>
      <c r="N560" s="9" t="s">
        <v>1795</v>
      </c>
      <c r="O560" s="5"/>
      <c r="P560" s="5"/>
      <c r="Q560" s="6" t="s">
        <v>30</v>
      </c>
      <c r="R560" s="4" t="s">
        <v>31</v>
      </c>
      <c r="S560" s="7" t="s">
        <v>32</v>
      </c>
      <c r="T560" s="5"/>
    </row>
    <row r="561" customFormat="false" ht="29.25" hidden="false" customHeight="true" outlineLevel="0" collapsed="false">
      <c r="A561" s="4" t="n">
        <v>560</v>
      </c>
      <c r="B561" s="6" t="s">
        <v>1787</v>
      </c>
      <c r="C561" s="6" t="s">
        <v>1788</v>
      </c>
      <c r="D561" s="6" t="s">
        <v>1789</v>
      </c>
      <c r="E561" s="7" t="s">
        <v>21</v>
      </c>
      <c r="F561" s="6" t="s">
        <v>2345</v>
      </c>
      <c r="G561" s="6" t="s">
        <v>1400</v>
      </c>
      <c r="H561" s="6" t="s">
        <v>876</v>
      </c>
      <c r="I561" s="6" t="s">
        <v>1931</v>
      </c>
      <c r="J561" s="6" t="s">
        <v>1405</v>
      </c>
      <c r="K561" s="5"/>
      <c r="L561" s="4" t="s">
        <v>27</v>
      </c>
      <c r="M561" s="8" t="s">
        <v>79</v>
      </c>
      <c r="N561" s="9" t="s">
        <v>1828</v>
      </c>
      <c r="O561" s="5"/>
      <c r="P561" s="5"/>
      <c r="Q561" s="6" t="s">
        <v>30</v>
      </c>
      <c r="R561" s="4" t="s">
        <v>31</v>
      </c>
      <c r="S561" s="7" t="s">
        <v>32</v>
      </c>
      <c r="T561" s="5"/>
    </row>
    <row r="562" customFormat="false" ht="29.25" hidden="false" customHeight="true" outlineLevel="0" collapsed="false">
      <c r="A562" s="4" t="n">
        <v>561</v>
      </c>
      <c r="B562" s="6" t="s">
        <v>1787</v>
      </c>
      <c r="C562" s="6" t="s">
        <v>1788</v>
      </c>
      <c r="D562" s="6" t="s">
        <v>1789</v>
      </c>
      <c r="E562" s="7" t="s">
        <v>21</v>
      </c>
      <c r="F562" s="6" t="s">
        <v>2346</v>
      </c>
      <c r="G562" s="6" t="s">
        <v>2347</v>
      </c>
      <c r="H562" s="6" t="s">
        <v>2348</v>
      </c>
      <c r="I562" s="6" t="s">
        <v>2349</v>
      </c>
      <c r="J562" s="6" t="s">
        <v>2350</v>
      </c>
      <c r="K562" s="5"/>
      <c r="L562" s="4" t="s">
        <v>62</v>
      </c>
      <c r="M562" s="8" t="s">
        <v>79</v>
      </c>
      <c r="N562" s="9" t="s">
        <v>1795</v>
      </c>
      <c r="O562" s="5"/>
      <c r="P562" s="5"/>
      <c r="Q562" s="6" t="s">
        <v>30</v>
      </c>
      <c r="R562" s="4" t="s">
        <v>31</v>
      </c>
      <c r="S562" s="7" t="s">
        <v>32</v>
      </c>
      <c r="T562" s="5"/>
    </row>
    <row r="563" customFormat="false" ht="29.25" hidden="false" customHeight="true" outlineLevel="0" collapsed="false">
      <c r="A563" s="4" t="n">
        <v>562</v>
      </c>
      <c r="B563" s="6" t="s">
        <v>1787</v>
      </c>
      <c r="C563" s="6" t="s">
        <v>1788</v>
      </c>
      <c r="D563" s="6" t="s">
        <v>1789</v>
      </c>
      <c r="E563" s="7" t="s">
        <v>21</v>
      </c>
      <c r="F563" s="6" t="s">
        <v>2351</v>
      </c>
      <c r="G563" s="6" t="s">
        <v>2271</v>
      </c>
      <c r="H563" s="6" t="s">
        <v>2352</v>
      </c>
      <c r="I563" s="6" t="s">
        <v>2353</v>
      </c>
      <c r="J563" s="6" t="s">
        <v>2354</v>
      </c>
      <c r="K563" s="5"/>
      <c r="L563" s="4" t="s">
        <v>44</v>
      </c>
      <c r="M563" s="8" t="s">
        <v>79</v>
      </c>
      <c r="N563" s="9" t="s">
        <v>1828</v>
      </c>
      <c r="O563" s="5"/>
      <c r="P563" s="5"/>
      <c r="Q563" s="6" t="s">
        <v>30</v>
      </c>
      <c r="R563" s="4" t="s">
        <v>31</v>
      </c>
      <c r="S563" s="7" t="s">
        <v>32</v>
      </c>
      <c r="T563" s="5"/>
    </row>
    <row r="564" customFormat="false" ht="29.25" hidden="false" customHeight="true" outlineLevel="0" collapsed="false">
      <c r="A564" s="4" t="n">
        <v>563</v>
      </c>
      <c r="B564" s="6" t="s">
        <v>1787</v>
      </c>
      <c r="C564" s="6" t="s">
        <v>1788</v>
      </c>
      <c r="D564" s="6" t="s">
        <v>1789</v>
      </c>
      <c r="E564" s="7" t="s">
        <v>21</v>
      </c>
      <c r="F564" s="6" t="s">
        <v>2355</v>
      </c>
      <c r="G564" s="6" t="s">
        <v>2356</v>
      </c>
      <c r="H564" s="6" t="s">
        <v>2357</v>
      </c>
      <c r="I564" s="6" t="s">
        <v>2358</v>
      </c>
      <c r="J564" s="6" t="s">
        <v>1955</v>
      </c>
      <c r="K564" s="5"/>
      <c r="L564" s="4" t="s">
        <v>62</v>
      </c>
      <c r="M564" s="8" t="s">
        <v>79</v>
      </c>
      <c r="N564" s="9" t="s">
        <v>1828</v>
      </c>
      <c r="O564" s="5"/>
      <c r="P564" s="5"/>
      <c r="Q564" s="6" t="s">
        <v>30</v>
      </c>
      <c r="R564" s="4" t="s">
        <v>31</v>
      </c>
      <c r="S564" s="7" t="s">
        <v>32</v>
      </c>
      <c r="T564" s="5"/>
    </row>
    <row r="565" customFormat="false" ht="29.25" hidden="false" customHeight="true" outlineLevel="0" collapsed="false">
      <c r="A565" s="4" t="n">
        <v>564</v>
      </c>
      <c r="B565" s="6" t="s">
        <v>1787</v>
      </c>
      <c r="C565" s="6" t="s">
        <v>1788</v>
      </c>
      <c r="D565" s="6" t="s">
        <v>1789</v>
      </c>
      <c r="E565" s="7" t="s">
        <v>21</v>
      </c>
      <c r="F565" s="6" t="s">
        <v>2359</v>
      </c>
      <c r="G565" s="6" t="s">
        <v>2360</v>
      </c>
      <c r="H565" s="6" t="s">
        <v>2361</v>
      </c>
      <c r="I565" s="6" t="s">
        <v>2362</v>
      </c>
      <c r="J565" s="6" t="s">
        <v>2363</v>
      </c>
      <c r="K565" s="5"/>
      <c r="L565" s="4" t="s">
        <v>51</v>
      </c>
      <c r="M565" s="8" t="s">
        <v>79</v>
      </c>
      <c r="N565" s="9" t="s">
        <v>1795</v>
      </c>
      <c r="O565" s="5"/>
      <c r="P565" s="5"/>
      <c r="Q565" s="6" t="s">
        <v>30</v>
      </c>
      <c r="R565" s="4" t="s">
        <v>31</v>
      </c>
      <c r="S565" s="7" t="s">
        <v>32</v>
      </c>
      <c r="T565" s="5"/>
    </row>
    <row r="566" customFormat="false" ht="29.25" hidden="false" customHeight="true" outlineLevel="0" collapsed="false">
      <c r="A566" s="4" t="n">
        <v>565</v>
      </c>
      <c r="B566" s="6" t="s">
        <v>1787</v>
      </c>
      <c r="C566" s="6" t="s">
        <v>1788</v>
      </c>
      <c r="D566" s="6" t="s">
        <v>1789</v>
      </c>
      <c r="E566" s="7" t="s">
        <v>21</v>
      </c>
      <c r="F566" s="6" t="s">
        <v>2364</v>
      </c>
      <c r="G566" s="6" t="s">
        <v>2365</v>
      </c>
      <c r="H566" s="6" t="s">
        <v>2366</v>
      </c>
      <c r="I566" s="6" t="s">
        <v>2367</v>
      </c>
      <c r="J566" s="6" t="s">
        <v>2368</v>
      </c>
      <c r="K566" s="5"/>
      <c r="L566" s="4" t="s">
        <v>27</v>
      </c>
      <c r="M566" s="8" t="s">
        <v>28</v>
      </c>
      <c r="N566" s="9" t="s">
        <v>1795</v>
      </c>
      <c r="O566" s="5"/>
      <c r="P566" s="5"/>
      <c r="Q566" s="6" t="s">
        <v>30</v>
      </c>
      <c r="R566" s="4" t="s">
        <v>31</v>
      </c>
      <c r="S566" s="7" t="s">
        <v>32</v>
      </c>
      <c r="T566" s="5"/>
    </row>
    <row r="567" customFormat="false" ht="29.25" hidden="false" customHeight="true" outlineLevel="0" collapsed="false">
      <c r="A567" s="4" t="n">
        <v>566</v>
      </c>
      <c r="B567" s="6" t="s">
        <v>1787</v>
      </c>
      <c r="C567" s="6" t="s">
        <v>1788</v>
      </c>
      <c r="D567" s="6" t="s">
        <v>1789</v>
      </c>
      <c r="E567" s="7" t="s">
        <v>21</v>
      </c>
      <c r="F567" s="6" t="s">
        <v>2369</v>
      </c>
      <c r="G567" s="6" t="s">
        <v>2370</v>
      </c>
      <c r="H567" s="6" t="s">
        <v>2371</v>
      </c>
      <c r="I567" s="6" t="s">
        <v>2372</v>
      </c>
      <c r="J567" s="6" t="s">
        <v>2373</v>
      </c>
      <c r="K567" s="5"/>
      <c r="L567" s="4" t="s">
        <v>51</v>
      </c>
      <c r="M567" s="8" t="s">
        <v>129</v>
      </c>
      <c r="N567" s="9" t="s">
        <v>1828</v>
      </c>
      <c r="O567" s="5"/>
      <c r="P567" s="5"/>
      <c r="Q567" s="6" t="s">
        <v>30</v>
      </c>
      <c r="R567" s="4" t="s">
        <v>31</v>
      </c>
      <c r="S567" s="7" t="s">
        <v>32</v>
      </c>
      <c r="T567" s="5"/>
    </row>
    <row r="568" customFormat="false" ht="43.5" hidden="false" customHeight="true" outlineLevel="0" collapsed="false">
      <c r="A568" s="4" t="n">
        <v>567</v>
      </c>
      <c r="B568" s="6" t="s">
        <v>1787</v>
      </c>
      <c r="C568" s="6" t="s">
        <v>1788</v>
      </c>
      <c r="D568" s="6" t="s">
        <v>1789</v>
      </c>
      <c r="E568" s="7" t="s">
        <v>21</v>
      </c>
      <c r="F568" s="6" t="s">
        <v>2374</v>
      </c>
      <c r="G568" s="6" t="s">
        <v>2375</v>
      </c>
      <c r="H568" s="6" t="s">
        <v>2376</v>
      </c>
      <c r="I568" s="6" t="s">
        <v>2377</v>
      </c>
      <c r="J568" s="6" t="s">
        <v>2378</v>
      </c>
      <c r="K568" s="5"/>
      <c r="L568" s="4" t="s">
        <v>44</v>
      </c>
      <c r="M568" s="8" t="s">
        <v>28</v>
      </c>
      <c r="N568" s="9" t="s">
        <v>1828</v>
      </c>
      <c r="O568" s="5"/>
      <c r="P568" s="5"/>
      <c r="Q568" s="6" t="s">
        <v>30</v>
      </c>
      <c r="R568" s="4" t="s">
        <v>31</v>
      </c>
      <c r="S568" s="7" t="s">
        <v>32</v>
      </c>
      <c r="T568" s="5"/>
    </row>
    <row r="569" customFormat="false" ht="57.75" hidden="false" customHeight="true" outlineLevel="0" collapsed="false">
      <c r="A569" s="4" t="n">
        <v>568</v>
      </c>
      <c r="B569" s="6" t="s">
        <v>1787</v>
      </c>
      <c r="C569" s="6" t="s">
        <v>1788</v>
      </c>
      <c r="D569" s="6" t="s">
        <v>1789</v>
      </c>
      <c r="E569" s="7" t="s">
        <v>21</v>
      </c>
      <c r="F569" s="6" t="s">
        <v>2379</v>
      </c>
      <c r="G569" s="6" t="s">
        <v>2380</v>
      </c>
      <c r="H569" s="6" t="s">
        <v>2381</v>
      </c>
      <c r="I569" s="6" t="s">
        <v>2382</v>
      </c>
      <c r="J569" s="6" t="s">
        <v>2383</v>
      </c>
      <c r="K569" s="5"/>
      <c r="L569" s="4" t="s">
        <v>62</v>
      </c>
      <c r="M569" s="8" t="s">
        <v>79</v>
      </c>
      <c r="N569" s="9" t="s">
        <v>1828</v>
      </c>
      <c r="O569" s="5"/>
      <c r="P569" s="5"/>
      <c r="Q569" s="6" t="s">
        <v>30</v>
      </c>
      <c r="R569" s="4" t="s">
        <v>31</v>
      </c>
      <c r="S569" s="7" t="s">
        <v>32</v>
      </c>
      <c r="T569" s="5"/>
    </row>
    <row r="570" customFormat="false" ht="29.25" hidden="false" customHeight="true" outlineLevel="0" collapsed="false">
      <c r="A570" s="4" t="n">
        <v>569</v>
      </c>
      <c r="B570" s="6" t="s">
        <v>1787</v>
      </c>
      <c r="C570" s="6" t="s">
        <v>1788</v>
      </c>
      <c r="D570" s="6" t="s">
        <v>1789</v>
      </c>
      <c r="E570" s="7" t="s">
        <v>21</v>
      </c>
      <c r="F570" s="6" t="s">
        <v>2384</v>
      </c>
      <c r="G570" s="6" t="s">
        <v>536</v>
      </c>
      <c r="H570" s="6" t="s">
        <v>1953</v>
      </c>
      <c r="I570" s="6" t="s">
        <v>213</v>
      </c>
      <c r="J570" s="6" t="s">
        <v>535</v>
      </c>
      <c r="K570" s="5"/>
      <c r="L570" s="4" t="s">
        <v>62</v>
      </c>
      <c r="M570" s="8" t="s">
        <v>129</v>
      </c>
      <c r="N570" s="9" t="s">
        <v>1795</v>
      </c>
      <c r="O570" s="5"/>
      <c r="P570" s="5"/>
      <c r="Q570" s="6" t="s">
        <v>30</v>
      </c>
      <c r="R570" s="4" t="s">
        <v>31</v>
      </c>
      <c r="S570" s="7" t="s">
        <v>32</v>
      </c>
      <c r="T570" s="5"/>
    </row>
    <row r="571" customFormat="false" ht="29.25" hidden="false" customHeight="true" outlineLevel="0" collapsed="false">
      <c r="A571" s="4" t="n">
        <v>570</v>
      </c>
      <c r="B571" s="6" t="s">
        <v>1787</v>
      </c>
      <c r="C571" s="6" t="s">
        <v>1788</v>
      </c>
      <c r="D571" s="6" t="s">
        <v>1789</v>
      </c>
      <c r="E571" s="7" t="s">
        <v>21</v>
      </c>
      <c r="F571" s="6" t="s">
        <v>2385</v>
      </c>
      <c r="G571" s="6" t="s">
        <v>535</v>
      </c>
      <c r="H571" s="6" t="s">
        <v>1985</v>
      </c>
      <c r="I571" s="6" t="s">
        <v>1953</v>
      </c>
      <c r="J571" s="6" t="s">
        <v>213</v>
      </c>
      <c r="K571" s="5"/>
      <c r="L571" s="4" t="s">
        <v>27</v>
      </c>
      <c r="M571" s="8" t="s">
        <v>129</v>
      </c>
      <c r="N571" s="9" t="s">
        <v>1795</v>
      </c>
      <c r="O571" s="5"/>
      <c r="P571" s="5"/>
      <c r="Q571" s="6" t="s">
        <v>30</v>
      </c>
      <c r="R571" s="4" t="s">
        <v>31</v>
      </c>
      <c r="S571" s="7" t="s">
        <v>32</v>
      </c>
      <c r="T571" s="5"/>
    </row>
    <row r="572" customFormat="false" ht="29.25" hidden="false" customHeight="true" outlineLevel="0" collapsed="false">
      <c r="A572" s="4" t="n">
        <v>571</v>
      </c>
      <c r="B572" s="6" t="s">
        <v>1787</v>
      </c>
      <c r="C572" s="6" t="s">
        <v>1788</v>
      </c>
      <c r="D572" s="6" t="s">
        <v>1789</v>
      </c>
      <c r="E572" s="7" t="s">
        <v>21</v>
      </c>
      <c r="F572" s="6" t="s">
        <v>2386</v>
      </c>
      <c r="G572" s="6" t="s">
        <v>1953</v>
      </c>
      <c r="H572" s="6" t="s">
        <v>536</v>
      </c>
      <c r="I572" s="6" t="s">
        <v>213</v>
      </c>
      <c r="J572" s="6" t="s">
        <v>535</v>
      </c>
      <c r="K572" s="5"/>
      <c r="L572" s="4" t="s">
        <v>51</v>
      </c>
      <c r="M572" s="8" t="s">
        <v>129</v>
      </c>
      <c r="N572" s="9" t="s">
        <v>1795</v>
      </c>
      <c r="O572" s="5"/>
      <c r="P572" s="5"/>
      <c r="Q572" s="6" t="s">
        <v>30</v>
      </c>
      <c r="R572" s="4" t="s">
        <v>31</v>
      </c>
      <c r="S572" s="7" t="s">
        <v>32</v>
      </c>
      <c r="T572" s="5"/>
    </row>
    <row r="573" customFormat="false" ht="29.25" hidden="false" customHeight="true" outlineLevel="0" collapsed="false">
      <c r="A573" s="4" t="n">
        <v>572</v>
      </c>
      <c r="B573" s="6" t="s">
        <v>1787</v>
      </c>
      <c r="C573" s="6" t="s">
        <v>1788</v>
      </c>
      <c r="D573" s="6" t="s">
        <v>1789</v>
      </c>
      <c r="E573" s="7" t="s">
        <v>21</v>
      </c>
      <c r="F573" s="6" t="s">
        <v>2387</v>
      </c>
      <c r="G573" s="6" t="s">
        <v>536</v>
      </c>
      <c r="H573" s="6" t="s">
        <v>1953</v>
      </c>
      <c r="I573" s="6" t="s">
        <v>213</v>
      </c>
      <c r="J573" s="6" t="s">
        <v>535</v>
      </c>
      <c r="K573" s="5"/>
      <c r="L573" s="4" t="s">
        <v>62</v>
      </c>
      <c r="M573" s="8" t="s">
        <v>129</v>
      </c>
      <c r="N573" s="9" t="s">
        <v>1795</v>
      </c>
      <c r="O573" s="5"/>
      <c r="P573" s="5"/>
      <c r="Q573" s="6" t="s">
        <v>30</v>
      </c>
      <c r="R573" s="4" t="s">
        <v>31</v>
      </c>
      <c r="S573" s="7" t="s">
        <v>32</v>
      </c>
      <c r="T573" s="5"/>
    </row>
    <row r="574" customFormat="false" ht="29.25" hidden="false" customHeight="true" outlineLevel="0" collapsed="false">
      <c r="A574" s="4" t="n">
        <v>573</v>
      </c>
      <c r="B574" s="6" t="s">
        <v>1787</v>
      </c>
      <c r="C574" s="6" t="s">
        <v>1788</v>
      </c>
      <c r="D574" s="6" t="s">
        <v>1789</v>
      </c>
      <c r="E574" s="7" t="s">
        <v>21</v>
      </c>
      <c r="F574" s="6" t="s">
        <v>2388</v>
      </c>
      <c r="G574" s="6" t="s">
        <v>1953</v>
      </c>
      <c r="H574" s="6" t="s">
        <v>536</v>
      </c>
      <c r="I574" s="6" t="s">
        <v>213</v>
      </c>
      <c r="J574" s="6" t="s">
        <v>535</v>
      </c>
      <c r="K574" s="5"/>
      <c r="L574" s="4" t="s">
        <v>51</v>
      </c>
      <c r="M574" s="8" t="s">
        <v>79</v>
      </c>
      <c r="N574" s="9" t="s">
        <v>1795</v>
      </c>
      <c r="O574" s="5"/>
      <c r="P574" s="5"/>
      <c r="Q574" s="6" t="s">
        <v>30</v>
      </c>
      <c r="R574" s="4" t="s">
        <v>31</v>
      </c>
      <c r="S574" s="7" t="s">
        <v>32</v>
      </c>
      <c r="T574" s="5"/>
    </row>
    <row r="575" customFormat="false" ht="29.25" hidden="false" customHeight="true" outlineLevel="0" collapsed="false">
      <c r="A575" s="4" t="n">
        <v>574</v>
      </c>
      <c r="B575" s="6" t="s">
        <v>1787</v>
      </c>
      <c r="C575" s="6" t="s">
        <v>1788</v>
      </c>
      <c r="D575" s="6" t="s">
        <v>1789</v>
      </c>
      <c r="E575" s="7" t="s">
        <v>21</v>
      </c>
      <c r="F575" s="6" t="s">
        <v>2389</v>
      </c>
      <c r="G575" s="6" t="s">
        <v>2390</v>
      </c>
      <c r="H575" s="6" t="s">
        <v>2391</v>
      </c>
      <c r="I575" s="6" t="s">
        <v>2392</v>
      </c>
      <c r="J575" s="6" t="s">
        <v>2393</v>
      </c>
      <c r="K575" s="5"/>
      <c r="L575" s="4" t="s">
        <v>27</v>
      </c>
      <c r="M575" s="8" t="s">
        <v>28</v>
      </c>
      <c r="N575" s="9" t="s">
        <v>1828</v>
      </c>
      <c r="O575" s="5"/>
      <c r="P575" s="5"/>
      <c r="Q575" s="6" t="s">
        <v>30</v>
      </c>
      <c r="R575" s="4" t="s">
        <v>31</v>
      </c>
      <c r="S575" s="7" t="s">
        <v>32</v>
      </c>
      <c r="T575" s="5"/>
    </row>
    <row r="576" customFormat="false" ht="29.25" hidden="false" customHeight="true" outlineLevel="0" collapsed="false">
      <c r="A576" s="4" t="n">
        <v>575</v>
      </c>
      <c r="B576" s="6" t="s">
        <v>1787</v>
      </c>
      <c r="C576" s="6" t="s">
        <v>1788</v>
      </c>
      <c r="D576" s="6" t="s">
        <v>1789</v>
      </c>
      <c r="E576" s="7" t="s">
        <v>21</v>
      </c>
      <c r="F576" s="6" t="s">
        <v>2394</v>
      </c>
      <c r="G576" s="6" t="s">
        <v>2395</v>
      </c>
      <c r="H576" s="6" t="s">
        <v>2396</v>
      </c>
      <c r="I576" s="6" t="s">
        <v>2397</v>
      </c>
      <c r="J576" s="6" t="s">
        <v>2398</v>
      </c>
      <c r="K576" s="5"/>
      <c r="L576" s="4" t="s">
        <v>62</v>
      </c>
      <c r="M576" s="8" t="s">
        <v>28</v>
      </c>
      <c r="N576" s="9" t="s">
        <v>2399</v>
      </c>
      <c r="O576" s="5"/>
      <c r="P576" s="5"/>
      <c r="Q576" s="6" t="s">
        <v>30</v>
      </c>
      <c r="R576" s="4" t="s">
        <v>31</v>
      </c>
      <c r="S576" s="7" t="s">
        <v>32</v>
      </c>
      <c r="T576" s="5"/>
    </row>
    <row r="577" customFormat="false" ht="29.25" hidden="false" customHeight="true" outlineLevel="0" collapsed="false">
      <c r="A577" s="4" t="n">
        <v>576</v>
      </c>
      <c r="B577" s="6" t="s">
        <v>1787</v>
      </c>
      <c r="C577" s="6" t="s">
        <v>1788</v>
      </c>
      <c r="D577" s="6" t="s">
        <v>1789</v>
      </c>
      <c r="E577" s="7" t="s">
        <v>21</v>
      </c>
      <c r="F577" s="6" t="s">
        <v>2400</v>
      </c>
      <c r="G577" s="6" t="s">
        <v>2401</v>
      </c>
      <c r="H577" s="6" t="s">
        <v>2402</v>
      </c>
      <c r="I577" s="6" t="s">
        <v>2403</v>
      </c>
      <c r="J577" s="6" t="s">
        <v>2404</v>
      </c>
      <c r="K577" s="5"/>
      <c r="L577" s="4" t="s">
        <v>44</v>
      </c>
      <c r="M577" s="8" t="s">
        <v>79</v>
      </c>
      <c r="N577" s="9" t="s">
        <v>1828</v>
      </c>
      <c r="O577" s="5"/>
      <c r="P577" s="5"/>
      <c r="Q577" s="6" t="s">
        <v>30</v>
      </c>
      <c r="R577" s="4" t="s">
        <v>31</v>
      </c>
      <c r="S577" s="7" t="s">
        <v>32</v>
      </c>
      <c r="T577" s="5"/>
    </row>
    <row r="578" customFormat="false" ht="29.25" hidden="false" customHeight="true" outlineLevel="0" collapsed="false">
      <c r="A578" s="4" t="n">
        <v>577</v>
      </c>
      <c r="B578" s="6" t="s">
        <v>1787</v>
      </c>
      <c r="C578" s="6" t="s">
        <v>1788</v>
      </c>
      <c r="D578" s="6" t="s">
        <v>1789</v>
      </c>
      <c r="E578" s="7" t="s">
        <v>21</v>
      </c>
      <c r="F578" s="6" t="s">
        <v>2405</v>
      </c>
      <c r="G578" s="6" t="s">
        <v>2001</v>
      </c>
      <c r="H578" s="6" t="s">
        <v>2159</v>
      </c>
      <c r="I578" s="6" t="s">
        <v>211</v>
      </c>
      <c r="J578" s="6" t="s">
        <v>1258</v>
      </c>
      <c r="K578" s="5"/>
      <c r="L578" s="4" t="s">
        <v>44</v>
      </c>
      <c r="M578" s="8" t="s">
        <v>79</v>
      </c>
      <c r="N578" s="9" t="s">
        <v>1828</v>
      </c>
      <c r="O578" s="5"/>
      <c r="P578" s="5"/>
      <c r="Q578" s="6" t="s">
        <v>30</v>
      </c>
      <c r="R578" s="4" t="s">
        <v>31</v>
      </c>
      <c r="S578" s="7" t="s">
        <v>32</v>
      </c>
      <c r="T578" s="5"/>
    </row>
    <row r="579" customFormat="false" ht="29.25" hidden="false" customHeight="true" outlineLevel="0" collapsed="false">
      <c r="A579" s="4" t="n">
        <v>578</v>
      </c>
      <c r="B579" s="6" t="s">
        <v>1787</v>
      </c>
      <c r="C579" s="6" t="s">
        <v>1788</v>
      </c>
      <c r="D579" s="6" t="s">
        <v>1789</v>
      </c>
      <c r="E579" s="7" t="s">
        <v>21</v>
      </c>
      <c r="F579" s="6" t="s">
        <v>2406</v>
      </c>
      <c r="G579" s="6" t="s">
        <v>2356</v>
      </c>
      <c r="H579" s="6" t="s">
        <v>2407</v>
      </c>
      <c r="I579" s="6" t="s">
        <v>2404</v>
      </c>
      <c r="J579" s="6" t="s">
        <v>2408</v>
      </c>
      <c r="K579" s="5"/>
      <c r="L579" s="4" t="s">
        <v>51</v>
      </c>
      <c r="M579" s="8" t="s">
        <v>129</v>
      </c>
      <c r="N579" s="9" t="s">
        <v>1828</v>
      </c>
      <c r="O579" s="5"/>
      <c r="P579" s="5"/>
      <c r="Q579" s="6" t="s">
        <v>30</v>
      </c>
      <c r="R579" s="4" t="s">
        <v>31</v>
      </c>
      <c r="S579" s="7" t="s">
        <v>32</v>
      </c>
      <c r="T579" s="5"/>
    </row>
    <row r="580" customFormat="false" ht="43.5" hidden="false" customHeight="true" outlineLevel="0" collapsed="false">
      <c r="A580" s="4" t="n">
        <v>579</v>
      </c>
      <c r="B580" s="6" t="s">
        <v>1787</v>
      </c>
      <c r="C580" s="6" t="s">
        <v>1788</v>
      </c>
      <c r="D580" s="6" t="s">
        <v>1789</v>
      </c>
      <c r="E580" s="7" t="s">
        <v>21</v>
      </c>
      <c r="F580" s="6" t="s">
        <v>2409</v>
      </c>
      <c r="G580" s="6" t="s">
        <v>2410</v>
      </c>
      <c r="H580" s="6" t="s">
        <v>2411</v>
      </c>
      <c r="I580" s="6" t="s">
        <v>2412</v>
      </c>
      <c r="J580" s="6" t="s">
        <v>2413</v>
      </c>
      <c r="K580" s="5"/>
      <c r="L580" s="4" t="s">
        <v>27</v>
      </c>
      <c r="M580" s="8" t="s">
        <v>28</v>
      </c>
      <c r="N580" s="9" t="s">
        <v>1795</v>
      </c>
      <c r="O580" s="5"/>
      <c r="P580" s="5"/>
      <c r="Q580" s="6" t="s">
        <v>30</v>
      </c>
      <c r="R580" s="4" t="s">
        <v>31</v>
      </c>
      <c r="S580" s="7" t="s">
        <v>32</v>
      </c>
      <c r="T580" s="5"/>
    </row>
    <row r="581" customFormat="false" ht="29.25" hidden="false" customHeight="true" outlineLevel="0" collapsed="false">
      <c r="A581" s="4" t="n">
        <v>580</v>
      </c>
      <c r="B581" s="6" t="s">
        <v>1787</v>
      </c>
      <c r="C581" s="6" t="s">
        <v>1788</v>
      </c>
      <c r="D581" s="6" t="s">
        <v>1789</v>
      </c>
      <c r="E581" s="7" t="s">
        <v>21</v>
      </c>
      <c r="F581" s="6" t="s">
        <v>2414</v>
      </c>
      <c r="G581" s="6" t="s">
        <v>2415</v>
      </c>
      <c r="H581" s="6" t="s">
        <v>2416</v>
      </c>
      <c r="I581" s="6" t="s">
        <v>2417</v>
      </c>
      <c r="J581" s="6" t="s">
        <v>2418</v>
      </c>
      <c r="K581" s="5"/>
      <c r="L581" s="4" t="s">
        <v>44</v>
      </c>
      <c r="M581" s="8" t="s">
        <v>28</v>
      </c>
      <c r="N581" s="9" t="s">
        <v>1828</v>
      </c>
      <c r="O581" s="5"/>
      <c r="P581" s="5"/>
      <c r="Q581" s="6" t="s">
        <v>30</v>
      </c>
      <c r="R581" s="4" t="s">
        <v>31</v>
      </c>
      <c r="S581" s="7" t="s">
        <v>32</v>
      </c>
      <c r="T581" s="5"/>
    </row>
    <row r="582" customFormat="false" ht="29.25" hidden="false" customHeight="true" outlineLevel="0" collapsed="false">
      <c r="A582" s="4" t="n">
        <v>581</v>
      </c>
      <c r="B582" s="6" t="s">
        <v>1787</v>
      </c>
      <c r="C582" s="6" t="s">
        <v>1788</v>
      </c>
      <c r="D582" s="6" t="s">
        <v>1789</v>
      </c>
      <c r="E582" s="7" t="s">
        <v>21</v>
      </c>
      <c r="F582" s="6" t="s">
        <v>2419</v>
      </c>
      <c r="G582" s="6" t="s">
        <v>2420</v>
      </c>
      <c r="H582" s="6" t="s">
        <v>2421</v>
      </c>
      <c r="I582" s="6" t="s">
        <v>2422</v>
      </c>
      <c r="J582" s="6" t="s">
        <v>2423</v>
      </c>
      <c r="K582" s="5"/>
      <c r="L582" s="4" t="s">
        <v>62</v>
      </c>
      <c r="M582" s="8" t="s">
        <v>79</v>
      </c>
      <c r="N582" s="9" t="s">
        <v>1828</v>
      </c>
      <c r="O582" s="5"/>
      <c r="P582" s="5"/>
      <c r="Q582" s="6" t="s">
        <v>30</v>
      </c>
      <c r="R582" s="4" t="s">
        <v>31</v>
      </c>
      <c r="S582" s="7" t="s">
        <v>32</v>
      </c>
      <c r="T582" s="5"/>
    </row>
    <row r="583" customFormat="false" ht="29.25" hidden="false" customHeight="true" outlineLevel="0" collapsed="false">
      <c r="A583" s="4" t="n">
        <v>582</v>
      </c>
      <c r="B583" s="6" t="s">
        <v>1787</v>
      </c>
      <c r="C583" s="6" t="s">
        <v>1788</v>
      </c>
      <c r="D583" s="6" t="s">
        <v>1789</v>
      </c>
      <c r="E583" s="7" t="s">
        <v>21</v>
      </c>
      <c r="F583" s="6" t="s">
        <v>2424</v>
      </c>
      <c r="G583" s="6" t="s">
        <v>2425</v>
      </c>
      <c r="H583" s="6" t="s">
        <v>2426</v>
      </c>
      <c r="I583" s="6" t="s">
        <v>2427</v>
      </c>
      <c r="J583" s="6" t="s">
        <v>2428</v>
      </c>
      <c r="K583" s="5"/>
      <c r="L583" s="4" t="s">
        <v>27</v>
      </c>
      <c r="M583" s="8" t="s">
        <v>129</v>
      </c>
      <c r="N583" s="9" t="s">
        <v>1828</v>
      </c>
      <c r="O583" s="5"/>
      <c r="P583" s="5"/>
      <c r="Q583" s="6" t="s">
        <v>30</v>
      </c>
      <c r="R583" s="4" t="s">
        <v>31</v>
      </c>
      <c r="S583" s="7" t="s">
        <v>32</v>
      </c>
      <c r="T583" s="5"/>
    </row>
    <row r="584" customFormat="false" ht="29.25" hidden="false" customHeight="true" outlineLevel="0" collapsed="false">
      <c r="A584" s="4" t="n">
        <v>583</v>
      </c>
      <c r="B584" s="6" t="s">
        <v>1787</v>
      </c>
      <c r="C584" s="6" t="s">
        <v>1788</v>
      </c>
      <c r="D584" s="6" t="s">
        <v>1789</v>
      </c>
      <c r="E584" s="7" t="s">
        <v>21</v>
      </c>
      <c r="F584" s="6" t="s">
        <v>2429</v>
      </c>
      <c r="G584" s="6" t="s">
        <v>2303</v>
      </c>
      <c r="H584" s="6" t="s">
        <v>127</v>
      </c>
      <c r="I584" s="6" t="s">
        <v>2430</v>
      </c>
      <c r="J584" s="6" t="s">
        <v>2304</v>
      </c>
      <c r="K584" s="5"/>
      <c r="L584" s="4" t="s">
        <v>27</v>
      </c>
      <c r="M584" s="8" t="s">
        <v>129</v>
      </c>
      <c r="N584" s="9" t="s">
        <v>1828</v>
      </c>
      <c r="O584" s="5"/>
      <c r="P584" s="5"/>
      <c r="Q584" s="6" t="s">
        <v>30</v>
      </c>
      <c r="R584" s="4" t="s">
        <v>31</v>
      </c>
      <c r="S584" s="7" t="s">
        <v>32</v>
      </c>
      <c r="T584" s="5"/>
    </row>
    <row r="585" customFormat="false" ht="29.25" hidden="false" customHeight="true" outlineLevel="0" collapsed="false">
      <c r="A585" s="4" t="n">
        <v>584</v>
      </c>
      <c r="B585" s="6" t="s">
        <v>1787</v>
      </c>
      <c r="C585" s="6" t="s">
        <v>1788</v>
      </c>
      <c r="D585" s="6" t="s">
        <v>1789</v>
      </c>
      <c r="E585" s="7" t="s">
        <v>21</v>
      </c>
      <c r="F585" s="6" t="s">
        <v>2431</v>
      </c>
      <c r="G585" s="6" t="s">
        <v>2432</v>
      </c>
      <c r="H585" s="6" t="s">
        <v>2338</v>
      </c>
      <c r="I585" s="6" t="s">
        <v>2433</v>
      </c>
      <c r="J585" s="6" t="s">
        <v>2434</v>
      </c>
      <c r="K585" s="5"/>
      <c r="L585" s="4" t="s">
        <v>62</v>
      </c>
      <c r="M585" s="8" t="s">
        <v>129</v>
      </c>
      <c r="N585" s="9" t="s">
        <v>1828</v>
      </c>
      <c r="O585" s="5"/>
      <c r="P585" s="5"/>
      <c r="Q585" s="6" t="s">
        <v>30</v>
      </c>
      <c r="R585" s="4" t="s">
        <v>31</v>
      </c>
      <c r="S585" s="7" t="s">
        <v>32</v>
      </c>
      <c r="T585" s="5"/>
    </row>
    <row r="586" customFormat="false" ht="29.25" hidden="false" customHeight="true" outlineLevel="0" collapsed="false">
      <c r="A586" s="4" t="n">
        <v>585</v>
      </c>
      <c r="B586" s="6" t="s">
        <v>1787</v>
      </c>
      <c r="C586" s="6" t="s">
        <v>1788</v>
      </c>
      <c r="D586" s="6" t="s">
        <v>1789</v>
      </c>
      <c r="E586" s="7" t="s">
        <v>21</v>
      </c>
      <c r="F586" s="6" t="s">
        <v>2435</v>
      </c>
      <c r="G586" s="6" t="s">
        <v>2183</v>
      </c>
      <c r="H586" s="6" t="s">
        <v>2182</v>
      </c>
      <c r="I586" s="6" t="s">
        <v>1411</v>
      </c>
      <c r="J586" s="6" t="s">
        <v>2181</v>
      </c>
      <c r="K586" s="5"/>
      <c r="L586" s="4" t="s">
        <v>44</v>
      </c>
      <c r="M586" s="8" t="s">
        <v>79</v>
      </c>
      <c r="N586" s="9" t="s">
        <v>1828</v>
      </c>
      <c r="O586" s="5"/>
      <c r="P586" s="5"/>
      <c r="Q586" s="6" t="s">
        <v>30</v>
      </c>
      <c r="R586" s="4" t="s">
        <v>31</v>
      </c>
      <c r="S586" s="7" t="s">
        <v>32</v>
      </c>
      <c r="T586" s="5"/>
    </row>
    <row r="587" customFormat="false" ht="29.25" hidden="false" customHeight="true" outlineLevel="0" collapsed="false">
      <c r="A587" s="4" t="n">
        <v>586</v>
      </c>
      <c r="B587" s="6" t="s">
        <v>1787</v>
      </c>
      <c r="C587" s="6" t="s">
        <v>1788</v>
      </c>
      <c r="D587" s="6" t="s">
        <v>1789</v>
      </c>
      <c r="E587" s="7" t="s">
        <v>21</v>
      </c>
      <c r="F587" s="6" t="s">
        <v>2436</v>
      </c>
      <c r="G587" s="6" t="s">
        <v>2358</v>
      </c>
      <c r="H587" s="6" t="s">
        <v>2182</v>
      </c>
      <c r="I587" s="6" t="s">
        <v>1955</v>
      </c>
      <c r="J587" s="6" t="s">
        <v>1404</v>
      </c>
      <c r="K587" s="5"/>
      <c r="L587" s="4" t="s">
        <v>44</v>
      </c>
      <c r="M587" s="8" t="s">
        <v>129</v>
      </c>
      <c r="N587" s="9" t="s">
        <v>1828</v>
      </c>
      <c r="O587" s="5"/>
      <c r="P587" s="5"/>
      <c r="Q587" s="6" t="s">
        <v>30</v>
      </c>
      <c r="R587" s="4" t="s">
        <v>31</v>
      </c>
      <c r="S587" s="7" t="s">
        <v>32</v>
      </c>
      <c r="T587" s="5"/>
    </row>
    <row r="588" customFormat="false" ht="29.25" hidden="false" customHeight="true" outlineLevel="0" collapsed="false">
      <c r="A588" s="4" t="n">
        <v>587</v>
      </c>
      <c r="B588" s="6" t="s">
        <v>1787</v>
      </c>
      <c r="C588" s="6" t="s">
        <v>1788</v>
      </c>
      <c r="D588" s="6" t="s">
        <v>1789</v>
      </c>
      <c r="E588" s="7" t="s">
        <v>21</v>
      </c>
      <c r="F588" s="6" t="s">
        <v>2437</v>
      </c>
      <c r="G588" s="6" t="s">
        <v>2438</v>
      </c>
      <c r="H588" s="6" t="s">
        <v>2439</v>
      </c>
      <c r="I588" s="6" t="s">
        <v>2440</v>
      </c>
      <c r="J588" s="6" t="s">
        <v>2441</v>
      </c>
      <c r="K588" s="5"/>
      <c r="L588" s="4" t="s">
        <v>51</v>
      </c>
      <c r="M588" s="8" t="s">
        <v>129</v>
      </c>
      <c r="N588" s="9" t="s">
        <v>1828</v>
      </c>
      <c r="O588" s="5"/>
      <c r="P588" s="5"/>
      <c r="Q588" s="6" t="s">
        <v>30</v>
      </c>
      <c r="R588" s="4" t="s">
        <v>31</v>
      </c>
      <c r="S588" s="7" t="s">
        <v>32</v>
      </c>
      <c r="T588" s="5"/>
    </row>
    <row r="589" customFormat="false" ht="29.25" hidden="false" customHeight="true" outlineLevel="0" collapsed="false">
      <c r="A589" s="4" t="n">
        <v>588</v>
      </c>
      <c r="B589" s="6" t="s">
        <v>1787</v>
      </c>
      <c r="C589" s="6" t="s">
        <v>1788</v>
      </c>
      <c r="D589" s="6" t="s">
        <v>1789</v>
      </c>
      <c r="E589" s="7" t="s">
        <v>21</v>
      </c>
      <c r="F589" s="6" t="s">
        <v>2442</v>
      </c>
      <c r="G589" s="6" t="s">
        <v>2443</v>
      </c>
      <c r="H589" s="6" t="s">
        <v>2444</v>
      </c>
      <c r="I589" s="6" t="s">
        <v>2445</v>
      </c>
      <c r="J589" s="6" t="s">
        <v>2446</v>
      </c>
      <c r="K589" s="5"/>
      <c r="L589" s="4" t="s">
        <v>62</v>
      </c>
      <c r="M589" s="8" t="s">
        <v>28</v>
      </c>
      <c r="N589" s="9" t="s">
        <v>1828</v>
      </c>
      <c r="O589" s="5"/>
      <c r="P589" s="5"/>
      <c r="Q589" s="6" t="s">
        <v>30</v>
      </c>
      <c r="R589" s="4" t="s">
        <v>31</v>
      </c>
      <c r="S589" s="7" t="s">
        <v>32</v>
      </c>
      <c r="T589" s="5"/>
    </row>
    <row r="590" customFormat="false" ht="29.25" hidden="false" customHeight="true" outlineLevel="0" collapsed="false">
      <c r="A590" s="4" t="n">
        <v>589</v>
      </c>
      <c r="B590" s="6" t="s">
        <v>1787</v>
      </c>
      <c r="C590" s="6" t="s">
        <v>1788</v>
      </c>
      <c r="D590" s="6" t="s">
        <v>1789</v>
      </c>
      <c r="E590" s="7" t="s">
        <v>21</v>
      </c>
      <c r="F590" s="6" t="s">
        <v>2447</v>
      </c>
      <c r="G590" s="6" t="s">
        <v>2196</v>
      </c>
      <c r="H590" s="6" t="s">
        <v>2197</v>
      </c>
      <c r="I590" s="6" t="s">
        <v>2198</v>
      </c>
      <c r="J590" s="6" t="s">
        <v>2199</v>
      </c>
      <c r="K590" s="5"/>
      <c r="L590" s="4" t="s">
        <v>27</v>
      </c>
      <c r="M590" s="8" t="s">
        <v>79</v>
      </c>
      <c r="N590" s="9" t="s">
        <v>1828</v>
      </c>
      <c r="O590" s="5"/>
      <c r="P590" s="5"/>
      <c r="Q590" s="6" t="s">
        <v>30</v>
      </c>
      <c r="R590" s="4" t="s">
        <v>31</v>
      </c>
      <c r="S590" s="7" t="s">
        <v>32</v>
      </c>
      <c r="T590" s="5"/>
    </row>
    <row r="591" customFormat="false" ht="29.25" hidden="false" customHeight="true" outlineLevel="0" collapsed="false">
      <c r="A591" s="4" t="n">
        <v>590</v>
      </c>
      <c r="B591" s="6" t="s">
        <v>1787</v>
      </c>
      <c r="C591" s="6" t="s">
        <v>1788</v>
      </c>
      <c r="D591" s="6" t="s">
        <v>1789</v>
      </c>
      <c r="E591" s="7" t="s">
        <v>21</v>
      </c>
      <c r="F591" s="6" t="s">
        <v>2448</v>
      </c>
      <c r="G591" s="6" t="s">
        <v>2191</v>
      </c>
      <c r="H591" s="6" t="s">
        <v>2192</v>
      </c>
      <c r="I591" s="6" t="s">
        <v>2193</v>
      </c>
      <c r="J591" s="6" t="s">
        <v>2194</v>
      </c>
      <c r="K591" s="5"/>
      <c r="L591" s="4" t="s">
        <v>44</v>
      </c>
      <c r="M591" s="8" t="s">
        <v>129</v>
      </c>
      <c r="N591" s="9" t="s">
        <v>1795</v>
      </c>
      <c r="O591" s="5"/>
      <c r="P591" s="5"/>
      <c r="Q591" s="6" t="s">
        <v>30</v>
      </c>
      <c r="R591" s="4" t="s">
        <v>31</v>
      </c>
      <c r="S591" s="7" t="s">
        <v>32</v>
      </c>
      <c r="T591" s="5"/>
    </row>
    <row r="592" customFormat="false" ht="29.25" hidden="false" customHeight="true" outlineLevel="0" collapsed="false">
      <c r="A592" s="4" t="n">
        <v>591</v>
      </c>
      <c r="B592" s="6" t="s">
        <v>1787</v>
      </c>
      <c r="C592" s="6" t="s">
        <v>1788</v>
      </c>
      <c r="D592" s="6" t="s">
        <v>1789</v>
      </c>
      <c r="E592" s="7" t="s">
        <v>21</v>
      </c>
      <c r="F592" s="6" t="s">
        <v>2449</v>
      </c>
      <c r="G592" s="6" t="s">
        <v>2357</v>
      </c>
      <c r="H592" s="6" t="s">
        <v>1921</v>
      </c>
      <c r="I592" s="6" t="s">
        <v>1411</v>
      </c>
      <c r="J592" s="6" t="s">
        <v>1955</v>
      </c>
      <c r="K592" s="5"/>
      <c r="L592" s="4" t="s">
        <v>62</v>
      </c>
      <c r="M592" s="8" t="s">
        <v>79</v>
      </c>
      <c r="N592" s="9" t="s">
        <v>1828</v>
      </c>
      <c r="O592" s="5"/>
      <c r="P592" s="5"/>
      <c r="Q592" s="6" t="s">
        <v>30</v>
      </c>
      <c r="R592" s="4" t="s">
        <v>31</v>
      </c>
      <c r="S592" s="7" t="s">
        <v>32</v>
      </c>
      <c r="T592" s="5"/>
    </row>
    <row r="593" customFormat="false" ht="15" hidden="false" customHeight="true" outlineLevel="0" collapsed="false">
      <c r="A593" s="4" t="n">
        <v>592</v>
      </c>
      <c r="B593" s="6" t="s">
        <v>1787</v>
      </c>
      <c r="C593" s="6" t="s">
        <v>2450</v>
      </c>
      <c r="D593" s="6" t="s">
        <v>2451</v>
      </c>
      <c r="E593" s="7" t="s">
        <v>21</v>
      </c>
      <c r="F593" s="6" t="s">
        <v>2452</v>
      </c>
      <c r="G593" s="6" t="s">
        <v>2453</v>
      </c>
      <c r="H593" s="6" t="s">
        <v>2454</v>
      </c>
      <c r="I593" s="6" t="s">
        <v>2455</v>
      </c>
      <c r="J593" s="6" t="s">
        <v>2456</v>
      </c>
      <c r="K593" s="5"/>
      <c r="L593" s="4" t="s">
        <v>51</v>
      </c>
      <c r="M593" s="8" t="s">
        <v>129</v>
      </c>
      <c r="N593" s="9" t="s">
        <v>2457</v>
      </c>
      <c r="O593" s="5"/>
      <c r="P593" s="5"/>
      <c r="Q593" s="6" t="s">
        <v>30</v>
      </c>
      <c r="R593" s="4" t="s">
        <v>31</v>
      </c>
      <c r="S593" s="7" t="s">
        <v>32</v>
      </c>
      <c r="T593" s="5"/>
    </row>
    <row r="594" customFormat="false" ht="15" hidden="false" customHeight="true" outlineLevel="0" collapsed="false">
      <c r="A594" s="4" t="n">
        <v>593</v>
      </c>
      <c r="B594" s="6" t="s">
        <v>1787</v>
      </c>
      <c r="C594" s="6" t="s">
        <v>2450</v>
      </c>
      <c r="D594" s="6" t="s">
        <v>2451</v>
      </c>
      <c r="E594" s="7" t="s">
        <v>21</v>
      </c>
      <c r="F594" s="6" t="s">
        <v>2458</v>
      </c>
      <c r="G594" s="6" t="s">
        <v>2459</v>
      </c>
      <c r="H594" s="6" t="s">
        <v>2460</v>
      </c>
      <c r="I594" s="6" t="s">
        <v>2461</v>
      </c>
      <c r="J594" s="6" t="s">
        <v>78</v>
      </c>
      <c r="K594" s="5"/>
      <c r="L594" s="4" t="s">
        <v>44</v>
      </c>
      <c r="M594" s="8" t="s">
        <v>79</v>
      </c>
      <c r="N594" s="9" t="s">
        <v>2457</v>
      </c>
      <c r="O594" s="5"/>
      <c r="P594" s="5"/>
      <c r="Q594" s="6" t="s">
        <v>30</v>
      </c>
      <c r="R594" s="4" t="s">
        <v>31</v>
      </c>
      <c r="S594" s="7" t="s">
        <v>32</v>
      </c>
      <c r="T594" s="5"/>
    </row>
    <row r="595" customFormat="false" ht="29.25" hidden="false" customHeight="true" outlineLevel="0" collapsed="false">
      <c r="A595" s="4" t="n">
        <v>594</v>
      </c>
      <c r="B595" s="6" t="s">
        <v>1787</v>
      </c>
      <c r="C595" s="6" t="s">
        <v>2450</v>
      </c>
      <c r="D595" s="6" t="s">
        <v>2451</v>
      </c>
      <c r="E595" s="7" t="s">
        <v>21</v>
      </c>
      <c r="F595" s="6" t="s">
        <v>2462</v>
      </c>
      <c r="G595" s="6" t="s">
        <v>2463</v>
      </c>
      <c r="H595" s="6" t="s">
        <v>2464</v>
      </c>
      <c r="I595" s="6" t="s">
        <v>2465</v>
      </c>
      <c r="J595" s="6" t="s">
        <v>150</v>
      </c>
      <c r="K595" s="5"/>
      <c r="L595" s="4" t="s">
        <v>44</v>
      </c>
      <c r="M595" s="8" t="s">
        <v>28</v>
      </c>
      <c r="N595" s="9" t="s">
        <v>2457</v>
      </c>
      <c r="O595" s="5"/>
      <c r="P595" s="5"/>
      <c r="Q595" s="6" t="s">
        <v>30</v>
      </c>
      <c r="R595" s="4" t="s">
        <v>31</v>
      </c>
      <c r="S595" s="7" t="s">
        <v>32</v>
      </c>
      <c r="T595" s="5"/>
    </row>
    <row r="596" customFormat="false" ht="29.25" hidden="false" customHeight="true" outlineLevel="0" collapsed="false">
      <c r="A596" s="4" t="n">
        <v>595</v>
      </c>
      <c r="B596" s="6" t="s">
        <v>1787</v>
      </c>
      <c r="C596" s="6" t="s">
        <v>2450</v>
      </c>
      <c r="D596" s="6" t="s">
        <v>2451</v>
      </c>
      <c r="E596" s="7" t="s">
        <v>21</v>
      </c>
      <c r="F596" s="6" t="s">
        <v>2466</v>
      </c>
      <c r="G596" s="6" t="s">
        <v>2467</v>
      </c>
      <c r="H596" s="6" t="s">
        <v>79</v>
      </c>
      <c r="I596" s="6" t="s">
        <v>2468</v>
      </c>
      <c r="J596" s="6" t="s">
        <v>2469</v>
      </c>
      <c r="K596" s="5"/>
      <c r="L596" s="4" t="s">
        <v>27</v>
      </c>
      <c r="M596" s="8" t="s">
        <v>129</v>
      </c>
      <c r="N596" s="9" t="s">
        <v>2457</v>
      </c>
      <c r="O596" s="5"/>
      <c r="P596" s="5"/>
      <c r="Q596" s="6" t="s">
        <v>30</v>
      </c>
      <c r="R596" s="4" t="s">
        <v>31</v>
      </c>
      <c r="S596" s="7" t="s">
        <v>32</v>
      </c>
      <c r="T596" s="5"/>
    </row>
    <row r="597" customFormat="false" ht="15" hidden="false" customHeight="true" outlineLevel="0" collapsed="false">
      <c r="A597" s="4" t="n">
        <v>596</v>
      </c>
      <c r="B597" s="6" t="s">
        <v>1787</v>
      </c>
      <c r="C597" s="6" t="s">
        <v>2450</v>
      </c>
      <c r="D597" s="6" t="s">
        <v>2451</v>
      </c>
      <c r="E597" s="7" t="s">
        <v>21</v>
      </c>
      <c r="F597" s="6" t="s">
        <v>2470</v>
      </c>
      <c r="G597" s="5" t="s">
        <v>2471</v>
      </c>
      <c r="H597" s="5" t="s">
        <v>2472</v>
      </c>
      <c r="I597" s="5" t="s">
        <v>2473</v>
      </c>
      <c r="J597" s="5" t="s">
        <v>2474</v>
      </c>
      <c r="K597" s="5"/>
      <c r="L597" s="4" t="s">
        <v>27</v>
      </c>
      <c r="M597" s="8" t="s">
        <v>129</v>
      </c>
      <c r="N597" s="9" t="s">
        <v>2457</v>
      </c>
      <c r="O597" s="5"/>
      <c r="P597" s="5"/>
      <c r="Q597" s="6" t="s">
        <v>30</v>
      </c>
      <c r="R597" s="4" t="s">
        <v>31</v>
      </c>
      <c r="S597" s="7" t="s">
        <v>32</v>
      </c>
      <c r="T597" s="5"/>
    </row>
    <row r="598" customFormat="false" ht="15" hidden="false" customHeight="true" outlineLevel="0" collapsed="false">
      <c r="A598" s="4" t="n">
        <v>597</v>
      </c>
      <c r="B598" s="6" t="s">
        <v>1787</v>
      </c>
      <c r="C598" s="6" t="s">
        <v>2450</v>
      </c>
      <c r="D598" s="6" t="s">
        <v>2451</v>
      </c>
      <c r="E598" s="7" t="s">
        <v>21</v>
      </c>
      <c r="F598" s="6" t="s">
        <v>2475</v>
      </c>
      <c r="G598" s="6" t="s">
        <v>2476</v>
      </c>
      <c r="H598" s="6" t="s">
        <v>2477</v>
      </c>
      <c r="I598" s="6" t="s">
        <v>2478</v>
      </c>
      <c r="J598" s="6" t="s">
        <v>2479</v>
      </c>
      <c r="K598" s="5"/>
      <c r="L598" s="4" t="s">
        <v>51</v>
      </c>
      <c r="M598" s="8" t="s">
        <v>129</v>
      </c>
      <c r="N598" s="9" t="s">
        <v>2457</v>
      </c>
      <c r="O598" s="5"/>
      <c r="P598" s="5"/>
      <c r="Q598" s="6" t="s">
        <v>30</v>
      </c>
      <c r="R598" s="4" t="s">
        <v>31</v>
      </c>
      <c r="S598" s="7" t="s">
        <v>32</v>
      </c>
      <c r="T598" s="5"/>
    </row>
    <row r="599" customFormat="false" ht="15" hidden="false" customHeight="true" outlineLevel="0" collapsed="false">
      <c r="A599" s="4" t="n">
        <v>598</v>
      </c>
      <c r="B599" s="6" t="s">
        <v>1787</v>
      </c>
      <c r="C599" s="6" t="s">
        <v>2450</v>
      </c>
      <c r="D599" s="6" t="s">
        <v>2451</v>
      </c>
      <c r="E599" s="7" t="s">
        <v>21</v>
      </c>
      <c r="F599" s="6" t="s">
        <v>2480</v>
      </c>
      <c r="G599" s="6" t="s">
        <v>2476</v>
      </c>
      <c r="H599" s="6" t="s">
        <v>2478</v>
      </c>
      <c r="I599" s="6" t="s">
        <v>2479</v>
      </c>
      <c r="J599" s="6" t="s">
        <v>2481</v>
      </c>
      <c r="K599" s="5"/>
      <c r="L599" s="4" t="s">
        <v>44</v>
      </c>
      <c r="M599" s="8" t="s">
        <v>79</v>
      </c>
      <c r="N599" s="9" t="s">
        <v>2457</v>
      </c>
      <c r="O599" s="5"/>
      <c r="P599" s="5"/>
      <c r="Q599" s="6" t="s">
        <v>30</v>
      </c>
      <c r="R599" s="4" t="s">
        <v>31</v>
      </c>
      <c r="S599" s="7" t="s">
        <v>32</v>
      </c>
      <c r="T599" s="5"/>
    </row>
    <row r="600" customFormat="false" ht="15" hidden="false" customHeight="true" outlineLevel="0" collapsed="false">
      <c r="A600" s="4" t="n">
        <v>599</v>
      </c>
      <c r="B600" s="6" t="s">
        <v>1787</v>
      </c>
      <c r="C600" s="6" t="s">
        <v>2450</v>
      </c>
      <c r="D600" s="6" t="s">
        <v>2451</v>
      </c>
      <c r="E600" s="7" t="s">
        <v>21</v>
      </c>
      <c r="F600" s="6" t="s">
        <v>2482</v>
      </c>
      <c r="G600" s="6" t="s">
        <v>2477</v>
      </c>
      <c r="H600" s="6" t="s">
        <v>2478</v>
      </c>
      <c r="I600" s="6" t="s">
        <v>2479</v>
      </c>
      <c r="J600" s="6" t="s">
        <v>2481</v>
      </c>
      <c r="K600" s="5"/>
      <c r="L600" s="4" t="s">
        <v>44</v>
      </c>
      <c r="M600" s="8" t="s">
        <v>129</v>
      </c>
      <c r="N600" s="9" t="s">
        <v>2483</v>
      </c>
      <c r="O600" s="5"/>
      <c r="P600" s="5"/>
      <c r="Q600" s="6" t="s">
        <v>30</v>
      </c>
      <c r="R600" s="4" t="s">
        <v>31</v>
      </c>
      <c r="S600" s="7" t="s">
        <v>32</v>
      </c>
      <c r="T600" s="5"/>
    </row>
    <row r="601" customFormat="false" ht="15" hidden="false" customHeight="true" outlineLevel="0" collapsed="false">
      <c r="A601" s="4" t="n">
        <v>600</v>
      </c>
      <c r="B601" s="6" t="s">
        <v>1787</v>
      </c>
      <c r="C601" s="6" t="s">
        <v>2450</v>
      </c>
      <c r="D601" s="6" t="s">
        <v>2451</v>
      </c>
      <c r="E601" s="7" t="s">
        <v>21</v>
      </c>
      <c r="F601" s="6" t="s">
        <v>2484</v>
      </c>
      <c r="G601" s="6" t="s">
        <v>2485</v>
      </c>
      <c r="H601" s="6" t="s">
        <v>2486</v>
      </c>
      <c r="I601" s="6" t="s">
        <v>2487</v>
      </c>
      <c r="J601" s="6" t="s">
        <v>2488</v>
      </c>
      <c r="K601" s="5"/>
      <c r="L601" s="4" t="s">
        <v>44</v>
      </c>
      <c r="M601" s="8" t="s">
        <v>79</v>
      </c>
      <c r="N601" s="9" t="s">
        <v>2457</v>
      </c>
      <c r="O601" s="5"/>
      <c r="P601" s="5"/>
      <c r="Q601" s="6" t="s">
        <v>30</v>
      </c>
      <c r="R601" s="4" t="s">
        <v>31</v>
      </c>
      <c r="S601" s="7" t="s">
        <v>32</v>
      </c>
      <c r="T601" s="5"/>
    </row>
    <row r="602" customFormat="false" ht="15" hidden="false" customHeight="true" outlineLevel="0" collapsed="false">
      <c r="A602" s="4" t="n">
        <v>601</v>
      </c>
      <c r="B602" s="6" t="s">
        <v>1787</v>
      </c>
      <c r="C602" s="6" t="s">
        <v>2450</v>
      </c>
      <c r="D602" s="6" t="s">
        <v>2451</v>
      </c>
      <c r="E602" s="7" t="s">
        <v>21</v>
      </c>
      <c r="F602" s="6" t="s">
        <v>2489</v>
      </c>
      <c r="G602" s="6" t="s">
        <v>2490</v>
      </c>
      <c r="H602" s="6" t="s">
        <v>2491</v>
      </c>
      <c r="I602" s="6" t="s">
        <v>2492</v>
      </c>
      <c r="J602" s="6" t="s">
        <v>150</v>
      </c>
      <c r="K602" s="5"/>
      <c r="L602" s="4" t="s">
        <v>62</v>
      </c>
      <c r="M602" s="8" t="s">
        <v>129</v>
      </c>
      <c r="N602" s="9" t="s">
        <v>2457</v>
      </c>
      <c r="O602" s="5"/>
      <c r="P602" s="5"/>
      <c r="Q602" s="6" t="s">
        <v>30</v>
      </c>
      <c r="R602" s="4" t="s">
        <v>31</v>
      </c>
      <c r="S602" s="7" t="s">
        <v>32</v>
      </c>
      <c r="T602" s="5"/>
    </row>
    <row r="603" customFormat="false" ht="15" hidden="false" customHeight="true" outlineLevel="0" collapsed="false">
      <c r="A603" s="4" t="n">
        <v>602</v>
      </c>
      <c r="B603" s="6" t="s">
        <v>1787</v>
      </c>
      <c r="C603" s="6" t="s">
        <v>2450</v>
      </c>
      <c r="D603" s="6" t="s">
        <v>2451</v>
      </c>
      <c r="E603" s="7" t="s">
        <v>21</v>
      </c>
      <c r="F603" s="6" t="s">
        <v>2493</v>
      </c>
      <c r="G603" s="6" t="s">
        <v>2494</v>
      </c>
      <c r="H603" s="6" t="s">
        <v>2495</v>
      </c>
      <c r="I603" s="6" t="s">
        <v>2496</v>
      </c>
      <c r="J603" s="6" t="s">
        <v>78</v>
      </c>
      <c r="K603" s="5"/>
      <c r="L603" s="4" t="s">
        <v>51</v>
      </c>
      <c r="M603" s="8" t="s">
        <v>129</v>
      </c>
      <c r="N603" s="9" t="s">
        <v>2457</v>
      </c>
      <c r="O603" s="5"/>
      <c r="P603" s="5"/>
      <c r="Q603" s="6" t="s">
        <v>30</v>
      </c>
      <c r="R603" s="4" t="s">
        <v>31</v>
      </c>
      <c r="S603" s="7" t="s">
        <v>32</v>
      </c>
      <c r="T603" s="5"/>
    </row>
    <row r="604" customFormat="false" ht="15" hidden="false" customHeight="true" outlineLevel="0" collapsed="false">
      <c r="A604" s="4" t="n">
        <v>603</v>
      </c>
      <c r="B604" s="6" t="s">
        <v>1787</v>
      </c>
      <c r="C604" s="6" t="s">
        <v>2450</v>
      </c>
      <c r="D604" s="6" t="s">
        <v>2451</v>
      </c>
      <c r="E604" s="7" t="s">
        <v>21</v>
      </c>
      <c r="F604" s="6" t="s">
        <v>2497</v>
      </c>
      <c r="G604" s="6" t="s">
        <v>2494</v>
      </c>
      <c r="H604" s="6" t="s">
        <v>2498</v>
      </c>
      <c r="I604" s="6" t="s">
        <v>2499</v>
      </c>
      <c r="J604" s="6" t="s">
        <v>150</v>
      </c>
      <c r="K604" s="5"/>
      <c r="L604" s="4" t="s">
        <v>62</v>
      </c>
      <c r="M604" s="8" t="s">
        <v>79</v>
      </c>
      <c r="N604" s="9" t="s">
        <v>2457</v>
      </c>
      <c r="O604" s="5"/>
      <c r="P604" s="5"/>
      <c r="Q604" s="6" t="s">
        <v>30</v>
      </c>
      <c r="R604" s="4" t="s">
        <v>31</v>
      </c>
      <c r="S604" s="7" t="s">
        <v>32</v>
      </c>
      <c r="T604" s="5"/>
    </row>
    <row r="605" customFormat="false" ht="15" hidden="false" customHeight="true" outlineLevel="0" collapsed="false">
      <c r="A605" s="4" t="n">
        <v>604</v>
      </c>
      <c r="B605" s="6" t="s">
        <v>1787</v>
      </c>
      <c r="C605" s="6" t="s">
        <v>2450</v>
      </c>
      <c r="D605" s="6" t="s">
        <v>2451</v>
      </c>
      <c r="E605" s="7" t="s">
        <v>21</v>
      </c>
      <c r="F605" s="6" t="s">
        <v>2500</v>
      </c>
      <c r="G605" s="6" t="s">
        <v>2498</v>
      </c>
      <c r="H605" s="6" t="s">
        <v>2501</v>
      </c>
      <c r="I605" s="6" t="s">
        <v>2494</v>
      </c>
      <c r="J605" s="6" t="s">
        <v>2502</v>
      </c>
      <c r="K605" s="5"/>
      <c r="L605" s="4" t="s">
        <v>27</v>
      </c>
      <c r="M605" s="8" t="s">
        <v>79</v>
      </c>
      <c r="N605" s="9" t="s">
        <v>2483</v>
      </c>
      <c r="O605" s="5"/>
      <c r="P605" s="5"/>
      <c r="Q605" s="6" t="s">
        <v>30</v>
      </c>
      <c r="R605" s="4" t="s">
        <v>31</v>
      </c>
      <c r="S605" s="7" t="s">
        <v>32</v>
      </c>
      <c r="T605" s="5"/>
    </row>
    <row r="606" customFormat="false" ht="15" hidden="false" customHeight="true" outlineLevel="0" collapsed="false">
      <c r="A606" s="4" t="n">
        <v>605</v>
      </c>
      <c r="B606" s="6" t="s">
        <v>1787</v>
      </c>
      <c r="C606" s="6" t="s">
        <v>2450</v>
      </c>
      <c r="D606" s="6" t="s">
        <v>2451</v>
      </c>
      <c r="E606" s="7" t="s">
        <v>21</v>
      </c>
      <c r="F606" s="6" t="s">
        <v>2503</v>
      </c>
      <c r="G606" s="6" t="s">
        <v>2504</v>
      </c>
      <c r="H606" s="6" t="s">
        <v>2505</v>
      </c>
      <c r="I606" s="6" t="s">
        <v>2506</v>
      </c>
      <c r="J606" s="6" t="s">
        <v>150</v>
      </c>
      <c r="K606" s="5"/>
      <c r="L606" s="4" t="s">
        <v>44</v>
      </c>
      <c r="M606" s="8" t="s">
        <v>79</v>
      </c>
      <c r="N606" s="9" t="s">
        <v>2483</v>
      </c>
      <c r="O606" s="5"/>
      <c r="P606" s="5"/>
      <c r="Q606" s="6" t="s">
        <v>30</v>
      </c>
      <c r="R606" s="4" t="s">
        <v>31</v>
      </c>
      <c r="S606" s="7" t="s">
        <v>32</v>
      </c>
      <c r="T606" s="5"/>
    </row>
    <row r="607" customFormat="false" ht="29.25" hidden="false" customHeight="true" outlineLevel="0" collapsed="false">
      <c r="A607" s="4" t="n">
        <v>606</v>
      </c>
      <c r="B607" s="6" t="s">
        <v>1787</v>
      </c>
      <c r="C607" s="6" t="s">
        <v>2450</v>
      </c>
      <c r="D607" s="6" t="s">
        <v>2451</v>
      </c>
      <c r="E607" s="7" t="s">
        <v>21</v>
      </c>
      <c r="F607" s="6" t="s">
        <v>2507</v>
      </c>
      <c r="G607" s="6" t="s">
        <v>2494</v>
      </c>
      <c r="H607" s="6" t="s">
        <v>2495</v>
      </c>
      <c r="I607" s="6" t="s">
        <v>2496</v>
      </c>
      <c r="J607" s="6" t="s">
        <v>2502</v>
      </c>
      <c r="K607" s="5"/>
      <c r="L607" s="4" t="s">
        <v>51</v>
      </c>
      <c r="M607" s="8" t="s">
        <v>79</v>
      </c>
      <c r="N607" s="9" t="s">
        <v>2483</v>
      </c>
      <c r="O607" s="5"/>
      <c r="P607" s="5"/>
      <c r="Q607" s="6" t="s">
        <v>30</v>
      </c>
      <c r="R607" s="4" t="s">
        <v>31</v>
      </c>
      <c r="S607" s="7" t="s">
        <v>32</v>
      </c>
      <c r="T607" s="5"/>
    </row>
    <row r="608" customFormat="false" ht="29.25" hidden="false" customHeight="true" outlineLevel="0" collapsed="false">
      <c r="A608" s="4" t="n">
        <v>607</v>
      </c>
      <c r="B608" s="6" t="s">
        <v>1787</v>
      </c>
      <c r="C608" s="6" t="s">
        <v>2450</v>
      </c>
      <c r="D608" s="6" t="s">
        <v>2451</v>
      </c>
      <c r="E608" s="7" t="s">
        <v>21</v>
      </c>
      <c r="F608" s="6" t="s">
        <v>2508</v>
      </c>
      <c r="G608" s="6" t="s">
        <v>2509</v>
      </c>
      <c r="H608" s="6" t="s">
        <v>2510</v>
      </c>
      <c r="I608" s="6" t="s">
        <v>2511</v>
      </c>
      <c r="J608" s="6" t="s">
        <v>150</v>
      </c>
      <c r="K608" s="5"/>
      <c r="L608" s="4" t="s">
        <v>27</v>
      </c>
      <c r="M608" s="8" t="s">
        <v>79</v>
      </c>
      <c r="N608" s="9" t="s">
        <v>2483</v>
      </c>
      <c r="O608" s="5"/>
      <c r="P608" s="5"/>
      <c r="Q608" s="6" t="s">
        <v>30</v>
      </c>
      <c r="R608" s="4" t="s">
        <v>31</v>
      </c>
      <c r="S608" s="7" t="s">
        <v>32</v>
      </c>
      <c r="T608" s="5"/>
    </row>
    <row r="609" customFormat="false" ht="15" hidden="false" customHeight="true" outlineLevel="0" collapsed="false">
      <c r="A609" s="4" t="n">
        <v>608</v>
      </c>
      <c r="B609" s="6" t="s">
        <v>1787</v>
      </c>
      <c r="C609" s="6" t="s">
        <v>2450</v>
      </c>
      <c r="D609" s="6" t="s">
        <v>2451</v>
      </c>
      <c r="E609" s="7" t="s">
        <v>21</v>
      </c>
      <c r="F609" s="6" t="s">
        <v>2512</v>
      </c>
      <c r="G609" s="6" t="s">
        <v>2513</v>
      </c>
      <c r="H609" s="6" t="s">
        <v>2514</v>
      </c>
      <c r="I609" s="6" t="s">
        <v>2515</v>
      </c>
      <c r="J609" s="6" t="s">
        <v>78</v>
      </c>
      <c r="K609" s="5"/>
      <c r="L609" s="4" t="s">
        <v>44</v>
      </c>
      <c r="M609" s="8" t="s">
        <v>79</v>
      </c>
      <c r="N609" s="9" t="s">
        <v>2483</v>
      </c>
      <c r="O609" s="5"/>
      <c r="P609" s="5"/>
      <c r="Q609" s="6" t="s">
        <v>30</v>
      </c>
      <c r="R609" s="4" t="s">
        <v>31</v>
      </c>
      <c r="S609" s="7" t="s">
        <v>32</v>
      </c>
      <c r="T609" s="5"/>
    </row>
    <row r="610" customFormat="false" ht="15" hidden="false" customHeight="true" outlineLevel="0" collapsed="false">
      <c r="A610" s="4" t="n">
        <v>609</v>
      </c>
      <c r="B610" s="6" t="s">
        <v>1787</v>
      </c>
      <c r="C610" s="6" t="s">
        <v>2450</v>
      </c>
      <c r="D610" s="6" t="s">
        <v>2451</v>
      </c>
      <c r="E610" s="7" t="s">
        <v>21</v>
      </c>
      <c r="F610" s="6" t="s">
        <v>2516</v>
      </c>
      <c r="G610" s="6" t="s">
        <v>2494</v>
      </c>
      <c r="H610" s="6" t="s">
        <v>2495</v>
      </c>
      <c r="I610" s="6" t="s">
        <v>2517</v>
      </c>
      <c r="J610" s="6" t="s">
        <v>2496</v>
      </c>
      <c r="K610" s="5"/>
      <c r="L610" s="4" t="s">
        <v>51</v>
      </c>
      <c r="M610" s="8" t="s">
        <v>129</v>
      </c>
      <c r="N610" s="9" t="s">
        <v>2483</v>
      </c>
      <c r="O610" s="5"/>
      <c r="P610" s="5"/>
      <c r="Q610" s="6" t="s">
        <v>30</v>
      </c>
      <c r="R610" s="4" t="s">
        <v>31</v>
      </c>
      <c r="S610" s="7" t="s">
        <v>32</v>
      </c>
      <c r="T610" s="5"/>
    </row>
    <row r="611" customFormat="false" ht="29.25" hidden="false" customHeight="true" outlineLevel="0" collapsed="false">
      <c r="A611" s="4" t="n">
        <v>610</v>
      </c>
      <c r="B611" s="6" t="s">
        <v>1787</v>
      </c>
      <c r="C611" s="6" t="s">
        <v>2450</v>
      </c>
      <c r="D611" s="6" t="s">
        <v>2451</v>
      </c>
      <c r="E611" s="7" t="s">
        <v>21</v>
      </c>
      <c r="F611" s="6" t="s">
        <v>2518</v>
      </c>
      <c r="G611" s="6" t="s">
        <v>2519</v>
      </c>
      <c r="H611" s="6" t="s">
        <v>2520</v>
      </c>
      <c r="I611" s="6" t="s">
        <v>2521</v>
      </c>
      <c r="J611" s="6" t="s">
        <v>78</v>
      </c>
      <c r="K611" s="5"/>
      <c r="L611" s="4" t="s">
        <v>44</v>
      </c>
      <c r="M611" s="8" t="s">
        <v>79</v>
      </c>
      <c r="N611" s="9" t="s">
        <v>2483</v>
      </c>
      <c r="O611" s="5"/>
      <c r="P611" s="5"/>
      <c r="Q611" s="6" t="s">
        <v>30</v>
      </c>
      <c r="R611" s="4" t="s">
        <v>31</v>
      </c>
      <c r="S611" s="7" t="s">
        <v>32</v>
      </c>
      <c r="T611" s="5"/>
    </row>
    <row r="612" customFormat="false" ht="15" hidden="false" customHeight="true" outlineLevel="0" collapsed="false">
      <c r="A612" s="4" t="n">
        <v>611</v>
      </c>
      <c r="B612" s="6" t="s">
        <v>1787</v>
      </c>
      <c r="C612" s="6" t="s">
        <v>2450</v>
      </c>
      <c r="D612" s="6" t="s">
        <v>2451</v>
      </c>
      <c r="E612" s="7" t="s">
        <v>21</v>
      </c>
      <c r="F612" s="6" t="s">
        <v>2522</v>
      </c>
      <c r="G612" s="6" t="s">
        <v>2523</v>
      </c>
      <c r="H612" s="6" t="s">
        <v>2524</v>
      </c>
      <c r="I612" s="6" t="s">
        <v>2525</v>
      </c>
      <c r="J612" s="6" t="s">
        <v>2526</v>
      </c>
      <c r="K612" s="5"/>
      <c r="L612" s="4" t="s">
        <v>27</v>
      </c>
      <c r="M612" s="8" t="s">
        <v>129</v>
      </c>
      <c r="N612" s="9" t="s">
        <v>2457</v>
      </c>
      <c r="O612" s="5"/>
      <c r="P612" s="5"/>
      <c r="Q612" s="6" t="s">
        <v>30</v>
      </c>
      <c r="R612" s="4" t="s">
        <v>31</v>
      </c>
      <c r="S612" s="7" t="s">
        <v>32</v>
      </c>
      <c r="T612" s="5"/>
    </row>
    <row r="613" customFormat="false" ht="15" hidden="false" customHeight="true" outlineLevel="0" collapsed="false">
      <c r="A613" s="4" t="n">
        <v>612</v>
      </c>
      <c r="B613" s="6" t="s">
        <v>1787</v>
      </c>
      <c r="C613" s="6" t="s">
        <v>2450</v>
      </c>
      <c r="D613" s="6" t="s">
        <v>2451</v>
      </c>
      <c r="E613" s="7" t="s">
        <v>21</v>
      </c>
      <c r="F613" s="6" t="s">
        <v>2527</v>
      </c>
      <c r="G613" s="6" t="s">
        <v>2528</v>
      </c>
      <c r="H613" s="6" t="s">
        <v>2529</v>
      </c>
      <c r="I613" s="5" t="s">
        <v>2530</v>
      </c>
      <c r="J613" s="6" t="s">
        <v>2531</v>
      </c>
      <c r="K613" s="5"/>
      <c r="L613" s="4" t="s">
        <v>44</v>
      </c>
      <c r="M613" s="8" t="s">
        <v>129</v>
      </c>
      <c r="N613" s="9" t="s">
        <v>2457</v>
      </c>
      <c r="O613" s="5"/>
      <c r="P613" s="5"/>
      <c r="Q613" s="6" t="s">
        <v>30</v>
      </c>
      <c r="R613" s="4" t="s">
        <v>31</v>
      </c>
      <c r="S613" s="7" t="s">
        <v>32</v>
      </c>
      <c r="T613" s="5"/>
    </row>
    <row r="614" customFormat="false" ht="15" hidden="false" customHeight="true" outlineLevel="0" collapsed="false">
      <c r="A614" s="4" t="n">
        <v>613</v>
      </c>
      <c r="B614" s="6" t="s">
        <v>1787</v>
      </c>
      <c r="C614" s="6" t="s">
        <v>2450</v>
      </c>
      <c r="D614" s="6" t="s">
        <v>2451</v>
      </c>
      <c r="E614" s="7" t="s">
        <v>21</v>
      </c>
      <c r="F614" s="6" t="s">
        <v>2532</v>
      </c>
      <c r="G614" s="6" t="s">
        <v>2531</v>
      </c>
      <c r="H614" s="6" t="s">
        <v>2529</v>
      </c>
      <c r="I614" s="5" t="s">
        <v>2533</v>
      </c>
      <c r="J614" s="5" t="s">
        <v>2530</v>
      </c>
      <c r="K614" s="5"/>
      <c r="L614" s="4" t="s">
        <v>27</v>
      </c>
      <c r="M614" s="8" t="s">
        <v>129</v>
      </c>
      <c r="N614" s="9" t="s">
        <v>2457</v>
      </c>
      <c r="O614" s="5"/>
      <c r="P614" s="5"/>
      <c r="Q614" s="6" t="s">
        <v>30</v>
      </c>
      <c r="R614" s="4" t="s">
        <v>31</v>
      </c>
      <c r="S614" s="7" t="s">
        <v>32</v>
      </c>
      <c r="T614" s="5"/>
    </row>
    <row r="615" customFormat="false" ht="15" hidden="false" customHeight="true" outlineLevel="0" collapsed="false">
      <c r="A615" s="4" t="n">
        <v>614</v>
      </c>
      <c r="B615" s="6" t="s">
        <v>1787</v>
      </c>
      <c r="C615" s="6" t="s">
        <v>2450</v>
      </c>
      <c r="D615" s="6" t="s">
        <v>2451</v>
      </c>
      <c r="E615" s="7" t="s">
        <v>21</v>
      </c>
      <c r="F615" s="6" t="s">
        <v>2534</v>
      </c>
      <c r="G615" s="6" t="s">
        <v>2535</v>
      </c>
      <c r="H615" s="6" t="s">
        <v>2536</v>
      </c>
      <c r="I615" s="6" t="s">
        <v>2537</v>
      </c>
      <c r="J615" s="6" t="s">
        <v>150</v>
      </c>
      <c r="K615" s="5"/>
      <c r="L615" s="4" t="s">
        <v>62</v>
      </c>
      <c r="M615" s="8" t="s">
        <v>79</v>
      </c>
      <c r="N615" s="9" t="s">
        <v>2457</v>
      </c>
      <c r="O615" s="5"/>
      <c r="P615" s="5"/>
      <c r="Q615" s="6" t="s">
        <v>30</v>
      </c>
      <c r="R615" s="4" t="s">
        <v>31</v>
      </c>
      <c r="S615" s="7" t="s">
        <v>32</v>
      </c>
      <c r="T615" s="5"/>
    </row>
    <row r="616" customFormat="false" ht="15" hidden="false" customHeight="true" outlineLevel="0" collapsed="false">
      <c r="A616" s="4" t="n">
        <v>615</v>
      </c>
      <c r="B616" s="6" t="s">
        <v>1787</v>
      </c>
      <c r="C616" s="6" t="s">
        <v>2450</v>
      </c>
      <c r="D616" s="6" t="s">
        <v>2451</v>
      </c>
      <c r="E616" s="7" t="s">
        <v>21</v>
      </c>
      <c r="F616" s="5" t="s">
        <v>2538</v>
      </c>
      <c r="G616" s="5" t="s">
        <v>176</v>
      </c>
      <c r="H616" s="5" t="s">
        <v>1235</v>
      </c>
      <c r="I616" s="5" t="s">
        <v>1224</v>
      </c>
      <c r="J616" s="5" t="s">
        <v>164</v>
      </c>
      <c r="K616" s="5"/>
      <c r="L616" s="4" t="s">
        <v>44</v>
      </c>
      <c r="M616" s="8" t="s">
        <v>79</v>
      </c>
      <c r="N616" s="9" t="s">
        <v>2457</v>
      </c>
      <c r="O616" s="5"/>
      <c r="P616" s="5"/>
      <c r="Q616" s="6" t="s">
        <v>30</v>
      </c>
      <c r="R616" s="4" t="s">
        <v>31</v>
      </c>
      <c r="S616" s="7" t="s">
        <v>32</v>
      </c>
      <c r="T616" s="5"/>
    </row>
    <row r="617" customFormat="false" ht="15" hidden="false" customHeight="true" outlineLevel="0" collapsed="false">
      <c r="A617" s="4" t="n">
        <v>616</v>
      </c>
      <c r="B617" s="6" t="s">
        <v>1787</v>
      </c>
      <c r="C617" s="6" t="s">
        <v>2450</v>
      </c>
      <c r="D617" s="6" t="s">
        <v>2451</v>
      </c>
      <c r="E617" s="7" t="s">
        <v>21</v>
      </c>
      <c r="F617" s="5" t="s">
        <v>2539</v>
      </c>
      <c r="G617" s="5" t="s">
        <v>2540</v>
      </c>
      <c r="H617" s="5" t="s">
        <v>2541</v>
      </c>
      <c r="I617" s="5" t="s">
        <v>2542</v>
      </c>
      <c r="J617" s="5" t="s">
        <v>2543</v>
      </c>
      <c r="K617" s="5"/>
      <c r="L617" s="4" t="s">
        <v>27</v>
      </c>
      <c r="M617" s="8" t="s">
        <v>79</v>
      </c>
      <c r="N617" s="9" t="s">
        <v>2457</v>
      </c>
      <c r="O617" s="5"/>
      <c r="P617" s="5"/>
      <c r="Q617" s="6" t="s">
        <v>30</v>
      </c>
      <c r="R617" s="4" t="s">
        <v>31</v>
      </c>
      <c r="S617" s="7" t="s">
        <v>32</v>
      </c>
      <c r="T617" s="5"/>
    </row>
    <row r="618" customFormat="false" ht="15" hidden="false" customHeight="true" outlineLevel="0" collapsed="false">
      <c r="A618" s="4" t="n">
        <v>617</v>
      </c>
      <c r="B618" s="6" t="s">
        <v>1787</v>
      </c>
      <c r="C618" s="6" t="s">
        <v>2450</v>
      </c>
      <c r="D618" s="6" t="s">
        <v>2451</v>
      </c>
      <c r="E618" s="7" t="s">
        <v>21</v>
      </c>
      <c r="F618" s="6" t="s">
        <v>2544</v>
      </c>
      <c r="G618" s="5" t="s">
        <v>1321</v>
      </c>
      <c r="H618" s="5" t="s">
        <v>1226</v>
      </c>
      <c r="I618" s="5" t="s">
        <v>1324</v>
      </c>
      <c r="J618" s="5" t="s">
        <v>2545</v>
      </c>
      <c r="K618" s="5"/>
      <c r="L618" s="4" t="s">
        <v>51</v>
      </c>
      <c r="M618" s="8" t="s">
        <v>129</v>
      </c>
      <c r="N618" s="9" t="s">
        <v>2457</v>
      </c>
      <c r="O618" s="5"/>
      <c r="P618" s="5"/>
      <c r="Q618" s="6" t="s">
        <v>30</v>
      </c>
      <c r="R618" s="4" t="s">
        <v>31</v>
      </c>
      <c r="S618" s="7" t="s">
        <v>32</v>
      </c>
      <c r="T618" s="5"/>
    </row>
    <row r="619" customFormat="false" ht="15" hidden="false" customHeight="true" outlineLevel="0" collapsed="false">
      <c r="A619" s="4" t="n">
        <v>618</v>
      </c>
      <c r="B619" s="6" t="s">
        <v>1787</v>
      </c>
      <c r="C619" s="6" t="s">
        <v>2450</v>
      </c>
      <c r="D619" s="6" t="s">
        <v>2451</v>
      </c>
      <c r="E619" s="7" t="s">
        <v>21</v>
      </c>
      <c r="F619" s="6" t="s">
        <v>2546</v>
      </c>
      <c r="G619" s="5" t="s">
        <v>1321</v>
      </c>
      <c r="H619" s="5" t="s">
        <v>2547</v>
      </c>
      <c r="I619" s="5" t="s">
        <v>1224</v>
      </c>
      <c r="J619" s="5" t="s">
        <v>2548</v>
      </c>
      <c r="K619" s="5"/>
      <c r="L619" s="4" t="s">
        <v>27</v>
      </c>
      <c r="M619" s="8" t="s">
        <v>79</v>
      </c>
      <c r="N619" s="9" t="s">
        <v>2457</v>
      </c>
      <c r="O619" s="5"/>
      <c r="P619" s="5"/>
      <c r="Q619" s="6" t="s">
        <v>30</v>
      </c>
      <c r="R619" s="4" t="s">
        <v>31</v>
      </c>
      <c r="S619" s="7" t="s">
        <v>32</v>
      </c>
      <c r="T619" s="5"/>
    </row>
    <row r="620" customFormat="false" ht="15" hidden="false" customHeight="true" outlineLevel="0" collapsed="false">
      <c r="A620" s="4" t="n">
        <v>619</v>
      </c>
      <c r="B620" s="6" t="s">
        <v>1787</v>
      </c>
      <c r="C620" s="6" t="s">
        <v>2450</v>
      </c>
      <c r="D620" s="6" t="s">
        <v>2451</v>
      </c>
      <c r="E620" s="7" t="s">
        <v>21</v>
      </c>
      <c r="F620" s="6" t="s">
        <v>2549</v>
      </c>
      <c r="G620" s="6" t="s">
        <v>2550</v>
      </c>
      <c r="H620" s="6" t="s">
        <v>2551</v>
      </c>
      <c r="I620" s="6" t="s">
        <v>2552</v>
      </c>
      <c r="J620" s="6" t="s">
        <v>2553</v>
      </c>
      <c r="K620" s="5"/>
      <c r="L620" s="4" t="s">
        <v>51</v>
      </c>
      <c r="M620" s="8" t="s">
        <v>129</v>
      </c>
      <c r="N620" s="9" t="s">
        <v>2483</v>
      </c>
      <c r="O620" s="5"/>
      <c r="P620" s="5"/>
      <c r="Q620" s="6" t="s">
        <v>30</v>
      </c>
      <c r="R620" s="4" t="s">
        <v>31</v>
      </c>
      <c r="S620" s="7" t="s">
        <v>32</v>
      </c>
      <c r="T620" s="5"/>
    </row>
    <row r="621" customFormat="false" ht="15" hidden="false" customHeight="true" outlineLevel="0" collapsed="false">
      <c r="A621" s="4" t="n">
        <v>620</v>
      </c>
      <c r="B621" s="6" t="s">
        <v>1787</v>
      </c>
      <c r="C621" s="6" t="s">
        <v>2450</v>
      </c>
      <c r="D621" s="6" t="s">
        <v>2451</v>
      </c>
      <c r="E621" s="7" t="s">
        <v>21</v>
      </c>
      <c r="F621" s="6" t="s">
        <v>2554</v>
      </c>
      <c r="G621" s="6" t="s">
        <v>2550</v>
      </c>
      <c r="H621" s="6" t="s">
        <v>2551</v>
      </c>
      <c r="I621" s="6" t="s">
        <v>2552</v>
      </c>
      <c r="J621" s="6" t="s">
        <v>2553</v>
      </c>
      <c r="K621" s="5"/>
      <c r="L621" s="4" t="s">
        <v>62</v>
      </c>
      <c r="M621" s="8" t="s">
        <v>129</v>
      </c>
      <c r="N621" s="9" t="s">
        <v>2483</v>
      </c>
      <c r="O621" s="5"/>
      <c r="P621" s="5"/>
      <c r="Q621" s="6" t="s">
        <v>30</v>
      </c>
      <c r="R621" s="4" t="s">
        <v>31</v>
      </c>
      <c r="S621" s="7" t="s">
        <v>32</v>
      </c>
      <c r="T621" s="5"/>
    </row>
    <row r="622" customFormat="false" ht="15" hidden="false" customHeight="true" outlineLevel="0" collapsed="false">
      <c r="A622" s="4" t="n">
        <v>621</v>
      </c>
      <c r="B622" s="6" t="s">
        <v>1787</v>
      </c>
      <c r="C622" s="6" t="s">
        <v>2450</v>
      </c>
      <c r="D622" s="6" t="s">
        <v>2451</v>
      </c>
      <c r="E622" s="7" t="s">
        <v>21</v>
      </c>
      <c r="F622" s="6" t="s">
        <v>2555</v>
      </c>
      <c r="G622" s="6" t="s">
        <v>2556</v>
      </c>
      <c r="H622" s="6" t="s">
        <v>2557</v>
      </c>
      <c r="I622" s="6" t="s">
        <v>2558</v>
      </c>
      <c r="J622" s="6" t="s">
        <v>2559</v>
      </c>
      <c r="K622" s="5"/>
      <c r="L622" s="4" t="s">
        <v>51</v>
      </c>
      <c r="M622" s="8" t="s">
        <v>129</v>
      </c>
      <c r="N622" s="9" t="s">
        <v>2483</v>
      </c>
      <c r="O622" s="5"/>
      <c r="P622" s="5"/>
      <c r="Q622" s="6" t="s">
        <v>30</v>
      </c>
      <c r="R622" s="4" t="s">
        <v>31</v>
      </c>
      <c r="S622" s="7" t="s">
        <v>32</v>
      </c>
      <c r="T622" s="5"/>
    </row>
    <row r="623" customFormat="false" ht="15" hidden="false" customHeight="true" outlineLevel="0" collapsed="false">
      <c r="A623" s="4" t="n">
        <v>622</v>
      </c>
      <c r="B623" s="6" t="s">
        <v>1787</v>
      </c>
      <c r="C623" s="6" t="s">
        <v>2450</v>
      </c>
      <c r="D623" s="6" t="s">
        <v>2451</v>
      </c>
      <c r="E623" s="7" t="s">
        <v>21</v>
      </c>
      <c r="F623" s="6" t="s">
        <v>2560</v>
      </c>
      <c r="G623" s="6" t="s">
        <v>2561</v>
      </c>
      <c r="H623" s="6" t="s">
        <v>2562</v>
      </c>
      <c r="I623" s="6" t="s">
        <v>2563</v>
      </c>
      <c r="J623" s="6" t="s">
        <v>2564</v>
      </c>
      <c r="K623" s="5"/>
      <c r="L623" s="4" t="s">
        <v>51</v>
      </c>
      <c r="M623" s="8" t="s">
        <v>129</v>
      </c>
      <c r="N623" s="9" t="s">
        <v>2483</v>
      </c>
      <c r="O623" s="5"/>
      <c r="P623" s="5"/>
      <c r="Q623" s="6" t="s">
        <v>30</v>
      </c>
      <c r="R623" s="4" t="s">
        <v>31</v>
      </c>
      <c r="S623" s="7" t="s">
        <v>32</v>
      </c>
      <c r="T623" s="5"/>
    </row>
    <row r="624" customFormat="false" ht="29.25" hidden="false" customHeight="true" outlineLevel="0" collapsed="false">
      <c r="A624" s="4" t="n">
        <v>623</v>
      </c>
      <c r="B624" s="6" t="s">
        <v>1787</v>
      </c>
      <c r="C624" s="6" t="s">
        <v>2450</v>
      </c>
      <c r="D624" s="6" t="s">
        <v>2451</v>
      </c>
      <c r="E624" s="7" t="s">
        <v>21</v>
      </c>
      <c r="F624" s="6" t="s">
        <v>2565</v>
      </c>
      <c r="G624" s="5" t="s">
        <v>176</v>
      </c>
      <c r="H624" s="5" t="s">
        <v>1235</v>
      </c>
      <c r="I624" s="5" t="s">
        <v>1224</v>
      </c>
      <c r="J624" s="5" t="s">
        <v>2566</v>
      </c>
      <c r="K624" s="5"/>
      <c r="L624" s="4" t="s">
        <v>27</v>
      </c>
      <c r="M624" s="8" t="s">
        <v>28</v>
      </c>
      <c r="N624" s="9" t="s">
        <v>2483</v>
      </c>
      <c r="O624" s="5"/>
      <c r="P624" s="5"/>
      <c r="Q624" s="6" t="s">
        <v>30</v>
      </c>
      <c r="R624" s="4" t="s">
        <v>31</v>
      </c>
      <c r="S624" s="7" t="s">
        <v>32</v>
      </c>
      <c r="T624" s="5"/>
    </row>
    <row r="625" customFormat="false" ht="15" hidden="false" customHeight="true" outlineLevel="0" collapsed="false">
      <c r="A625" s="4" t="n">
        <v>624</v>
      </c>
      <c r="B625" s="6" t="s">
        <v>1787</v>
      </c>
      <c r="C625" s="6" t="s">
        <v>2450</v>
      </c>
      <c r="D625" s="6" t="s">
        <v>2451</v>
      </c>
      <c r="E625" s="7" t="s">
        <v>21</v>
      </c>
      <c r="F625" s="6" t="s">
        <v>2567</v>
      </c>
      <c r="G625" s="5" t="s">
        <v>176</v>
      </c>
      <c r="H625" s="5" t="s">
        <v>1235</v>
      </c>
      <c r="I625" s="5" t="s">
        <v>1224</v>
      </c>
      <c r="J625" s="5" t="s">
        <v>2568</v>
      </c>
      <c r="K625" s="5"/>
      <c r="L625" s="4" t="s">
        <v>51</v>
      </c>
      <c r="M625" s="8" t="s">
        <v>129</v>
      </c>
      <c r="N625" s="9" t="s">
        <v>2483</v>
      </c>
      <c r="O625" s="5"/>
      <c r="P625" s="5"/>
      <c r="Q625" s="6" t="s">
        <v>30</v>
      </c>
      <c r="R625" s="4" t="s">
        <v>31</v>
      </c>
      <c r="S625" s="7" t="s">
        <v>32</v>
      </c>
      <c r="T625" s="5"/>
    </row>
    <row r="626" customFormat="false" ht="43.5" hidden="false" customHeight="true" outlineLevel="0" collapsed="false">
      <c r="A626" s="4" t="n">
        <v>625</v>
      </c>
      <c r="B626" s="6" t="s">
        <v>1787</v>
      </c>
      <c r="C626" s="6" t="s">
        <v>2450</v>
      </c>
      <c r="D626" s="6" t="s">
        <v>2451</v>
      </c>
      <c r="E626" s="7" t="s">
        <v>21</v>
      </c>
      <c r="F626" s="6" t="s">
        <v>2569</v>
      </c>
      <c r="G626" s="5" t="s">
        <v>2570</v>
      </c>
      <c r="H626" s="5" t="s">
        <v>2571</v>
      </c>
      <c r="I626" s="5" t="s">
        <v>2572</v>
      </c>
      <c r="J626" s="6" t="s">
        <v>322</v>
      </c>
      <c r="K626" s="5"/>
      <c r="L626" s="4" t="s">
        <v>27</v>
      </c>
      <c r="M626" s="8" t="s">
        <v>28</v>
      </c>
      <c r="N626" s="9" t="s">
        <v>2483</v>
      </c>
      <c r="O626" s="5"/>
      <c r="P626" s="5"/>
      <c r="Q626" s="6" t="s">
        <v>30</v>
      </c>
      <c r="R626" s="4" t="s">
        <v>31</v>
      </c>
      <c r="S626" s="7" t="s">
        <v>32</v>
      </c>
      <c r="T626" s="5"/>
    </row>
    <row r="627" customFormat="false" ht="15" hidden="false" customHeight="true" outlineLevel="0" collapsed="false">
      <c r="A627" s="4" t="n">
        <v>626</v>
      </c>
      <c r="B627" s="6" t="s">
        <v>1787</v>
      </c>
      <c r="C627" s="6" t="s">
        <v>2450</v>
      </c>
      <c r="D627" s="6" t="s">
        <v>2451</v>
      </c>
      <c r="E627" s="7" t="s">
        <v>21</v>
      </c>
      <c r="F627" s="6" t="s">
        <v>2573</v>
      </c>
      <c r="G627" s="6" t="s">
        <v>2574</v>
      </c>
      <c r="H627" s="6" t="s">
        <v>2575</v>
      </c>
      <c r="I627" s="6" t="s">
        <v>2576</v>
      </c>
      <c r="J627" s="6" t="s">
        <v>150</v>
      </c>
      <c r="K627" s="5"/>
      <c r="L627" s="4" t="s">
        <v>62</v>
      </c>
      <c r="M627" s="8" t="s">
        <v>79</v>
      </c>
      <c r="N627" s="9" t="s">
        <v>2483</v>
      </c>
      <c r="O627" s="5"/>
      <c r="P627" s="5"/>
      <c r="Q627" s="6" t="s">
        <v>30</v>
      </c>
      <c r="R627" s="4" t="s">
        <v>31</v>
      </c>
      <c r="S627" s="7" t="s">
        <v>32</v>
      </c>
      <c r="T627" s="5"/>
    </row>
    <row r="628" customFormat="false" ht="15" hidden="false" customHeight="true" outlineLevel="0" collapsed="false">
      <c r="A628" s="4" t="n">
        <v>627</v>
      </c>
      <c r="B628" s="6" t="s">
        <v>1787</v>
      </c>
      <c r="C628" s="6" t="s">
        <v>2450</v>
      </c>
      <c r="D628" s="6" t="s">
        <v>2451</v>
      </c>
      <c r="E628" s="7" t="s">
        <v>21</v>
      </c>
      <c r="F628" s="6" t="s">
        <v>2577</v>
      </c>
      <c r="G628" s="6" t="s">
        <v>2574</v>
      </c>
      <c r="H628" s="6" t="s">
        <v>2496</v>
      </c>
      <c r="I628" s="6" t="s">
        <v>2502</v>
      </c>
      <c r="J628" s="6" t="s">
        <v>150</v>
      </c>
      <c r="K628" s="5"/>
      <c r="L628" s="4" t="s">
        <v>62</v>
      </c>
      <c r="M628" s="8" t="s">
        <v>79</v>
      </c>
      <c r="N628" s="9" t="s">
        <v>2483</v>
      </c>
      <c r="O628" s="5"/>
      <c r="P628" s="5"/>
      <c r="Q628" s="6" t="s">
        <v>30</v>
      </c>
      <c r="R628" s="4" t="s">
        <v>31</v>
      </c>
      <c r="S628" s="7" t="s">
        <v>32</v>
      </c>
      <c r="T628" s="5"/>
    </row>
    <row r="629" customFormat="false" ht="43.5" hidden="false" customHeight="true" outlineLevel="0" collapsed="false">
      <c r="A629" s="4" t="n">
        <v>628</v>
      </c>
      <c r="B629" s="6" t="s">
        <v>1787</v>
      </c>
      <c r="C629" s="6" t="s">
        <v>2450</v>
      </c>
      <c r="D629" s="6" t="s">
        <v>2451</v>
      </c>
      <c r="E629" s="7" t="s">
        <v>21</v>
      </c>
      <c r="F629" s="6" t="s">
        <v>2578</v>
      </c>
      <c r="G629" s="5" t="s">
        <v>2579</v>
      </c>
      <c r="H629" s="5" t="s">
        <v>2580</v>
      </c>
      <c r="I629" s="5" t="s">
        <v>2581</v>
      </c>
      <c r="J629" s="5" t="s">
        <v>2582</v>
      </c>
      <c r="K629" s="5"/>
      <c r="L629" s="4" t="s">
        <v>27</v>
      </c>
      <c r="M629" s="8" t="s">
        <v>28</v>
      </c>
      <c r="N629" s="9" t="s">
        <v>2483</v>
      </c>
      <c r="O629" s="5"/>
      <c r="P629" s="5"/>
      <c r="Q629" s="6" t="s">
        <v>30</v>
      </c>
      <c r="R629" s="4" t="s">
        <v>31</v>
      </c>
      <c r="S629" s="7" t="s">
        <v>32</v>
      </c>
      <c r="T629" s="5"/>
    </row>
    <row r="630" customFormat="false" ht="43.5" hidden="false" customHeight="true" outlineLevel="0" collapsed="false">
      <c r="A630" s="4" t="n">
        <v>629</v>
      </c>
      <c r="B630" s="6" t="s">
        <v>1787</v>
      </c>
      <c r="C630" s="6" t="s">
        <v>2450</v>
      </c>
      <c r="D630" s="6" t="s">
        <v>2451</v>
      </c>
      <c r="E630" s="7" t="s">
        <v>21</v>
      </c>
      <c r="F630" s="6" t="s">
        <v>2583</v>
      </c>
      <c r="G630" s="5" t="s">
        <v>176</v>
      </c>
      <c r="H630" s="5" t="s">
        <v>1321</v>
      </c>
      <c r="I630" s="5" t="s">
        <v>2540</v>
      </c>
      <c r="J630" s="5" t="s">
        <v>2584</v>
      </c>
      <c r="K630" s="5"/>
      <c r="L630" s="4" t="s">
        <v>62</v>
      </c>
      <c r="M630" s="8" t="s">
        <v>28</v>
      </c>
      <c r="N630" s="9" t="s">
        <v>2483</v>
      </c>
      <c r="O630" s="5"/>
      <c r="P630" s="5"/>
      <c r="Q630" s="6" t="s">
        <v>30</v>
      </c>
      <c r="R630" s="4" t="s">
        <v>31</v>
      </c>
      <c r="S630" s="7" t="s">
        <v>32</v>
      </c>
      <c r="T630" s="5"/>
    </row>
    <row r="631" customFormat="false" ht="29.25" hidden="false" customHeight="true" outlineLevel="0" collapsed="false">
      <c r="A631" s="4" t="n">
        <v>630</v>
      </c>
      <c r="B631" s="6" t="s">
        <v>1787</v>
      </c>
      <c r="C631" s="6" t="s">
        <v>2450</v>
      </c>
      <c r="D631" s="6" t="s">
        <v>2451</v>
      </c>
      <c r="E631" s="7" t="s">
        <v>21</v>
      </c>
      <c r="F631" s="6" t="s">
        <v>2585</v>
      </c>
      <c r="G631" s="5" t="s">
        <v>176</v>
      </c>
      <c r="H631" s="5" t="s">
        <v>1235</v>
      </c>
      <c r="I631" s="5" t="s">
        <v>1224</v>
      </c>
      <c r="J631" s="5" t="s">
        <v>2586</v>
      </c>
      <c r="K631" s="5"/>
      <c r="L631" s="4" t="s">
        <v>44</v>
      </c>
      <c r="M631" s="8" t="s">
        <v>28</v>
      </c>
      <c r="N631" s="9" t="s">
        <v>2483</v>
      </c>
      <c r="O631" s="5"/>
      <c r="P631" s="5"/>
      <c r="Q631" s="6" t="s">
        <v>30</v>
      </c>
      <c r="R631" s="4" t="s">
        <v>31</v>
      </c>
      <c r="S631" s="7" t="s">
        <v>32</v>
      </c>
      <c r="T631" s="5"/>
    </row>
    <row r="632" customFormat="false" ht="43.5" hidden="false" customHeight="true" outlineLevel="0" collapsed="false">
      <c r="A632" s="4" t="n">
        <v>631</v>
      </c>
      <c r="B632" s="6" t="s">
        <v>1787</v>
      </c>
      <c r="C632" s="6" t="s">
        <v>2450</v>
      </c>
      <c r="D632" s="6" t="s">
        <v>2451</v>
      </c>
      <c r="E632" s="7" t="s">
        <v>21</v>
      </c>
      <c r="F632" s="6" t="s">
        <v>2587</v>
      </c>
      <c r="G632" s="5" t="s">
        <v>2588</v>
      </c>
      <c r="H632" s="5" t="s">
        <v>2589</v>
      </c>
      <c r="I632" s="5" t="s">
        <v>2590</v>
      </c>
      <c r="J632" s="5" t="s">
        <v>2591</v>
      </c>
      <c r="K632" s="5"/>
      <c r="L632" s="4" t="s">
        <v>44</v>
      </c>
      <c r="M632" s="8" t="s">
        <v>28</v>
      </c>
      <c r="N632" s="9" t="s">
        <v>2483</v>
      </c>
      <c r="O632" s="5"/>
      <c r="P632" s="5"/>
      <c r="Q632" s="6" t="s">
        <v>30</v>
      </c>
      <c r="R632" s="4" t="s">
        <v>31</v>
      </c>
      <c r="S632" s="7" t="s">
        <v>32</v>
      </c>
      <c r="T632" s="5"/>
    </row>
    <row r="633" customFormat="false" ht="29.25" hidden="false" customHeight="true" outlineLevel="0" collapsed="false">
      <c r="A633" s="4" t="n">
        <v>632</v>
      </c>
      <c r="B633" s="6" t="s">
        <v>1787</v>
      </c>
      <c r="C633" s="6" t="s">
        <v>2450</v>
      </c>
      <c r="D633" s="6" t="s">
        <v>2451</v>
      </c>
      <c r="E633" s="7" t="s">
        <v>21</v>
      </c>
      <c r="F633" s="6" t="s">
        <v>2592</v>
      </c>
      <c r="G633" s="6" t="s">
        <v>2495</v>
      </c>
      <c r="H633" s="6" t="s">
        <v>2496</v>
      </c>
      <c r="I633" s="6" t="s">
        <v>2502</v>
      </c>
      <c r="J633" s="6" t="s">
        <v>150</v>
      </c>
      <c r="K633" s="5"/>
      <c r="L633" s="4" t="s">
        <v>62</v>
      </c>
      <c r="M633" s="8" t="s">
        <v>28</v>
      </c>
      <c r="N633" s="9" t="s">
        <v>2483</v>
      </c>
      <c r="O633" s="5"/>
      <c r="P633" s="5"/>
      <c r="Q633" s="6" t="s">
        <v>30</v>
      </c>
      <c r="R633" s="4" t="s">
        <v>31</v>
      </c>
      <c r="S633" s="7" t="s">
        <v>32</v>
      </c>
      <c r="T633" s="5"/>
    </row>
    <row r="634" customFormat="false" ht="29.25" hidden="false" customHeight="true" outlineLevel="0" collapsed="false">
      <c r="A634" s="4" t="n">
        <v>633</v>
      </c>
      <c r="B634" s="6" t="s">
        <v>1787</v>
      </c>
      <c r="C634" s="6" t="s">
        <v>2450</v>
      </c>
      <c r="D634" s="6" t="s">
        <v>2451</v>
      </c>
      <c r="E634" s="7" t="s">
        <v>21</v>
      </c>
      <c r="F634" s="6" t="s">
        <v>2593</v>
      </c>
      <c r="G634" s="5" t="s">
        <v>176</v>
      </c>
      <c r="H634" s="5" t="s">
        <v>1235</v>
      </c>
      <c r="I634" s="5" t="s">
        <v>1224</v>
      </c>
      <c r="J634" s="5" t="s">
        <v>2566</v>
      </c>
      <c r="K634" s="5"/>
      <c r="L634" s="4" t="s">
        <v>51</v>
      </c>
      <c r="M634" s="8" t="s">
        <v>79</v>
      </c>
      <c r="N634" s="9" t="s">
        <v>2483</v>
      </c>
      <c r="O634" s="5"/>
      <c r="P634" s="5"/>
      <c r="Q634" s="6" t="s">
        <v>30</v>
      </c>
      <c r="R634" s="4" t="s">
        <v>31</v>
      </c>
      <c r="S634" s="7" t="s">
        <v>32</v>
      </c>
      <c r="T634" s="5"/>
    </row>
    <row r="635" customFormat="false" ht="15" hidden="false" customHeight="true" outlineLevel="0" collapsed="false">
      <c r="A635" s="4" t="n">
        <v>634</v>
      </c>
      <c r="B635" s="6" t="s">
        <v>1787</v>
      </c>
      <c r="C635" s="6" t="s">
        <v>2450</v>
      </c>
      <c r="D635" s="6" t="s">
        <v>2451</v>
      </c>
      <c r="E635" s="7" t="s">
        <v>21</v>
      </c>
      <c r="F635" s="6" t="s">
        <v>2594</v>
      </c>
      <c r="G635" s="6" t="s">
        <v>2498</v>
      </c>
      <c r="H635" s="6" t="s">
        <v>2501</v>
      </c>
      <c r="I635" s="6" t="s">
        <v>2494</v>
      </c>
      <c r="J635" s="6" t="s">
        <v>2502</v>
      </c>
      <c r="K635" s="5"/>
      <c r="L635" s="4" t="s">
        <v>62</v>
      </c>
      <c r="M635" s="8" t="s">
        <v>129</v>
      </c>
      <c r="N635" s="9" t="s">
        <v>2483</v>
      </c>
      <c r="O635" s="5"/>
      <c r="P635" s="5"/>
      <c r="Q635" s="6" t="s">
        <v>30</v>
      </c>
      <c r="R635" s="4" t="s">
        <v>31</v>
      </c>
      <c r="S635" s="7" t="s">
        <v>32</v>
      </c>
      <c r="T635" s="5"/>
    </row>
    <row r="636" customFormat="false" ht="29.25" hidden="false" customHeight="true" outlineLevel="0" collapsed="false">
      <c r="A636" s="4" t="n">
        <v>635</v>
      </c>
      <c r="B636" s="6" t="s">
        <v>1787</v>
      </c>
      <c r="C636" s="6" t="s">
        <v>2450</v>
      </c>
      <c r="D636" s="6" t="s">
        <v>2451</v>
      </c>
      <c r="E636" s="7" t="s">
        <v>21</v>
      </c>
      <c r="F636" s="6" t="s">
        <v>2595</v>
      </c>
      <c r="G636" s="6" t="s">
        <v>2495</v>
      </c>
      <c r="H636" s="6" t="s">
        <v>2496</v>
      </c>
      <c r="I636" s="6" t="s">
        <v>2502</v>
      </c>
      <c r="J636" s="6" t="s">
        <v>150</v>
      </c>
      <c r="K636" s="5"/>
      <c r="L636" s="4" t="s">
        <v>27</v>
      </c>
      <c r="M636" s="8" t="s">
        <v>28</v>
      </c>
      <c r="N636" s="9" t="s">
        <v>2483</v>
      </c>
      <c r="O636" s="5"/>
      <c r="P636" s="5"/>
      <c r="Q636" s="6" t="s">
        <v>30</v>
      </c>
      <c r="R636" s="4" t="s">
        <v>31</v>
      </c>
      <c r="S636" s="7" t="s">
        <v>32</v>
      </c>
      <c r="T636" s="5"/>
    </row>
    <row r="637" customFormat="false" ht="15" hidden="false" customHeight="true" outlineLevel="0" collapsed="false">
      <c r="A637" s="4" t="n">
        <v>636</v>
      </c>
      <c r="B637" s="6" t="s">
        <v>1787</v>
      </c>
      <c r="C637" s="6" t="s">
        <v>2450</v>
      </c>
      <c r="D637" s="6" t="s">
        <v>2451</v>
      </c>
      <c r="E637" s="7" t="s">
        <v>21</v>
      </c>
      <c r="F637" s="6" t="s">
        <v>2596</v>
      </c>
      <c r="G637" s="6" t="s">
        <v>2495</v>
      </c>
      <c r="H637" s="6" t="s">
        <v>2496</v>
      </c>
      <c r="I637" s="6" t="s">
        <v>2502</v>
      </c>
      <c r="J637" s="6" t="s">
        <v>150</v>
      </c>
      <c r="K637" s="5"/>
      <c r="L637" s="4" t="s">
        <v>27</v>
      </c>
      <c r="M637" s="8" t="s">
        <v>79</v>
      </c>
      <c r="N637" s="9" t="s">
        <v>2483</v>
      </c>
      <c r="O637" s="5"/>
      <c r="P637" s="5"/>
      <c r="Q637" s="6" t="s">
        <v>30</v>
      </c>
      <c r="R637" s="4" t="s">
        <v>31</v>
      </c>
      <c r="S637" s="7" t="s">
        <v>32</v>
      </c>
      <c r="T637" s="5"/>
    </row>
    <row r="638" customFormat="false" ht="29.25" hidden="false" customHeight="true" outlineLevel="0" collapsed="false">
      <c r="A638" s="4" t="n">
        <v>637</v>
      </c>
      <c r="B638" s="6" t="s">
        <v>1787</v>
      </c>
      <c r="C638" s="6" t="s">
        <v>2450</v>
      </c>
      <c r="D638" s="6" t="s">
        <v>2451</v>
      </c>
      <c r="E638" s="7" t="s">
        <v>21</v>
      </c>
      <c r="F638" s="6" t="s">
        <v>2597</v>
      </c>
      <c r="G638" s="6" t="s">
        <v>2498</v>
      </c>
      <c r="H638" s="6" t="s">
        <v>2501</v>
      </c>
      <c r="I638" s="6" t="s">
        <v>2494</v>
      </c>
      <c r="J638" s="6" t="s">
        <v>2502</v>
      </c>
      <c r="K638" s="5"/>
      <c r="L638" s="4" t="s">
        <v>44</v>
      </c>
      <c r="M638" s="8" t="s">
        <v>79</v>
      </c>
      <c r="N638" s="9" t="s">
        <v>2483</v>
      </c>
      <c r="O638" s="5"/>
      <c r="P638" s="5"/>
      <c r="Q638" s="6" t="s">
        <v>30</v>
      </c>
      <c r="R638" s="4" t="s">
        <v>31</v>
      </c>
      <c r="S638" s="7" t="s">
        <v>32</v>
      </c>
      <c r="T638" s="5"/>
    </row>
    <row r="639" customFormat="false" ht="29.25" hidden="false" customHeight="true" outlineLevel="0" collapsed="false">
      <c r="A639" s="4" t="n">
        <v>638</v>
      </c>
      <c r="B639" s="6" t="s">
        <v>1787</v>
      </c>
      <c r="C639" s="6" t="s">
        <v>2450</v>
      </c>
      <c r="D639" s="6" t="s">
        <v>2451</v>
      </c>
      <c r="E639" s="7" t="s">
        <v>21</v>
      </c>
      <c r="F639" s="6" t="s">
        <v>2598</v>
      </c>
      <c r="G639" s="6" t="s">
        <v>2495</v>
      </c>
      <c r="H639" s="6" t="s">
        <v>2496</v>
      </c>
      <c r="I639" s="6" t="s">
        <v>2502</v>
      </c>
      <c r="J639" s="6" t="s">
        <v>150</v>
      </c>
      <c r="K639" s="5"/>
      <c r="L639" s="4" t="s">
        <v>27</v>
      </c>
      <c r="M639" s="8" t="s">
        <v>79</v>
      </c>
      <c r="N639" s="9" t="s">
        <v>2483</v>
      </c>
      <c r="O639" s="5"/>
      <c r="P639" s="5"/>
      <c r="Q639" s="6" t="s">
        <v>30</v>
      </c>
      <c r="R639" s="4" t="s">
        <v>31</v>
      </c>
      <c r="S639" s="7" t="s">
        <v>32</v>
      </c>
      <c r="T639" s="5"/>
    </row>
    <row r="640" customFormat="false" ht="15" hidden="false" customHeight="true" outlineLevel="0" collapsed="false">
      <c r="A640" s="4" t="n">
        <v>639</v>
      </c>
      <c r="B640" s="6" t="s">
        <v>1787</v>
      </c>
      <c r="C640" s="6" t="s">
        <v>2450</v>
      </c>
      <c r="D640" s="6" t="s">
        <v>2451</v>
      </c>
      <c r="E640" s="7" t="s">
        <v>21</v>
      </c>
      <c r="F640" s="6" t="s">
        <v>2599</v>
      </c>
      <c r="G640" s="6" t="s">
        <v>2495</v>
      </c>
      <c r="H640" s="6" t="s">
        <v>2496</v>
      </c>
      <c r="I640" s="6" t="s">
        <v>2502</v>
      </c>
      <c r="J640" s="6" t="s">
        <v>150</v>
      </c>
      <c r="K640" s="5"/>
      <c r="L640" s="4" t="s">
        <v>27</v>
      </c>
      <c r="M640" s="8" t="s">
        <v>79</v>
      </c>
      <c r="N640" s="9" t="s">
        <v>2483</v>
      </c>
      <c r="O640" s="5"/>
      <c r="P640" s="5"/>
      <c r="Q640" s="6" t="s">
        <v>30</v>
      </c>
      <c r="R640" s="4" t="s">
        <v>31</v>
      </c>
      <c r="S640" s="7" t="s">
        <v>32</v>
      </c>
      <c r="T640" s="5"/>
    </row>
    <row r="641" customFormat="false" ht="15" hidden="false" customHeight="true" outlineLevel="0" collapsed="false">
      <c r="A641" s="4" t="n">
        <v>640</v>
      </c>
      <c r="B641" s="6" t="s">
        <v>1787</v>
      </c>
      <c r="C641" s="6" t="s">
        <v>2450</v>
      </c>
      <c r="D641" s="6" t="s">
        <v>2451</v>
      </c>
      <c r="E641" s="7" t="s">
        <v>21</v>
      </c>
      <c r="F641" s="6" t="s">
        <v>2600</v>
      </c>
      <c r="G641" s="6" t="s">
        <v>2495</v>
      </c>
      <c r="H641" s="6" t="s">
        <v>2496</v>
      </c>
      <c r="I641" s="6" t="s">
        <v>2502</v>
      </c>
      <c r="J641" s="6" t="s">
        <v>150</v>
      </c>
      <c r="K641" s="5"/>
      <c r="L641" s="4" t="s">
        <v>27</v>
      </c>
      <c r="M641" s="8" t="s">
        <v>79</v>
      </c>
      <c r="N641" s="9" t="s">
        <v>2483</v>
      </c>
      <c r="O641" s="5"/>
      <c r="P641" s="5"/>
      <c r="Q641" s="6" t="s">
        <v>30</v>
      </c>
      <c r="R641" s="4" t="s">
        <v>31</v>
      </c>
      <c r="S641" s="7" t="s">
        <v>32</v>
      </c>
      <c r="T641" s="5"/>
    </row>
    <row r="642" customFormat="false" ht="15" hidden="false" customHeight="true" outlineLevel="0" collapsed="false">
      <c r="A642" s="4" t="n">
        <v>641</v>
      </c>
      <c r="B642" s="6" t="s">
        <v>1787</v>
      </c>
      <c r="C642" s="6" t="s">
        <v>2450</v>
      </c>
      <c r="D642" s="6" t="s">
        <v>2451</v>
      </c>
      <c r="E642" s="7" t="s">
        <v>21</v>
      </c>
      <c r="F642" s="6" t="s">
        <v>2601</v>
      </c>
      <c r="G642" s="6" t="s">
        <v>2495</v>
      </c>
      <c r="H642" s="6" t="s">
        <v>2496</v>
      </c>
      <c r="I642" s="6" t="s">
        <v>2502</v>
      </c>
      <c r="J642" s="6" t="s">
        <v>150</v>
      </c>
      <c r="K642" s="5"/>
      <c r="L642" s="4" t="s">
        <v>27</v>
      </c>
      <c r="M642" s="8" t="s">
        <v>79</v>
      </c>
      <c r="N642" s="9" t="s">
        <v>2483</v>
      </c>
      <c r="O642" s="5"/>
      <c r="P642" s="5"/>
      <c r="Q642" s="6" t="s">
        <v>30</v>
      </c>
      <c r="R642" s="4" t="s">
        <v>31</v>
      </c>
      <c r="S642" s="7" t="s">
        <v>32</v>
      </c>
      <c r="T642" s="5"/>
    </row>
    <row r="643" customFormat="false" ht="29.25" hidden="false" customHeight="true" outlineLevel="0" collapsed="false">
      <c r="A643" s="4" t="n">
        <v>642</v>
      </c>
      <c r="B643" s="6" t="s">
        <v>1787</v>
      </c>
      <c r="C643" s="6" t="s">
        <v>2450</v>
      </c>
      <c r="D643" s="6" t="s">
        <v>2451</v>
      </c>
      <c r="E643" s="7" t="s">
        <v>21</v>
      </c>
      <c r="F643" s="6" t="s">
        <v>2602</v>
      </c>
      <c r="G643" s="6" t="s">
        <v>2495</v>
      </c>
      <c r="H643" s="6" t="s">
        <v>2496</v>
      </c>
      <c r="I643" s="6" t="s">
        <v>2502</v>
      </c>
      <c r="J643" s="6" t="s">
        <v>150</v>
      </c>
      <c r="K643" s="5"/>
      <c r="L643" s="4" t="s">
        <v>27</v>
      </c>
      <c r="M643" s="8" t="s">
        <v>28</v>
      </c>
      <c r="N643" s="9" t="s">
        <v>2457</v>
      </c>
      <c r="O643" s="5"/>
      <c r="P643" s="5"/>
      <c r="Q643" s="6" t="s">
        <v>30</v>
      </c>
      <c r="R643" s="4" t="s">
        <v>31</v>
      </c>
      <c r="S643" s="7" t="s">
        <v>32</v>
      </c>
      <c r="T643" s="5"/>
    </row>
    <row r="644" customFormat="false" ht="15" hidden="false" customHeight="true" outlineLevel="0" collapsed="false">
      <c r="A644" s="4" t="n">
        <v>643</v>
      </c>
      <c r="B644" s="6" t="s">
        <v>1787</v>
      </c>
      <c r="C644" s="6" t="s">
        <v>2450</v>
      </c>
      <c r="D644" s="6" t="s">
        <v>2451</v>
      </c>
      <c r="E644" s="7" t="s">
        <v>21</v>
      </c>
      <c r="F644" s="6" t="s">
        <v>2603</v>
      </c>
      <c r="G644" s="6" t="s">
        <v>2495</v>
      </c>
      <c r="H644" s="6" t="s">
        <v>2496</v>
      </c>
      <c r="I644" s="6" t="s">
        <v>2502</v>
      </c>
      <c r="J644" s="6" t="s">
        <v>150</v>
      </c>
      <c r="K644" s="5"/>
      <c r="L644" s="4" t="s">
        <v>27</v>
      </c>
      <c r="M644" s="8" t="s">
        <v>79</v>
      </c>
      <c r="N644" s="9" t="s">
        <v>2483</v>
      </c>
      <c r="O644" s="5"/>
      <c r="P644" s="5"/>
      <c r="Q644" s="6" t="s">
        <v>30</v>
      </c>
      <c r="R644" s="4" t="s">
        <v>31</v>
      </c>
      <c r="S644" s="7" t="s">
        <v>32</v>
      </c>
      <c r="T644" s="5"/>
    </row>
    <row r="645" customFormat="false" ht="15" hidden="false" customHeight="true" outlineLevel="0" collapsed="false">
      <c r="A645" s="4" t="n">
        <v>644</v>
      </c>
      <c r="B645" s="6" t="s">
        <v>1787</v>
      </c>
      <c r="C645" s="6" t="s">
        <v>2450</v>
      </c>
      <c r="D645" s="6" t="s">
        <v>2451</v>
      </c>
      <c r="E645" s="7" t="s">
        <v>21</v>
      </c>
      <c r="F645" s="6" t="s">
        <v>2604</v>
      </c>
      <c r="G645" s="6" t="s">
        <v>2495</v>
      </c>
      <c r="H645" s="6" t="s">
        <v>2496</v>
      </c>
      <c r="I645" s="6" t="s">
        <v>2502</v>
      </c>
      <c r="J645" s="6" t="s">
        <v>150</v>
      </c>
      <c r="K645" s="5"/>
      <c r="L645" s="4" t="s">
        <v>27</v>
      </c>
      <c r="M645" s="8" t="s">
        <v>79</v>
      </c>
      <c r="N645" s="9" t="s">
        <v>2457</v>
      </c>
      <c r="O645" s="5"/>
      <c r="P645" s="5"/>
      <c r="Q645" s="6" t="s">
        <v>30</v>
      </c>
      <c r="R645" s="4" t="s">
        <v>31</v>
      </c>
      <c r="S645" s="7" t="s">
        <v>32</v>
      </c>
      <c r="T645" s="5"/>
    </row>
    <row r="646" customFormat="false" ht="29.25" hidden="false" customHeight="true" outlineLevel="0" collapsed="false">
      <c r="A646" s="4" t="n">
        <v>645</v>
      </c>
      <c r="B646" s="6" t="s">
        <v>1787</v>
      </c>
      <c r="C646" s="6" t="s">
        <v>2450</v>
      </c>
      <c r="D646" s="6" t="s">
        <v>2451</v>
      </c>
      <c r="E646" s="7" t="s">
        <v>21</v>
      </c>
      <c r="F646" s="6" t="s">
        <v>2605</v>
      </c>
      <c r="G646" s="6" t="s">
        <v>2606</v>
      </c>
      <c r="H646" s="6" t="s">
        <v>2607</v>
      </c>
      <c r="I646" s="6" t="s">
        <v>2608</v>
      </c>
      <c r="J646" s="6" t="s">
        <v>2609</v>
      </c>
      <c r="K646" s="5"/>
      <c r="L646" s="4" t="s">
        <v>27</v>
      </c>
      <c r="M646" s="8" t="s">
        <v>79</v>
      </c>
      <c r="N646" s="9" t="s">
        <v>2483</v>
      </c>
      <c r="O646" s="5"/>
      <c r="P646" s="5"/>
      <c r="Q646" s="6" t="s">
        <v>30</v>
      </c>
      <c r="R646" s="4" t="s">
        <v>31</v>
      </c>
      <c r="S646" s="7" t="s">
        <v>32</v>
      </c>
      <c r="T646" s="5"/>
    </row>
    <row r="647" customFormat="false" ht="43.5" hidden="false" customHeight="true" outlineLevel="0" collapsed="false">
      <c r="A647" s="4" t="n">
        <v>646</v>
      </c>
      <c r="B647" s="6" t="s">
        <v>1787</v>
      </c>
      <c r="C647" s="6" t="s">
        <v>2450</v>
      </c>
      <c r="D647" s="6" t="s">
        <v>2451</v>
      </c>
      <c r="E647" s="7" t="s">
        <v>21</v>
      </c>
      <c r="F647" s="6" t="s">
        <v>2610</v>
      </c>
      <c r="G647" s="6" t="s">
        <v>2535</v>
      </c>
      <c r="H647" s="6" t="s">
        <v>2611</v>
      </c>
      <c r="I647" s="6" t="s">
        <v>2612</v>
      </c>
      <c r="J647" s="6" t="s">
        <v>150</v>
      </c>
      <c r="K647" s="5"/>
      <c r="L647" s="4" t="s">
        <v>51</v>
      </c>
      <c r="M647" s="8" t="s">
        <v>28</v>
      </c>
      <c r="N647" s="9" t="s">
        <v>2483</v>
      </c>
      <c r="O647" s="5"/>
      <c r="P647" s="5"/>
      <c r="Q647" s="6" t="s">
        <v>30</v>
      </c>
      <c r="R647" s="4" t="s">
        <v>31</v>
      </c>
      <c r="S647" s="7" t="s">
        <v>32</v>
      </c>
      <c r="T647" s="5"/>
    </row>
    <row r="648" customFormat="false" ht="15" hidden="false" customHeight="true" outlineLevel="0" collapsed="false">
      <c r="A648" s="4" t="n">
        <v>647</v>
      </c>
      <c r="B648" s="6" t="s">
        <v>1787</v>
      </c>
      <c r="C648" s="6" t="s">
        <v>2450</v>
      </c>
      <c r="D648" s="6" t="s">
        <v>2451</v>
      </c>
      <c r="E648" s="7" t="s">
        <v>21</v>
      </c>
      <c r="F648" s="5" t="s">
        <v>2613</v>
      </c>
      <c r="G648" s="6" t="s">
        <v>2614</v>
      </c>
      <c r="H648" s="6" t="s">
        <v>2615</v>
      </c>
      <c r="I648" s="6" t="s">
        <v>2616</v>
      </c>
      <c r="J648" s="6" t="s">
        <v>150</v>
      </c>
      <c r="K648" s="5"/>
      <c r="L648" s="4" t="s">
        <v>27</v>
      </c>
      <c r="M648" s="8" t="s">
        <v>28</v>
      </c>
      <c r="N648" s="9" t="s">
        <v>2457</v>
      </c>
      <c r="O648" s="5"/>
      <c r="P648" s="5"/>
      <c r="Q648" s="6" t="s">
        <v>30</v>
      </c>
      <c r="R648" s="4" t="s">
        <v>31</v>
      </c>
      <c r="S648" s="7" t="s">
        <v>32</v>
      </c>
      <c r="T648" s="5"/>
    </row>
    <row r="649" customFormat="false" ht="29.25" hidden="false" customHeight="true" outlineLevel="0" collapsed="false">
      <c r="A649" s="4" t="n">
        <v>648</v>
      </c>
      <c r="B649" s="6" t="s">
        <v>1787</v>
      </c>
      <c r="C649" s="6" t="s">
        <v>2450</v>
      </c>
      <c r="D649" s="6" t="s">
        <v>2451</v>
      </c>
      <c r="E649" s="7" t="s">
        <v>21</v>
      </c>
      <c r="F649" s="6" t="s">
        <v>2617</v>
      </c>
      <c r="G649" s="6" t="s">
        <v>2614</v>
      </c>
      <c r="H649" s="6" t="s">
        <v>2615</v>
      </c>
      <c r="I649" s="6" t="s">
        <v>2616</v>
      </c>
      <c r="J649" s="6" t="s">
        <v>150</v>
      </c>
      <c r="K649" s="5"/>
      <c r="L649" s="4" t="s">
        <v>27</v>
      </c>
      <c r="M649" s="8" t="s">
        <v>79</v>
      </c>
      <c r="N649" s="9" t="s">
        <v>2457</v>
      </c>
      <c r="O649" s="5"/>
      <c r="P649" s="5"/>
      <c r="Q649" s="6" t="s">
        <v>30</v>
      </c>
      <c r="R649" s="4" t="s">
        <v>31</v>
      </c>
      <c r="S649" s="7" t="s">
        <v>32</v>
      </c>
      <c r="T649" s="5"/>
    </row>
    <row r="650" customFormat="false" ht="15" hidden="false" customHeight="true" outlineLevel="0" collapsed="false">
      <c r="A650" s="4" t="n">
        <v>649</v>
      </c>
      <c r="B650" s="6" t="s">
        <v>1787</v>
      </c>
      <c r="C650" s="6" t="s">
        <v>2450</v>
      </c>
      <c r="D650" s="6" t="s">
        <v>2451</v>
      </c>
      <c r="E650" s="7" t="s">
        <v>21</v>
      </c>
      <c r="F650" s="6" t="s">
        <v>2618</v>
      </c>
      <c r="G650" s="6" t="s">
        <v>2535</v>
      </c>
      <c r="H650" s="6" t="s">
        <v>2536</v>
      </c>
      <c r="I650" s="6" t="s">
        <v>2619</v>
      </c>
      <c r="J650" s="6" t="s">
        <v>322</v>
      </c>
      <c r="K650" s="5"/>
      <c r="L650" s="4" t="s">
        <v>51</v>
      </c>
      <c r="M650" s="8" t="s">
        <v>79</v>
      </c>
      <c r="N650" s="9" t="s">
        <v>2620</v>
      </c>
      <c r="O650" s="5"/>
      <c r="P650" s="5"/>
      <c r="Q650" s="6" t="s">
        <v>30</v>
      </c>
      <c r="R650" s="4" t="s">
        <v>31</v>
      </c>
      <c r="S650" s="7" t="s">
        <v>32</v>
      </c>
      <c r="T650" s="5"/>
    </row>
    <row r="651" customFormat="false" ht="29.25" hidden="false" customHeight="true" outlineLevel="0" collapsed="false">
      <c r="A651" s="4" t="n">
        <v>650</v>
      </c>
      <c r="B651" s="6" t="s">
        <v>1787</v>
      </c>
      <c r="C651" s="6" t="s">
        <v>2450</v>
      </c>
      <c r="D651" s="6" t="s">
        <v>2451</v>
      </c>
      <c r="E651" s="7" t="s">
        <v>21</v>
      </c>
      <c r="F651" s="6" t="s">
        <v>2621</v>
      </c>
      <c r="G651" s="5" t="s">
        <v>2622</v>
      </c>
      <c r="H651" s="5" t="s">
        <v>2623</v>
      </c>
      <c r="I651" s="5" t="s">
        <v>2624</v>
      </c>
      <c r="J651" s="6" t="s">
        <v>150</v>
      </c>
      <c r="K651" s="5"/>
      <c r="L651" s="4" t="s">
        <v>51</v>
      </c>
      <c r="M651" s="8" t="s">
        <v>79</v>
      </c>
      <c r="N651" s="9" t="s">
        <v>2457</v>
      </c>
      <c r="O651" s="5"/>
      <c r="P651" s="5"/>
      <c r="Q651" s="6" t="s">
        <v>30</v>
      </c>
      <c r="R651" s="4" t="s">
        <v>31</v>
      </c>
      <c r="S651" s="7" t="s">
        <v>32</v>
      </c>
      <c r="T651" s="5"/>
    </row>
    <row r="652" customFormat="false" ht="15" hidden="false" customHeight="true" outlineLevel="0" collapsed="false">
      <c r="A652" s="4" t="n">
        <v>651</v>
      </c>
      <c r="B652" s="6" t="s">
        <v>1787</v>
      </c>
      <c r="C652" s="6" t="s">
        <v>2450</v>
      </c>
      <c r="D652" s="6" t="s">
        <v>2451</v>
      </c>
      <c r="E652" s="7" t="s">
        <v>21</v>
      </c>
      <c r="F652" s="6" t="s">
        <v>2625</v>
      </c>
      <c r="G652" s="6" t="s">
        <v>2626</v>
      </c>
      <c r="H652" s="6" t="s">
        <v>2627</v>
      </c>
      <c r="I652" s="6" t="s">
        <v>2628</v>
      </c>
      <c r="J652" s="6" t="s">
        <v>2629</v>
      </c>
      <c r="K652" s="5"/>
      <c r="L652" s="4" t="s">
        <v>44</v>
      </c>
      <c r="M652" s="8" t="s">
        <v>129</v>
      </c>
      <c r="N652" s="9" t="s">
        <v>2457</v>
      </c>
      <c r="O652" s="5"/>
      <c r="P652" s="5"/>
      <c r="Q652" s="6" t="s">
        <v>30</v>
      </c>
      <c r="R652" s="4" t="s">
        <v>31</v>
      </c>
      <c r="S652" s="7" t="s">
        <v>32</v>
      </c>
      <c r="T652" s="5"/>
    </row>
    <row r="653" customFormat="false" ht="29.25" hidden="false" customHeight="true" outlineLevel="0" collapsed="false">
      <c r="A653" s="4" t="n">
        <v>652</v>
      </c>
      <c r="B653" s="6" t="s">
        <v>1787</v>
      </c>
      <c r="C653" s="6" t="s">
        <v>2450</v>
      </c>
      <c r="D653" s="6" t="s">
        <v>2451</v>
      </c>
      <c r="E653" s="7" t="s">
        <v>21</v>
      </c>
      <c r="F653" s="6" t="s">
        <v>2630</v>
      </c>
      <c r="G653" s="6" t="s">
        <v>2631</v>
      </c>
      <c r="H653" s="6" t="s">
        <v>2632</v>
      </c>
      <c r="I653" s="6" t="s">
        <v>2633</v>
      </c>
      <c r="J653" s="6" t="s">
        <v>2634</v>
      </c>
      <c r="K653" s="5"/>
      <c r="L653" s="4" t="s">
        <v>27</v>
      </c>
      <c r="M653" s="8" t="s">
        <v>79</v>
      </c>
      <c r="N653" s="9" t="s">
        <v>2620</v>
      </c>
      <c r="O653" s="5"/>
      <c r="P653" s="5"/>
      <c r="Q653" s="6" t="s">
        <v>30</v>
      </c>
      <c r="R653" s="4" t="s">
        <v>31</v>
      </c>
      <c r="S653" s="7" t="s">
        <v>32</v>
      </c>
      <c r="T653" s="5"/>
    </row>
    <row r="654" customFormat="false" ht="15" hidden="false" customHeight="true" outlineLevel="0" collapsed="false">
      <c r="A654" s="4" t="n">
        <v>653</v>
      </c>
      <c r="B654" s="6" t="s">
        <v>1787</v>
      </c>
      <c r="C654" s="6" t="s">
        <v>2450</v>
      </c>
      <c r="D654" s="6" t="s">
        <v>2451</v>
      </c>
      <c r="E654" s="7" t="s">
        <v>21</v>
      </c>
      <c r="F654" s="6" t="s">
        <v>2635</v>
      </c>
      <c r="G654" s="6" t="s">
        <v>2631</v>
      </c>
      <c r="H654" s="6" t="s">
        <v>2632</v>
      </c>
      <c r="I654" s="6" t="s">
        <v>2633</v>
      </c>
      <c r="J654" s="6" t="s">
        <v>2634</v>
      </c>
      <c r="K654" s="5"/>
      <c r="L654" s="4" t="s">
        <v>27</v>
      </c>
      <c r="M654" s="8" t="s">
        <v>129</v>
      </c>
      <c r="N654" s="9" t="s">
        <v>2620</v>
      </c>
      <c r="O654" s="5"/>
      <c r="P654" s="5"/>
      <c r="Q654" s="6" t="s">
        <v>30</v>
      </c>
      <c r="R654" s="4" t="s">
        <v>31</v>
      </c>
      <c r="S654" s="7" t="s">
        <v>32</v>
      </c>
      <c r="T654" s="5"/>
    </row>
    <row r="655" customFormat="false" ht="15" hidden="false" customHeight="true" outlineLevel="0" collapsed="false">
      <c r="A655" s="4" t="n">
        <v>654</v>
      </c>
      <c r="B655" s="6" t="s">
        <v>1787</v>
      </c>
      <c r="C655" s="6" t="s">
        <v>2450</v>
      </c>
      <c r="D655" s="6" t="s">
        <v>2451</v>
      </c>
      <c r="E655" s="7" t="s">
        <v>21</v>
      </c>
      <c r="F655" s="6" t="s">
        <v>2636</v>
      </c>
      <c r="G655" s="6" t="s">
        <v>2637</v>
      </c>
      <c r="H655" s="6" t="s">
        <v>2638</v>
      </c>
      <c r="I655" s="6" t="s">
        <v>2639</v>
      </c>
      <c r="J655" s="6" t="s">
        <v>150</v>
      </c>
      <c r="K655" s="5"/>
      <c r="L655" s="4" t="s">
        <v>62</v>
      </c>
      <c r="M655" s="8" t="s">
        <v>129</v>
      </c>
      <c r="N655" s="9" t="s">
        <v>2620</v>
      </c>
      <c r="O655" s="5"/>
      <c r="P655" s="5"/>
      <c r="Q655" s="6" t="s">
        <v>30</v>
      </c>
      <c r="R655" s="4" t="s">
        <v>31</v>
      </c>
      <c r="S655" s="7" t="s">
        <v>32</v>
      </c>
      <c r="T655" s="5"/>
    </row>
    <row r="656" customFormat="false" ht="15" hidden="false" customHeight="true" outlineLevel="0" collapsed="false">
      <c r="A656" s="4" t="n">
        <v>655</v>
      </c>
      <c r="B656" s="6" t="s">
        <v>1787</v>
      </c>
      <c r="C656" s="6" t="s">
        <v>2450</v>
      </c>
      <c r="D656" s="6" t="s">
        <v>2451</v>
      </c>
      <c r="E656" s="7" t="s">
        <v>21</v>
      </c>
      <c r="F656" s="6" t="s">
        <v>2640</v>
      </c>
      <c r="G656" s="6" t="s">
        <v>2641</v>
      </c>
      <c r="H656" s="6" t="s">
        <v>2642</v>
      </c>
      <c r="I656" s="6" t="s">
        <v>2643</v>
      </c>
      <c r="J656" s="6" t="s">
        <v>150</v>
      </c>
      <c r="K656" s="5"/>
      <c r="L656" s="4" t="s">
        <v>27</v>
      </c>
      <c r="M656" s="8" t="s">
        <v>79</v>
      </c>
      <c r="N656" s="9" t="s">
        <v>2620</v>
      </c>
      <c r="O656" s="5"/>
      <c r="P656" s="5"/>
      <c r="Q656" s="6" t="s">
        <v>30</v>
      </c>
      <c r="R656" s="4" t="s">
        <v>31</v>
      </c>
      <c r="S656" s="7" t="s">
        <v>32</v>
      </c>
      <c r="T656" s="5"/>
    </row>
    <row r="657" customFormat="false" ht="15" hidden="false" customHeight="true" outlineLevel="0" collapsed="false">
      <c r="A657" s="4" t="n">
        <v>656</v>
      </c>
      <c r="B657" s="6" t="s">
        <v>1787</v>
      </c>
      <c r="C657" s="6" t="s">
        <v>2450</v>
      </c>
      <c r="D657" s="6" t="s">
        <v>2451</v>
      </c>
      <c r="E657" s="7" t="s">
        <v>21</v>
      </c>
      <c r="F657" s="6" t="s">
        <v>2644</v>
      </c>
      <c r="G657" s="6" t="s">
        <v>2645</v>
      </c>
      <c r="H657" s="6" t="s">
        <v>2646</v>
      </c>
      <c r="I657" s="6" t="s">
        <v>2647</v>
      </c>
      <c r="J657" s="6" t="s">
        <v>150</v>
      </c>
      <c r="K657" s="5"/>
      <c r="L657" s="4" t="s">
        <v>62</v>
      </c>
      <c r="M657" s="8" t="s">
        <v>129</v>
      </c>
      <c r="N657" s="9" t="s">
        <v>2620</v>
      </c>
      <c r="O657" s="5"/>
      <c r="P657" s="5"/>
      <c r="Q657" s="6" t="s">
        <v>30</v>
      </c>
      <c r="R657" s="4" t="s">
        <v>31</v>
      </c>
      <c r="S657" s="7" t="s">
        <v>32</v>
      </c>
      <c r="T657" s="5"/>
    </row>
    <row r="658" customFormat="false" ht="15" hidden="false" customHeight="true" outlineLevel="0" collapsed="false">
      <c r="A658" s="4" t="n">
        <v>657</v>
      </c>
      <c r="B658" s="6" t="s">
        <v>1787</v>
      </c>
      <c r="C658" s="6" t="s">
        <v>2450</v>
      </c>
      <c r="D658" s="6" t="s">
        <v>2451</v>
      </c>
      <c r="E658" s="7" t="s">
        <v>21</v>
      </c>
      <c r="F658" s="6" t="s">
        <v>2648</v>
      </c>
      <c r="G658" s="6" t="s">
        <v>2649</v>
      </c>
      <c r="H658" s="6" t="s">
        <v>2650</v>
      </c>
      <c r="I658" s="6" t="s">
        <v>2651</v>
      </c>
      <c r="J658" s="6" t="s">
        <v>322</v>
      </c>
      <c r="K658" s="5"/>
      <c r="L658" s="4" t="s">
        <v>27</v>
      </c>
      <c r="M658" s="8" t="s">
        <v>129</v>
      </c>
      <c r="N658" s="9" t="s">
        <v>2620</v>
      </c>
      <c r="O658" s="5"/>
      <c r="P658" s="5"/>
      <c r="Q658" s="6" t="s">
        <v>30</v>
      </c>
      <c r="R658" s="4" t="s">
        <v>31</v>
      </c>
      <c r="S658" s="7" t="s">
        <v>32</v>
      </c>
      <c r="T658" s="5"/>
    </row>
    <row r="659" customFormat="false" ht="15" hidden="false" customHeight="true" outlineLevel="0" collapsed="false">
      <c r="A659" s="4" t="n">
        <v>658</v>
      </c>
      <c r="B659" s="6" t="s">
        <v>1787</v>
      </c>
      <c r="C659" s="6" t="s">
        <v>2450</v>
      </c>
      <c r="D659" s="6" t="s">
        <v>2451</v>
      </c>
      <c r="E659" s="7" t="s">
        <v>21</v>
      </c>
      <c r="F659" s="6" t="s">
        <v>2652</v>
      </c>
      <c r="G659" s="6" t="s">
        <v>2653</v>
      </c>
      <c r="H659" s="6" t="s">
        <v>2654</v>
      </c>
      <c r="I659" s="6" t="s">
        <v>2655</v>
      </c>
      <c r="J659" s="6" t="s">
        <v>2656</v>
      </c>
      <c r="K659" s="5"/>
      <c r="L659" s="4" t="s">
        <v>51</v>
      </c>
      <c r="M659" s="8" t="s">
        <v>129</v>
      </c>
      <c r="N659" s="9" t="s">
        <v>2620</v>
      </c>
      <c r="O659" s="5"/>
      <c r="P659" s="5"/>
      <c r="Q659" s="6" t="s">
        <v>30</v>
      </c>
      <c r="R659" s="4" t="s">
        <v>31</v>
      </c>
      <c r="S659" s="7" t="s">
        <v>32</v>
      </c>
      <c r="T659" s="5"/>
    </row>
    <row r="660" customFormat="false" ht="15" hidden="false" customHeight="true" outlineLevel="0" collapsed="false">
      <c r="A660" s="4" t="n">
        <v>659</v>
      </c>
      <c r="B660" s="6" t="s">
        <v>1787</v>
      </c>
      <c r="C660" s="6" t="s">
        <v>2450</v>
      </c>
      <c r="D660" s="6" t="s">
        <v>2451</v>
      </c>
      <c r="E660" s="7" t="s">
        <v>21</v>
      </c>
      <c r="F660" s="6" t="s">
        <v>2657</v>
      </c>
      <c r="G660" s="6" t="s">
        <v>2658</v>
      </c>
      <c r="H660" s="6" t="s">
        <v>2659</v>
      </c>
      <c r="I660" s="6" t="s">
        <v>2660</v>
      </c>
      <c r="J660" s="6" t="s">
        <v>2661</v>
      </c>
      <c r="K660" s="5"/>
      <c r="L660" s="4" t="s">
        <v>62</v>
      </c>
      <c r="M660" s="8" t="s">
        <v>129</v>
      </c>
      <c r="N660" s="9" t="s">
        <v>2620</v>
      </c>
      <c r="O660" s="5"/>
      <c r="P660" s="5"/>
      <c r="Q660" s="6" t="s">
        <v>30</v>
      </c>
      <c r="R660" s="4" t="s">
        <v>31</v>
      </c>
      <c r="S660" s="7" t="s">
        <v>32</v>
      </c>
      <c r="T660" s="5"/>
    </row>
    <row r="661" customFormat="false" ht="29.25" hidden="false" customHeight="true" outlineLevel="0" collapsed="false">
      <c r="A661" s="4" t="n">
        <v>660</v>
      </c>
      <c r="B661" s="6" t="s">
        <v>1787</v>
      </c>
      <c r="C661" s="6" t="s">
        <v>2450</v>
      </c>
      <c r="D661" s="6" t="s">
        <v>2451</v>
      </c>
      <c r="E661" s="7" t="s">
        <v>21</v>
      </c>
      <c r="F661" s="6" t="s">
        <v>2662</v>
      </c>
      <c r="G661" s="6" t="s">
        <v>2663</v>
      </c>
      <c r="H661" s="6" t="s">
        <v>2664</v>
      </c>
      <c r="I661" s="6" t="s">
        <v>2665</v>
      </c>
      <c r="J661" s="6" t="s">
        <v>150</v>
      </c>
      <c r="K661" s="5"/>
      <c r="L661" s="4" t="s">
        <v>51</v>
      </c>
      <c r="M661" s="8" t="s">
        <v>79</v>
      </c>
      <c r="N661" s="9" t="s">
        <v>2620</v>
      </c>
      <c r="O661" s="5"/>
      <c r="P661" s="5"/>
      <c r="Q661" s="6" t="s">
        <v>30</v>
      </c>
      <c r="R661" s="4" t="s">
        <v>31</v>
      </c>
      <c r="S661" s="7" t="s">
        <v>32</v>
      </c>
      <c r="T661" s="5"/>
    </row>
    <row r="662" customFormat="false" ht="15" hidden="false" customHeight="true" outlineLevel="0" collapsed="false">
      <c r="A662" s="4" t="n">
        <v>661</v>
      </c>
      <c r="B662" s="6" t="s">
        <v>1787</v>
      </c>
      <c r="C662" s="6" t="s">
        <v>2450</v>
      </c>
      <c r="D662" s="6" t="s">
        <v>2451</v>
      </c>
      <c r="E662" s="7" t="s">
        <v>21</v>
      </c>
      <c r="F662" s="6" t="s">
        <v>2666</v>
      </c>
      <c r="G662" s="5" t="s">
        <v>2667</v>
      </c>
      <c r="H662" s="5" t="s">
        <v>2668</v>
      </c>
      <c r="I662" s="5" t="s">
        <v>2669</v>
      </c>
      <c r="J662" s="6" t="s">
        <v>150</v>
      </c>
      <c r="K662" s="5"/>
      <c r="L662" s="4" t="s">
        <v>51</v>
      </c>
      <c r="M662" s="8" t="s">
        <v>28</v>
      </c>
      <c r="N662" s="9" t="s">
        <v>2620</v>
      </c>
      <c r="O662" s="5"/>
      <c r="P662" s="5"/>
      <c r="Q662" s="6" t="s">
        <v>30</v>
      </c>
      <c r="R662" s="4" t="s">
        <v>31</v>
      </c>
      <c r="S662" s="7" t="s">
        <v>32</v>
      </c>
      <c r="T662" s="5"/>
    </row>
    <row r="663" customFormat="false" ht="29.25" hidden="false" customHeight="true" outlineLevel="0" collapsed="false">
      <c r="A663" s="4" t="n">
        <v>662</v>
      </c>
      <c r="B663" s="6" t="s">
        <v>1787</v>
      </c>
      <c r="C663" s="6" t="s">
        <v>2450</v>
      </c>
      <c r="D663" s="6" t="s">
        <v>2451</v>
      </c>
      <c r="E663" s="7" t="s">
        <v>21</v>
      </c>
      <c r="F663" s="6" t="s">
        <v>2670</v>
      </c>
      <c r="G663" s="5" t="s">
        <v>2671</v>
      </c>
      <c r="H663" s="5" t="s">
        <v>2672</v>
      </c>
      <c r="I663" s="5" t="s">
        <v>2673</v>
      </c>
      <c r="J663" s="5" t="s">
        <v>2674</v>
      </c>
      <c r="K663" s="5"/>
      <c r="L663" s="4" t="s">
        <v>27</v>
      </c>
      <c r="M663" s="8" t="s">
        <v>79</v>
      </c>
      <c r="N663" s="9" t="s">
        <v>2620</v>
      </c>
      <c r="O663" s="5"/>
      <c r="P663" s="5"/>
      <c r="Q663" s="6" t="s">
        <v>30</v>
      </c>
      <c r="R663" s="4" t="s">
        <v>31</v>
      </c>
      <c r="S663" s="7" t="s">
        <v>32</v>
      </c>
      <c r="T663" s="5"/>
    </row>
    <row r="664" customFormat="false" ht="29.25" hidden="false" customHeight="true" outlineLevel="0" collapsed="false">
      <c r="A664" s="4" t="n">
        <v>663</v>
      </c>
      <c r="B664" s="6" t="s">
        <v>1787</v>
      </c>
      <c r="C664" s="6" t="s">
        <v>2450</v>
      </c>
      <c r="D664" s="6" t="s">
        <v>2451</v>
      </c>
      <c r="E664" s="7" t="s">
        <v>21</v>
      </c>
      <c r="F664" s="6" t="s">
        <v>2675</v>
      </c>
      <c r="G664" s="5" t="s">
        <v>2671</v>
      </c>
      <c r="H664" s="5" t="s">
        <v>2672</v>
      </c>
      <c r="I664" s="5" t="s">
        <v>2673</v>
      </c>
      <c r="J664" s="5" t="s">
        <v>2674</v>
      </c>
      <c r="K664" s="5"/>
      <c r="L664" s="4" t="s">
        <v>44</v>
      </c>
      <c r="M664" s="8" t="s">
        <v>79</v>
      </c>
      <c r="N664" s="9" t="s">
        <v>2620</v>
      </c>
      <c r="O664" s="5"/>
      <c r="P664" s="5"/>
      <c r="Q664" s="6" t="s">
        <v>30</v>
      </c>
      <c r="R664" s="4" t="s">
        <v>31</v>
      </c>
      <c r="S664" s="7" t="s">
        <v>32</v>
      </c>
      <c r="T664" s="5"/>
    </row>
    <row r="665" customFormat="false" ht="29.25" hidden="false" customHeight="true" outlineLevel="0" collapsed="false">
      <c r="A665" s="4" t="n">
        <v>664</v>
      </c>
      <c r="B665" s="6" t="s">
        <v>1787</v>
      </c>
      <c r="C665" s="6" t="s">
        <v>2450</v>
      </c>
      <c r="D665" s="6" t="s">
        <v>2451</v>
      </c>
      <c r="E665" s="7" t="s">
        <v>21</v>
      </c>
      <c r="F665" s="6" t="s">
        <v>2676</v>
      </c>
      <c r="G665" s="5" t="s">
        <v>2677</v>
      </c>
      <c r="H665" s="5" t="s">
        <v>2678</v>
      </c>
      <c r="I665" s="5" t="s">
        <v>2679</v>
      </c>
      <c r="J665" s="5" t="s">
        <v>2680</v>
      </c>
      <c r="K665" s="5"/>
      <c r="L665" s="4" t="s">
        <v>27</v>
      </c>
      <c r="M665" s="8" t="s">
        <v>79</v>
      </c>
      <c r="N665" s="9" t="s">
        <v>2620</v>
      </c>
      <c r="O665" s="5"/>
      <c r="P665" s="5"/>
      <c r="Q665" s="6" t="s">
        <v>30</v>
      </c>
      <c r="R665" s="4" t="s">
        <v>31</v>
      </c>
      <c r="S665" s="7" t="s">
        <v>32</v>
      </c>
      <c r="T665" s="5"/>
    </row>
    <row r="666" customFormat="false" ht="29.25" hidden="false" customHeight="true" outlineLevel="0" collapsed="false">
      <c r="A666" s="4" t="n">
        <v>665</v>
      </c>
      <c r="B666" s="6" t="s">
        <v>1787</v>
      </c>
      <c r="C666" s="6" t="s">
        <v>2450</v>
      </c>
      <c r="D666" s="6" t="s">
        <v>2451</v>
      </c>
      <c r="E666" s="7" t="s">
        <v>21</v>
      </c>
      <c r="F666" s="6" t="s">
        <v>2681</v>
      </c>
      <c r="G666" s="5" t="s">
        <v>2677</v>
      </c>
      <c r="H666" s="5" t="s">
        <v>2678</v>
      </c>
      <c r="I666" s="5" t="s">
        <v>2679</v>
      </c>
      <c r="J666" s="5" t="s">
        <v>2680</v>
      </c>
      <c r="K666" s="5"/>
      <c r="L666" s="4" t="s">
        <v>27</v>
      </c>
      <c r="M666" s="8" t="s">
        <v>79</v>
      </c>
      <c r="N666" s="9" t="s">
        <v>2620</v>
      </c>
      <c r="O666" s="5"/>
      <c r="P666" s="5"/>
      <c r="Q666" s="6" t="s">
        <v>30</v>
      </c>
      <c r="R666" s="4" t="s">
        <v>31</v>
      </c>
      <c r="S666" s="7" t="s">
        <v>32</v>
      </c>
      <c r="T666" s="5"/>
    </row>
    <row r="667" customFormat="false" ht="29.25" hidden="false" customHeight="true" outlineLevel="0" collapsed="false">
      <c r="A667" s="4" t="n">
        <v>666</v>
      </c>
      <c r="B667" s="6" t="s">
        <v>1787</v>
      </c>
      <c r="C667" s="6" t="s">
        <v>2450</v>
      </c>
      <c r="D667" s="6" t="s">
        <v>2451</v>
      </c>
      <c r="E667" s="7" t="s">
        <v>21</v>
      </c>
      <c r="F667" s="6" t="s">
        <v>2682</v>
      </c>
      <c r="G667" s="6" t="s">
        <v>2683</v>
      </c>
      <c r="H667" s="6" t="s">
        <v>2684</v>
      </c>
      <c r="I667" s="6" t="s">
        <v>2685</v>
      </c>
      <c r="J667" s="6" t="s">
        <v>150</v>
      </c>
      <c r="K667" s="5"/>
      <c r="L667" s="4" t="s">
        <v>27</v>
      </c>
      <c r="M667" s="8" t="s">
        <v>79</v>
      </c>
      <c r="N667" s="9" t="s">
        <v>2620</v>
      </c>
      <c r="O667" s="5"/>
      <c r="P667" s="5"/>
      <c r="Q667" s="6" t="s">
        <v>30</v>
      </c>
      <c r="R667" s="4" t="s">
        <v>31</v>
      </c>
      <c r="S667" s="7" t="s">
        <v>32</v>
      </c>
      <c r="T667" s="5"/>
    </row>
    <row r="668" customFormat="false" ht="29.25" hidden="false" customHeight="true" outlineLevel="0" collapsed="false">
      <c r="A668" s="4" t="n">
        <v>667</v>
      </c>
      <c r="B668" s="6" t="s">
        <v>1787</v>
      </c>
      <c r="C668" s="6" t="s">
        <v>2450</v>
      </c>
      <c r="D668" s="6" t="s">
        <v>2451</v>
      </c>
      <c r="E668" s="7" t="s">
        <v>21</v>
      </c>
      <c r="F668" s="6" t="s">
        <v>2686</v>
      </c>
      <c r="G668" s="6" t="s">
        <v>2683</v>
      </c>
      <c r="H668" s="6" t="s">
        <v>2684</v>
      </c>
      <c r="I668" s="6" t="s">
        <v>2685</v>
      </c>
      <c r="J668" s="6" t="s">
        <v>150</v>
      </c>
      <c r="K668" s="5"/>
      <c r="L668" s="4" t="s">
        <v>51</v>
      </c>
      <c r="M668" s="8" t="s">
        <v>79</v>
      </c>
      <c r="N668" s="9" t="s">
        <v>2620</v>
      </c>
      <c r="O668" s="5"/>
      <c r="P668" s="5"/>
      <c r="Q668" s="6" t="s">
        <v>30</v>
      </c>
      <c r="R668" s="4" t="s">
        <v>31</v>
      </c>
      <c r="S668" s="7" t="s">
        <v>32</v>
      </c>
      <c r="T668" s="5"/>
    </row>
    <row r="669" customFormat="false" ht="29.25" hidden="false" customHeight="true" outlineLevel="0" collapsed="false">
      <c r="A669" s="4" t="n">
        <v>668</v>
      </c>
      <c r="B669" s="6" t="s">
        <v>1787</v>
      </c>
      <c r="C669" s="6" t="s">
        <v>2450</v>
      </c>
      <c r="D669" s="6" t="s">
        <v>2451</v>
      </c>
      <c r="E669" s="7" t="s">
        <v>21</v>
      </c>
      <c r="F669" s="6" t="s">
        <v>2687</v>
      </c>
      <c r="G669" s="5" t="s">
        <v>2688</v>
      </c>
      <c r="H669" s="5" t="s">
        <v>896</v>
      </c>
      <c r="I669" s="5" t="s">
        <v>729</v>
      </c>
      <c r="J669" s="5" t="s">
        <v>895</v>
      </c>
      <c r="K669" s="5"/>
      <c r="L669" s="4" t="s">
        <v>27</v>
      </c>
      <c r="M669" s="8" t="s">
        <v>129</v>
      </c>
      <c r="N669" s="9" t="s">
        <v>2689</v>
      </c>
      <c r="O669" s="5"/>
      <c r="P669" s="5"/>
      <c r="Q669" s="6" t="s">
        <v>30</v>
      </c>
      <c r="R669" s="4" t="s">
        <v>31</v>
      </c>
      <c r="S669" s="7" t="s">
        <v>32</v>
      </c>
      <c r="T669" s="5"/>
    </row>
    <row r="670" customFormat="false" ht="15" hidden="false" customHeight="true" outlineLevel="0" collapsed="false">
      <c r="A670" s="4" t="n">
        <v>669</v>
      </c>
      <c r="B670" s="6" t="s">
        <v>1787</v>
      </c>
      <c r="C670" s="6" t="s">
        <v>2450</v>
      </c>
      <c r="D670" s="6" t="s">
        <v>2451</v>
      </c>
      <c r="E670" s="7" t="s">
        <v>21</v>
      </c>
      <c r="F670" s="6" t="s">
        <v>2690</v>
      </c>
      <c r="G670" s="6" t="s">
        <v>2691</v>
      </c>
      <c r="H670" s="6" t="s">
        <v>2692</v>
      </c>
      <c r="I670" s="6" t="s">
        <v>2693</v>
      </c>
      <c r="J670" s="6" t="s">
        <v>78</v>
      </c>
      <c r="K670" s="5"/>
      <c r="L670" s="4" t="s">
        <v>44</v>
      </c>
      <c r="M670" s="8" t="s">
        <v>79</v>
      </c>
      <c r="N670" s="9" t="s">
        <v>2620</v>
      </c>
      <c r="O670" s="5"/>
      <c r="P670" s="5"/>
      <c r="Q670" s="6" t="s">
        <v>30</v>
      </c>
      <c r="R670" s="4" t="s">
        <v>31</v>
      </c>
      <c r="S670" s="7" t="s">
        <v>32</v>
      </c>
      <c r="T670" s="5"/>
    </row>
    <row r="671" customFormat="false" ht="15" hidden="false" customHeight="true" outlineLevel="0" collapsed="false">
      <c r="A671" s="4" t="n">
        <v>670</v>
      </c>
      <c r="B671" s="6" t="s">
        <v>1787</v>
      </c>
      <c r="C671" s="6" t="s">
        <v>2450</v>
      </c>
      <c r="D671" s="6" t="s">
        <v>2451</v>
      </c>
      <c r="E671" s="7" t="s">
        <v>21</v>
      </c>
      <c r="F671" s="6" t="s">
        <v>2694</v>
      </c>
      <c r="G671" s="6" t="s">
        <v>2695</v>
      </c>
      <c r="H671" s="6" t="s">
        <v>2696</v>
      </c>
      <c r="I671" s="6" t="s">
        <v>2685</v>
      </c>
      <c r="J671" s="6" t="s">
        <v>2697</v>
      </c>
      <c r="K671" s="5"/>
      <c r="L671" s="4" t="s">
        <v>27</v>
      </c>
      <c r="M671" s="8" t="s">
        <v>129</v>
      </c>
      <c r="N671" s="9" t="s">
        <v>2620</v>
      </c>
      <c r="O671" s="5"/>
      <c r="P671" s="5"/>
      <c r="Q671" s="6" t="s">
        <v>30</v>
      </c>
      <c r="R671" s="4" t="s">
        <v>31</v>
      </c>
      <c r="S671" s="7" t="s">
        <v>32</v>
      </c>
      <c r="T671" s="5"/>
    </row>
    <row r="672" customFormat="false" ht="15" hidden="false" customHeight="true" outlineLevel="0" collapsed="false">
      <c r="A672" s="4" t="n">
        <v>671</v>
      </c>
      <c r="B672" s="6" t="s">
        <v>1787</v>
      </c>
      <c r="C672" s="6" t="s">
        <v>2450</v>
      </c>
      <c r="D672" s="6" t="s">
        <v>2451</v>
      </c>
      <c r="E672" s="7" t="s">
        <v>21</v>
      </c>
      <c r="F672" s="6" t="s">
        <v>2698</v>
      </c>
      <c r="G672" s="6" t="s">
        <v>2699</v>
      </c>
      <c r="H672" s="6" t="s">
        <v>2700</v>
      </c>
      <c r="I672" s="6" t="s">
        <v>2701</v>
      </c>
      <c r="J672" s="6" t="s">
        <v>150</v>
      </c>
      <c r="K672" s="5"/>
      <c r="L672" s="4" t="s">
        <v>51</v>
      </c>
      <c r="M672" s="8" t="s">
        <v>79</v>
      </c>
      <c r="N672" s="9" t="s">
        <v>2620</v>
      </c>
      <c r="O672" s="5"/>
      <c r="P672" s="5"/>
      <c r="Q672" s="6" t="s">
        <v>30</v>
      </c>
      <c r="R672" s="4" t="s">
        <v>31</v>
      </c>
      <c r="S672" s="7" t="s">
        <v>32</v>
      </c>
      <c r="T672" s="5"/>
    </row>
    <row r="673" customFormat="false" ht="29.25" hidden="false" customHeight="true" outlineLevel="0" collapsed="false">
      <c r="A673" s="4" t="n">
        <v>672</v>
      </c>
      <c r="B673" s="6" t="s">
        <v>1787</v>
      </c>
      <c r="C673" s="6" t="s">
        <v>2450</v>
      </c>
      <c r="D673" s="6" t="s">
        <v>2451</v>
      </c>
      <c r="E673" s="7" t="s">
        <v>21</v>
      </c>
      <c r="F673" s="6" t="s">
        <v>2702</v>
      </c>
      <c r="G673" s="6" t="s">
        <v>2703</v>
      </c>
      <c r="H673" s="6" t="s">
        <v>2704</v>
      </c>
      <c r="I673" s="5" t="s">
        <v>2705</v>
      </c>
      <c r="J673" s="6" t="s">
        <v>2612</v>
      </c>
      <c r="K673" s="5"/>
      <c r="L673" s="4" t="s">
        <v>62</v>
      </c>
      <c r="M673" s="8" t="s">
        <v>79</v>
      </c>
      <c r="N673" s="9" t="s">
        <v>2457</v>
      </c>
      <c r="O673" s="5"/>
      <c r="P673" s="5"/>
      <c r="Q673" s="6" t="s">
        <v>30</v>
      </c>
      <c r="R673" s="4" t="s">
        <v>31</v>
      </c>
      <c r="S673" s="7" t="s">
        <v>32</v>
      </c>
      <c r="T673" s="5"/>
    </row>
    <row r="674" customFormat="false" ht="15" hidden="false" customHeight="true" outlineLevel="0" collapsed="false">
      <c r="A674" s="4" t="n">
        <v>673</v>
      </c>
      <c r="B674" s="6" t="s">
        <v>1787</v>
      </c>
      <c r="C674" s="6" t="s">
        <v>2450</v>
      </c>
      <c r="D674" s="6" t="s">
        <v>2451</v>
      </c>
      <c r="E674" s="7" t="s">
        <v>21</v>
      </c>
      <c r="F674" s="6" t="s">
        <v>2706</v>
      </c>
      <c r="G674" s="6" t="s">
        <v>2707</v>
      </c>
      <c r="H674" s="6" t="s">
        <v>2708</v>
      </c>
      <c r="I674" s="6" t="s">
        <v>2709</v>
      </c>
      <c r="J674" s="6" t="s">
        <v>2710</v>
      </c>
      <c r="K674" s="5"/>
      <c r="L674" s="4" t="s">
        <v>51</v>
      </c>
      <c r="M674" s="8" t="s">
        <v>129</v>
      </c>
      <c r="N674" s="9" t="s">
        <v>2620</v>
      </c>
      <c r="O674" s="5"/>
      <c r="P674" s="5"/>
      <c r="Q674" s="6" t="s">
        <v>30</v>
      </c>
      <c r="R674" s="4" t="s">
        <v>31</v>
      </c>
      <c r="S674" s="7" t="s">
        <v>32</v>
      </c>
      <c r="T674" s="5"/>
    </row>
    <row r="675" customFormat="false" ht="29.25" hidden="false" customHeight="true" outlineLevel="0" collapsed="false">
      <c r="A675" s="4" t="n">
        <v>674</v>
      </c>
      <c r="B675" s="6" t="s">
        <v>1787</v>
      </c>
      <c r="C675" s="6" t="s">
        <v>2450</v>
      </c>
      <c r="D675" s="6" t="s">
        <v>2451</v>
      </c>
      <c r="E675" s="7" t="s">
        <v>21</v>
      </c>
      <c r="F675" s="6" t="s">
        <v>2711</v>
      </c>
      <c r="G675" s="6" t="s">
        <v>2712</v>
      </c>
      <c r="H675" s="6" t="s">
        <v>2713</v>
      </c>
      <c r="I675" s="6" t="s">
        <v>2714</v>
      </c>
      <c r="J675" s="6" t="s">
        <v>2656</v>
      </c>
      <c r="K675" s="5"/>
      <c r="L675" s="4" t="s">
        <v>44</v>
      </c>
      <c r="M675" s="8" t="s">
        <v>79</v>
      </c>
      <c r="N675" s="9" t="s">
        <v>2620</v>
      </c>
      <c r="O675" s="5"/>
      <c r="P675" s="5"/>
      <c r="Q675" s="6" t="s">
        <v>30</v>
      </c>
      <c r="R675" s="4" t="s">
        <v>31</v>
      </c>
      <c r="S675" s="7" t="s">
        <v>32</v>
      </c>
      <c r="T675" s="5"/>
    </row>
    <row r="676" customFormat="false" ht="29.25" hidden="false" customHeight="true" outlineLevel="0" collapsed="false">
      <c r="A676" s="4" t="n">
        <v>675</v>
      </c>
      <c r="B676" s="6" t="s">
        <v>1787</v>
      </c>
      <c r="C676" s="6" t="s">
        <v>2450</v>
      </c>
      <c r="D676" s="6" t="s">
        <v>2451</v>
      </c>
      <c r="E676" s="7" t="s">
        <v>21</v>
      </c>
      <c r="F676" s="6" t="s">
        <v>2715</v>
      </c>
      <c r="G676" s="6" t="s">
        <v>2716</v>
      </c>
      <c r="H676" s="6" t="s">
        <v>2717</v>
      </c>
      <c r="I676" s="6" t="s">
        <v>2718</v>
      </c>
      <c r="J676" s="6" t="s">
        <v>2719</v>
      </c>
      <c r="K676" s="5"/>
      <c r="L676" s="4" t="s">
        <v>27</v>
      </c>
      <c r="M676" s="8" t="s">
        <v>79</v>
      </c>
      <c r="N676" s="9" t="s">
        <v>2457</v>
      </c>
      <c r="O676" s="5"/>
      <c r="P676" s="5"/>
      <c r="Q676" s="6" t="s">
        <v>30</v>
      </c>
      <c r="R676" s="4" t="s">
        <v>31</v>
      </c>
      <c r="S676" s="7" t="s">
        <v>32</v>
      </c>
      <c r="T676" s="5"/>
    </row>
    <row r="677" customFormat="false" ht="15" hidden="false" customHeight="true" outlineLevel="0" collapsed="false">
      <c r="A677" s="4" t="n">
        <v>676</v>
      </c>
      <c r="B677" s="6" t="s">
        <v>1787</v>
      </c>
      <c r="C677" s="6" t="s">
        <v>2450</v>
      </c>
      <c r="D677" s="6" t="s">
        <v>2451</v>
      </c>
      <c r="E677" s="7" t="s">
        <v>21</v>
      </c>
      <c r="F677" s="6" t="s">
        <v>2720</v>
      </c>
      <c r="G677" s="6" t="s">
        <v>2712</v>
      </c>
      <c r="H677" s="6" t="s">
        <v>2713</v>
      </c>
      <c r="I677" s="6" t="s">
        <v>2714</v>
      </c>
      <c r="J677" s="6" t="s">
        <v>322</v>
      </c>
      <c r="K677" s="5"/>
      <c r="L677" s="4" t="s">
        <v>44</v>
      </c>
      <c r="M677" s="8" t="s">
        <v>79</v>
      </c>
      <c r="N677" s="9" t="s">
        <v>2457</v>
      </c>
      <c r="O677" s="5"/>
      <c r="P677" s="5"/>
      <c r="Q677" s="6" t="s">
        <v>30</v>
      </c>
      <c r="R677" s="4" t="s">
        <v>31</v>
      </c>
      <c r="S677" s="7" t="s">
        <v>32</v>
      </c>
      <c r="T677" s="5"/>
    </row>
    <row r="678" customFormat="false" ht="15" hidden="false" customHeight="true" outlineLevel="0" collapsed="false">
      <c r="A678" s="4" t="n">
        <v>677</v>
      </c>
      <c r="B678" s="6" t="s">
        <v>1787</v>
      </c>
      <c r="C678" s="6" t="s">
        <v>2450</v>
      </c>
      <c r="D678" s="6" t="s">
        <v>2451</v>
      </c>
      <c r="E678" s="7" t="s">
        <v>21</v>
      </c>
      <c r="F678" s="6" t="s">
        <v>2721</v>
      </c>
      <c r="G678" s="6" t="s">
        <v>2722</v>
      </c>
      <c r="H678" s="6" t="s">
        <v>2723</v>
      </c>
      <c r="I678" s="6" t="s">
        <v>2724</v>
      </c>
      <c r="J678" s="6" t="s">
        <v>150</v>
      </c>
      <c r="K678" s="5"/>
      <c r="L678" s="4" t="s">
        <v>62</v>
      </c>
      <c r="M678" s="8" t="s">
        <v>79</v>
      </c>
      <c r="N678" s="9" t="s">
        <v>2457</v>
      </c>
      <c r="O678" s="5"/>
      <c r="P678" s="5"/>
      <c r="Q678" s="6" t="s">
        <v>30</v>
      </c>
      <c r="R678" s="4" t="s">
        <v>31</v>
      </c>
      <c r="S678" s="7" t="s">
        <v>32</v>
      </c>
      <c r="T678" s="5"/>
    </row>
    <row r="679" customFormat="false" ht="15" hidden="false" customHeight="true" outlineLevel="0" collapsed="false">
      <c r="A679" s="4" t="n">
        <v>678</v>
      </c>
      <c r="B679" s="6" t="s">
        <v>1787</v>
      </c>
      <c r="C679" s="6" t="s">
        <v>2450</v>
      </c>
      <c r="D679" s="6" t="s">
        <v>2451</v>
      </c>
      <c r="E679" s="7" t="s">
        <v>21</v>
      </c>
      <c r="F679" s="6" t="s">
        <v>2725</v>
      </c>
      <c r="G679" s="6" t="s">
        <v>2714</v>
      </c>
      <c r="H679" s="6" t="s">
        <v>2712</v>
      </c>
      <c r="I679" s="6" t="s">
        <v>2726</v>
      </c>
      <c r="J679" s="6" t="s">
        <v>2713</v>
      </c>
      <c r="K679" s="5"/>
      <c r="L679" s="4" t="s">
        <v>27</v>
      </c>
      <c r="M679" s="8" t="s">
        <v>129</v>
      </c>
      <c r="N679" s="9" t="s">
        <v>2457</v>
      </c>
      <c r="O679" s="5"/>
      <c r="P679" s="5"/>
      <c r="Q679" s="6" t="s">
        <v>30</v>
      </c>
      <c r="R679" s="4" t="s">
        <v>31</v>
      </c>
      <c r="S679" s="7" t="s">
        <v>32</v>
      </c>
      <c r="T679" s="5"/>
    </row>
    <row r="680" customFormat="false" ht="15" hidden="false" customHeight="true" outlineLevel="0" collapsed="false">
      <c r="A680" s="4" t="n">
        <v>679</v>
      </c>
      <c r="B680" s="6" t="s">
        <v>1787</v>
      </c>
      <c r="C680" s="6" t="s">
        <v>2450</v>
      </c>
      <c r="D680" s="6" t="s">
        <v>2451</v>
      </c>
      <c r="E680" s="7" t="s">
        <v>21</v>
      </c>
      <c r="F680" s="6" t="s">
        <v>2727</v>
      </c>
      <c r="G680" s="6" t="s">
        <v>2712</v>
      </c>
      <c r="H680" s="6" t="s">
        <v>2728</v>
      </c>
      <c r="I680" s="6" t="s">
        <v>2714</v>
      </c>
      <c r="J680" s="6" t="s">
        <v>2729</v>
      </c>
      <c r="K680" s="5"/>
      <c r="L680" s="4" t="s">
        <v>51</v>
      </c>
      <c r="M680" s="8" t="s">
        <v>129</v>
      </c>
      <c r="N680" s="9" t="s">
        <v>2620</v>
      </c>
      <c r="O680" s="5"/>
      <c r="P680" s="5"/>
      <c r="Q680" s="6" t="s">
        <v>30</v>
      </c>
      <c r="R680" s="4" t="s">
        <v>31</v>
      </c>
      <c r="S680" s="7" t="s">
        <v>32</v>
      </c>
      <c r="T680" s="5"/>
    </row>
    <row r="681" customFormat="false" ht="29.25" hidden="false" customHeight="true" outlineLevel="0" collapsed="false">
      <c r="A681" s="4" t="n">
        <v>680</v>
      </c>
      <c r="B681" s="6" t="s">
        <v>1787</v>
      </c>
      <c r="C681" s="6" t="s">
        <v>2450</v>
      </c>
      <c r="D681" s="6" t="s">
        <v>2451</v>
      </c>
      <c r="E681" s="7" t="s">
        <v>21</v>
      </c>
      <c r="F681" s="6" t="s">
        <v>2730</v>
      </c>
      <c r="G681" s="5" t="s">
        <v>2731</v>
      </c>
      <c r="H681" s="5" t="s">
        <v>2732</v>
      </c>
      <c r="I681" s="5" t="s">
        <v>2733</v>
      </c>
      <c r="J681" s="5" t="s">
        <v>2622</v>
      </c>
      <c r="K681" s="5"/>
      <c r="L681" s="4" t="s">
        <v>44</v>
      </c>
      <c r="M681" s="8" t="s">
        <v>79</v>
      </c>
      <c r="N681" s="9" t="s">
        <v>2457</v>
      </c>
      <c r="O681" s="5"/>
      <c r="P681" s="5"/>
      <c r="Q681" s="6" t="s">
        <v>30</v>
      </c>
      <c r="R681" s="4" t="s">
        <v>31</v>
      </c>
      <c r="S681" s="7" t="s">
        <v>32</v>
      </c>
      <c r="T681" s="5"/>
    </row>
    <row r="682" customFormat="false" ht="29.25" hidden="false" customHeight="true" outlineLevel="0" collapsed="false">
      <c r="A682" s="4" t="n">
        <v>681</v>
      </c>
      <c r="B682" s="6" t="s">
        <v>1787</v>
      </c>
      <c r="C682" s="6" t="s">
        <v>2450</v>
      </c>
      <c r="D682" s="6" t="s">
        <v>2451</v>
      </c>
      <c r="E682" s="7" t="s">
        <v>21</v>
      </c>
      <c r="F682" s="6" t="s">
        <v>2734</v>
      </c>
      <c r="G682" s="6" t="s">
        <v>2729</v>
      </c>
      <c r="H682" s="6" t="s">
        <v>2735</v>
      </c>
      <c r="I682" s="6" t="s">
        <v>2714</v>
      </c>
      <c r="J682" s="6" t="s">
        <v>150</v>
      </c>
      <c r="K682" s="5"/>
      <c r="L682" s="4" t="s">
        <v>62</v>
      </c>
      <c r="M682" s="8" t="s">
        <v>28</v>
      </c>
      <c r="N682" s="9" t="s">
        <v>2736</v>
      </c>
      <c r="O682" s="5"/>
      <c r="P682" s="5"/>
      <c r="Q682" s="6" t="s">
        <v>30</v>
      </c>
      <c r="R682" s="4" t="s">
        <v>31</v>
      </c>
      <c r="S682" s="7" t="s">
        <v>32</v>
      </c>
      <c r="T682" s="5"/>
    </row>
    <row r="683" customFormat="false" ht="15" hidden="false" customHeight="true" outlineLevel="0" collapsed="false">
      <c r="A683" s="4" t="n">
        <v>682</v>
      </c>
      <c r="B683" s="6" t="s">
        <v>1787</v>
      </c>
      <c r="C683" s="6" t="s">
        <v>2450</v>
      </c>
      <c r="D683" s="6" t="s">
        <v>2451</v>
      </c>
      <c r="E683" s="7" t="s">
        <v>21</v>
      </c>
      <c r="F683" s="6" t="s">
        <v>2737</v>
      </c>
      <c r="G683" s="6" t="s">
        <v>2712</v>
      </c>
      <c r="H683" s="6" t="s">
        <v>2729</v>
      </c>
      <c r="I683" s="6" t="s">
        <v>2714</v>
      </c>
      <c r="J683" s="6" t="s">
        <v>2713</v>
      </c>
      <c r="K683" s="5"/>
      <c r="L683" s="4" t="s">
        <v>62</v>
      </c>
      <c r="M683" s="8" t="s">
        <v>129</v>
      </c>
      <c r="N683" s="9" t="s">
        <v>2457</v>
      </c>
      <c r="O683" s="5"/>
      <c r="P683" s="5"/>
      <c r="Q683" s="6" t="s">
        <v>30</v>
      </c>
      <c r="R683" s="4" t="s">
        <v>31</v>
      </c>
      <c r="S683" s="7" t="s">
        <v>32</v>
      </c>
      <c r="T683" s="5"/>
    </row>
    <row r="684" customFormat="false" ht="15" hidden="false" customHeight="true" outlineLevel="0" collapsed="false">
      <c r="A684" s="4" t="n">
        <v>683</v>
      </c>
      <c r="B684" s="6" t="s">
        <v>1787</v>
      </c>
      <c r="C684" s="6" t="s">
        <v>2450</v>
      </c>
      <c r="D684" s="6" t="s">
        <v>2451</v>
      </c>
      <c r="E684" s="7" t="s">
        <v>21</v>
      </c>
      <c r="F684" s="6" t="s">
        <v>2738</v>
      </c>
      <c r="G684" s="6" t="s">
        <v>2739</v>
      </c>
      <c r="H684" s="6" t="s">
        <v>2740</v>
      </c>
      <c r="I684" s="6" t="s">
        <v>2741</v>
      </c>
      <c r="J684" s="6" t="s">
        <v>2742</v>
      </c>
      <c r="K684" s="5"/>
      <c r="L684" s="4" t="s">
        <v>27</v>
      </c>
      <c r="M684" s="8" t="s">
        <v>129</v>
      </c>
      <c r="N684" s="9" t="s">
        <v>2457</v>
      </c>
      <c r="O684" s="5"/>
      <c r="P684" s="5"/>
      <c r="Q684" s="6" t="s">
        <v>30</v>
      </c>
      <c r="R684" s="4" t="s">
        <v>31</v>
      </c>
      <c r="S684" s="7" t="s">
        <v>32</v>
      </c>
      <c r="T684" s="5"/>
    </row>
    <row r="685" customFormat="false" ht="15" hidden="false" customHeight="true" outlineLevel="0" collapsed="false">
      <c r="A685" s="4" t="n">
        <v>684</v>
      </c>
      <c r="B685" s="6" t="s">
        <v>1787</v>
      </c>
      <c r="C685" s="6" t="s">
        <v>2450</v>
      </c>
      <c r="D685" s="6" t="s">
        <v>2451</v>
      </c>
      <c r="E685" s="7" t="s">
        <v>21</v>
      </c>
      <c r="F685" s="6" t="s">
        <v>2743</v>
      </c>
      <c r="G685" s="6" t="s">
        <v>2739</v>
      </c>
      <c r="H685" s="6" t="s">
        <v>2740</v>
      </c>
      <c r="I685" s="6" t="s">
        <v>2741</v>
      </c>
      <c r="J685" s="6" t="s">
        <v>2742</v>
      </c>
      <c r="K685" s="5"/>
      <c r="L685" s="4" t="s">
        <v>27</v>
      </c>
      <c r="M685" s="8" t="s">
        <v>129</v>
      </c>
      <c r="N685" s="9" t="s">
        <v>2457</v>
      </c>
      <c r="O685" s="5"/>
      <c r="P685" s="5"/>
      <c r="Q685" s="6" t="s">
        <v>30</v>
      </c>
      <c r="R685" s="4" t="s">
        <v>31</v>
      </c>
      <c r="S685" s="7" t="s">
        <v>32</v>
      </c>
      <c r="T685" s="5"/>
    </row>
    <row r="686" customFormat="false" ht="15" hidden="false" customHeight="true" outlineLevel="0" collapsed="false">
      <c r="A686" s="4" t="n">
        <v>685</v>
      </c>
      <c r="B686" s="6" t="s">
        <v>1787</v>
      </c>
      <c r="C686" s="6" t="s">
        <v>2450</v>
      </c>
      <c r="D686" s="6" t="s">
        <v>2451</v>
      </c>
      <c r="E686" s="7" t="s">
        <v>21</v>
      </c>
      <c r="F686" s="6" t="s">
        <v>2744</v>
      </c>
      <c r="G686" s="6" t="s">
        <v>2739</v>
      </c>
      <c r="H686" s="6" t="s">
        <v>2740</v>
      </c>
      <c r="I686" s="6" t="s">
        <v>2741</v>
      </c>
      <c r="J686" s="6" t="s">
        <v>2742</v>
      </c>
      <c r="K686" s="5"/>
      <c r="L686" s="4" t="s">
        <v>27</v>
      </c>
      <c r="M686" s="8" t="s">
        <v>129</v>
      </c>
      <c r="N686" s="9" t="s">
        <v>2457</v>
      </c>
      <c r="O686" s="5"/>
      <c r="P686" s="5"/>
      <c r="Q686" s="6" t="s">
        <v>30</v>
      </c>
      <c r="R686" s="4" t="s">
        <v>31</v>
      </c>
      <c r="S686" s="7" t="s">
        <v>32</v>
      </c>
      <c r="T686" s="5"/>
    </row>
    <row r="687" customFormat="false" ht="15" hidden="false" customHeight="true" outlineLevel="0" collapsed="false">
      <c r="A687" s="4" t="n">
        <v>686</v>
      </c>
      <c r="B687" s="6" t="s">
        <v>1787</v>
      </c>
      <c r="C687" s="6" t="s">
        <v>2450</v>
      </c>
      <c r="D687" s="6" t="s">
        <v>2451</v>
      </c>
      <c r="E687" s="7" t="s">
        <v>21</v>
      </c>
      <c r="F687" s="6" t="s">
        <v>2745</v>
      </c>
      <c r="G687" s="5" t="s">
        <v>896</v>
      </c>
      <c r="H687" s="5" t="s">
        <v>2746</v>
      </c>
      <c r="I687" s="5" t="s">
        <v>2747</v>
      </c>
      <c r="J687" s="5" t="s">
        <v>2688</v>
      </c>
      <c r="K687" s="5"/>
      <c r="L687" s="4" t="s">
        <v>44</v>
      </c>
      <c r="M687" s="8" t="s">
        <v>129</v>
      </c>
      <c r="N687" s="9" t="s">
        <v>2457</v>
      </c>
      <c r="O687" s="5"/>
      <c r="P687" s="5"/>
      <c r="Q687" s="6" t="s">
        <v>30</v>
      </c>
      <c r="R687" s="4" t="s">
        <v>31</v>
      </c>
      <c r="S687" s="7" t="s">
        <v>32</v>
      </c>
      <c r="T687" s="5"/>
    </row>
    <row r="688" customFormat="false" ht="15" hidden="false" customHeight="true" outlineLevel="0" collapsed="false">
      <c r="A688" s="4" t="n">
        <v>687</v>
      </c>
      <c r="B688" s="6" t="s">
        <v>1787</v>
      </c>
      <c r="C688" s="6" t="s">
        <v>2450</v>
      </c>
      <c r="D688" s="6" t="s">
        <v>2451</v>
      </c>
      <c r="E688" s="7" t="s">
        <v>21</v>
      </c>
      <c r="F688" s="6" t="s">
        <v>2748</v>
      </c>
      <c r="G688" s="6" t="s">
        <v>2490</v>
      </c>
      <c r="H688" s="6" t="s">
        <v>2749</v>
      </c>
      <c r="I688" s="6" t="s">
        <v>2750</v>
      </c>
      <c r="J688" s="6" t="s">
        <v>2751</v>
      </c>
      <c r="K688" s="5"/>
      <c r="L688" s="4" t="s">
        <v>27</v>
      </c>
      <c r="M688" s="8" t="s">
        <v>129</v>
      </c>
      <c r="N688" s="9" t="s">
        <v>2457</v>
      </c>
      <c r="O688" s="5"/>
      <c r="P688" s="5"/>
      <c r="Q688" s="6" t="s">
        <v>30</v>
      </c>
      <c r="R688" s="4" t="s">
        <v>31</v>
      </c>
      <c r="S688" s="7" t="s">
        <v>32</v>
      </c>
      <c r="T688" s="5"/>
    </row>
    <row r="689" customFormat="false" ht="15" hidden="false" customHeight="true" outlineLevel="0" collapsed="false">
      <c r="A689" s="4" t="n">
        <v>688</v>
      </c>
      <c r="B689" s="6" t="s">
        <v>1787</v>
      </c>
      <c r="C689" s="6" t="s">
        <v>2450</v>
      </c>
      <c r="D689" s="6" t="s">
        <v>2451</v>
      </c>
      <c r="E689" s="7" t="s">
        <v>21</v>
      </c>
      <c r="F689" s="6" t="s">
        <v>2752</v>
      </c>
      <c r="G689" s="6" t="s">
        <v>2753</v>
      </c>
      <c r="H689" s="6" t="s">
        <v>2754</v>
      </c>
      <c r="I689" s="6" t="s">
        <v>2755</v>
      </c>
      <c r="J689" s="6" t="s">
        <v>78</v>
      </c>
      <c r="K689" s="5"/>
      <c r="L689" s="4" t="s">
        <v>27</v>
      </c>
      <c r="M689" s="8" t="s">
        <v>79</v>
      </c>
      <c r="N689" s="9" t="s">
        <v>2457</v>
      </c>
      <c r="O689" s="5"/>
      <c r="P689" s="5"/>
      <c r="Q689" s="6" t="s">
        <v>30</v>
      </c>
      <c r="R689" s="4" t="s">
        <v>31</v>
      </c>
      <c r="S689" s="7" t="s">
        <v>32</v>
      </c>
      <c r="T689" s="5"/>
    </row>
    <row r="690" customFormat="false" ht="29.25" hidden="false" customHeight="true" outlineLevel="0" collapsed="false">
      <c r="A690" s="4" t="n">
        <v>689</v>
      </c>
      <c r="B690" s="6" t="s">
        <v>1787</v>
      </c>
      <c r="C690" s="6" t="s">
        <v>2450</v>
      </c>
      <c r="D690" s="6" t="s">
        <v>2451</v>
      </c>
      <c r="E690" s="7" t="s">
        <v>21</v>
      </c>
      <c r="F690" s="6" t="s">
        <v>2756</v>
      </c>
      <c r="G690" s="6" t="s">
        <v>2757</v>
      </c>
      <c r="H690" s="6" t="s">
        <v>2758</v>
      </c>
      <c r="I690" s="6" t="s">
        <v>2759</v>
      </c>
      <c r="J690" s="6" t="s">
        <v>78</v>
      </c>
      <c r="K690" s="5"/>
      <c r="L690" s="4" t="s">
        <v>44</v>
      </c>
      <c r="M690" s="8" t="s">
        <v>79</v>
      </c>
      <c r="N690" s="9" t="s">
        <v>2457</v>
      </c>
      <c r="O690" s="5"/>
      <c r="P690" s="5"/>
      <c r="Q690" s="6" t="s">
        <v>30</v>
      </c>
      <c r="R690" s="4" t="s">
        <v>31</v>
      </c>
      <c r="S690" s="7" t="s">
        <v>32</v>
      </c>
      <c r="T690" s="5"/>
    </row>
    <row r="691" customFormat="false" ht="15" hidden="false" customHeight="true" outlineLevel="0" collapsed="false">
      <c r="A691" s="4" t="n">
        <v>690</v>
      </c>
      <c r="B691" s="6" t="s">
        <v>1787</v>
      </c>
      <c r="C691" s="6" t="s">
        <v>2450</v>
      </c>
      <c r="D691" s="6" t="s">
        <v>2451</v>
      </c>
      <c r="E691" s="7" t="s">
        <v>21</v>
      </c>
      <c r="F691" s="6" t="s">
        <v>2760</v>
      </c>
      <c r="G691" s="6" t="s">
        <v>2656</v>
      </c>
      <c r="H691" s="6" t="s">
        <v>2761</v>
      </c>
      <c r="I691" s="6" t="s">
        <v>2713</v>
      </c>
      <c r="J691" s="6" t="s">
        <v>2714</v>
      </c>
      <c r="K691" s="5"/>
      <c r="L691" s="4" t="s">
        <v>62</v>
      </c>
      <c r="M691" s="8" t="s">
        <v>129</v>
      </c>
      <c r="N691" s="9" t="s">
        <v>2762</v>
      </c>
      <c r="O691" s="5"/>
      <c r="P691" s="5"/>
      <c r="Q691" s="6" t="s">
        <v>30</v>
      </c>
      <c r="R691" s="4" t="s">
        <v>31</v>
      </c>
      <c r="S691" s="7" t="s">
        <v>32</v>
      </c>
      <c r="T691" s="5"/>
    </row>
    <row r="692" customFormat="false" ht="29.25" hidden="false" customHeight="true" outlineLevel="0" collapsed="false">
      <c r="A692" s="4" t="n">
        <v>691</v>
      </c>
      <c r="B692" s="6" t="s">
        <v>1787</v>
      </c>
      <c r="C692" s="6" t="s">
        <v>2450</v>
      </c>
      <c r="D692" s="6" t="s">
        <v>2451</v>
      </c>
      <c r="E692" s="7" t="s">
        <v>21</v>
      </c>
      <c r="F692" s="6" t="s">
        <v>2763</v>
      </c>
      <c r="G692" s="5" t="s">
        <v>2764</v>
      </c>
      <c r="H692" s="5" t="s">
        <v>2688</v>
      </c>
      <c r="I692" s="5" t="s">
        <v>729</v>
      </c>
      <c r="J692" s="5" t="s">
        <v>313</v>
      </c>
      <c r="K692" s="5"/>
      <c r="L692" s="4" t="s">
        <v>27</v>
      </c>
      <c r="M692" s="8" t="s">
        <v>79</v>
      </c>
      <c r="N692" s="9" t="s">
        <v>2457</v>
      </c>
      <c r="O692" s="5"/>
      <c r="P692" s="5"/>
      <c r="Q692" s="6" t="s">
        <v>30</v>
      </c>
      <c r="R692" s="4" t="s">
        <v>31</v>
      </c>
      <c r="S692" s="7" t="s">
        <v>32</v>
      </c>
      <c r="T692" s="5"/>
    </row>
    <row r="693" customFormat="false" ht="29.25" hidden="false" customHeight="true" outlineLevel="0" collapsed="false">
      <c r="A693" s="4" t="n">
        <v>692</v>
      </c>
      <c r="B693" s="6" t="s">
        <v>1787</v>
      </c>
      <c r="C693" s="6" t="s">
        <v>2450</v>
      </c>
      <c r="D693" s="6" t="s">
        <v>2451</v>
      </c>
      <c r="E693" s="7" t="s">
        <v>21</v>
      </c>
      <c r="F693" s="6" t="s">
        <v>2765</v>
      </c>
      <c r="G693" s="6" t="s">
        <v>2766</v>
      </c>
      <c r="H693" s="6" t="s">
        <v>2767</v>
      </c>
      <c r="I693" s="6" t="s">
        <v>2768</v>
      </c>
      <c r="J693" s="6" t="s">
        <v>78</v>
      </c>
      <c r="K693" s="5"/>
      <c r="L693" s="4" t="s">
        <v>51</v>
      </c>
      <c r="M693" s="8" t="s">
        <v>79</v>
      </c>
      <c r="N693" s="9" t="s">
        <v>2457</v>
      </c>
      <c r="O693" s="5"/>
      <c r="P693" s="5"/>
      <c r="Q693" s="6" t="s">
        <v>30</v>
      </c>
      <c r="R693" s="4" t="s">
        <v>31</v>
      </c>
      <c r="S693" s="7" t="s">
        <v>32</v>
      </c>
      <c r="T693" s="5"/>
    </row>
    <row r="694" customFormat="false" ht="29.25" hidden="false" customHeight="true" outlineLevel="0" collapsed="false">
      <c r="A694" s="4" t="n">
        <v>693</v>
      </c>
      <c r="B694" s="6" t="s">
        <v>1787</v>
      </c>
      <c r="C694" s="6" t="s">
        <v>2450</v>
      </c>
      <c r="D694" s="6" t="s">
        <v>2451</v>
      </c>
      <c r="E694" s="7" t="s">
        <v>21</v>
      </c>
      <c r="F694" s="6" t="s">
        <v>2769</v>
      </c>
      <c r="G694" s="5" t="s">
        <v>2770</v>
      </c>
      <c r="H694" s="5" t="s">
        <v>2771</v>
      </c>
      <c r="I694" s="5" t="s">
        <v>2772</v>
      </c>
      <c r="J694" s="5" t="s">
        <v>2773</v>
      </c>
      <c r="K694" s="5"/>
      <c r="L694" s="4" t="s">
        <v>27</v>
      </c>
      <c r="M694" s="8" t="s">
        <v>28</v>
      </c>
      <c r="N694" s="9" t="s">
        <v>2762</v>
      </c>
      <c r="O694" s="5"/>
      <c r="P694" s="5"/>
      <c r="Q694" s="6" t="s">
        <v>30</v>
      </c>
      <c r="R694" s="4" t="s">
        <v>31</v>
      </c>
      <c r="S694" s="7" t="s">
        <v>32</v>
      </c>
      <c r="T694" s="5"/>
    </row>
    <row r="695" customFormat="false" ht="29.25" hidden="false" customHeight="true" outlineLevel="0" collapsed="false">
      <c r="A695" s="4" t="n">
        <v>694</v>
      </c>
      <c r="B695" s="6" t="s">
        <v>1787</v>
      </c>
      <c r="C695" s="6" t="s">
        <v>2450</v>
      </c>
      <c r="D695" s="6" t="s">
        <v>2451</v>
      </c>
      <c r="E695" s="7" t="s">
        <v>21</v>
      </c>
      <c r="F695" s="6" t="s">
        <v>2774</v>
      </c>
      <c r="G695" s="6" t="s">
        <v>2775</v>
      </c>
      <c r="H695" s="6" t="s">
        <v>2776</v>
      </c>
      <c r="I695" s="6" t="s">
        <v>2777</v>
      </c>
      <c r="J695" s="6" t="s">
        <v>150</v>
      </c>
      <c r="K695" s="5"/>
      <c r="L695" s="4" t="s">
        <v>27</v>
      </c>
      <c r="M695" s="8" t="s">
        <v>79</v>
      </c>
      <c r="N695" s="9" t="s">
        <v>2457</v>
      </c>
      <c r="O695" s="5"/>
      <c r="P695" s="5"/>
      <c r="Q695" s="6" t="s">
        <v>30</v>
      </c>
      <c r="R695" s="4" t="s">
        <v>31</v>
      </c>
      <c r="S695" s="7" t="s">
        <v>32</v>
      </c>
      <c r="T695" s="5"/>
    </row>
    <row r="696" customFormat="false" ht="15" hidden="false" customHeight="true" outlineLevel="0" collapsed="false">
      <c r="A696" s="4" t="n">
        <v>695</v>
      </c>
      <c r="B696" s="6" t="s">
        <v>1787</v>
      </c>
      <c r="C696" s="6" t="s">
        <v>2450</v>
      </c>
      <c r="D696" s="6" t="s">
        <v>2451</v>
      </c>
      <c r="E696" s="7" t="s">
        <v>21</v>
      </c>
      <c r="F696" s="6" t="s">
        <v>2778</v>
      </c>
      <c r="G696" s="6" t="s">
        <v>2779</v>
      </c>
      <c r="H696" s="6" t="s">
        <v>2780</v>
      </c>
      <c r="I696" s="6" t="s">
        <v>2781</v>
      </c>
      <c r="J696" s="6" t="s">
        <v>150</v>
      </c>
      <c r="K696" s="5"/>
      <c r="L696" s="4" t="s">
        <v>62</v>
      </c>
      <c r="M696" s="8" t="s">
        <v>79</v>
      </c>
      <c r="N696" s="9" t="s">
        <v>2457</v>
      </c>
      <c r="O696" s="5"/>
      <c r="P696" s="5"/>
      <c r="Q696" s="6" t="s">
        <v>30</v>
      </c>
      <c r="R696" s="4" t="s">
        <v>31</v>
      </c>
      <c r="S696" s="7" t="s">
        <v>32</v>
      </c>
      <c r="T696" s="5"/>
    </row>
    <row r="697" customFormat="false" ht="29.25" hidden="false" customHeight="true" outlineLevel="0" collapsed="false">
      <c r="A697" s="4" t="n">
        <v>696</v>
      </c>
      <c r="B697" s="6" t="s">
        <v>1787</v>
      </c>
      <c r="C697" s="6" t="s">
        <v>2450</v>
      </c>
      <c r="D697" s="6" t="s">
        <v>2451</v>
      </c>
      <c r="E697" s="7" t="s">
        <v>21</v>
      </c>
      <c r="F697" s="6" t="s">
        <v>2782</v>
      </c>
      <c r="G697" s="6" t="s">
        <v>2783</v>
      </c>
      <c r="H697" s="6" t="s">
        <v>2784</v>
      </c>
      <c r="I697" s="6" t="s">
        <v>2785</v>
      </c>
      <c r="J697" s="6" t="s">
        <v>2786</v>
      </c>
      <c r="K697" s="5"/>
      <c r="L697" s="4" t="s">
        <v>27</v>
      </c>
      <c r="M697" s="8" t="s">
        <v>28</v>
      </c>
      <c r="N697" s="9" t="s">
        <v>2457</v>
      </c>
      <c r="O697" s="5"/>
      <c r="P697" s="5"/>
      <c r="Q697" s="6" t="s">
        <v>30</v>
      </c>
      <c r="R697" s="4" t="s">
        <v>31</v>
      </c>
      <c r="S697" s="7" t="s">
        <v>32</v>
      </c>
      <c r="T697" s="5"/>
    </row>
    <row r="698" customFormat="false" ht="15" hidden="false" customHeight="true" outlineLevel="0" collapsed="false">
      <c r="A698" s="4" t="n">
        <v>697</v>
      </c>
      <c r="B698" s="6" t="s">
        <v>1787</v>
      </c>
      <c r="C698" s="6" t="s">
        <v>2450</v>
      </c>
      <c r="D698" s="6" t="s">
        <v>2451</v>
      </c>
      <c r="E698" s="7" t="s">
        <v>21</v>
      </c>
      <c r="F698" s="6" t="s">
        <v>2787</v>
      </c>
      <c r="G698" s="5" t="s">
        <v>176</v>
      </c>
      <c r="H698" s="5" t="s">
        <v>1235</v>
      </c>
      <c r="I698" s="5" t="s">
        <v>1224</v>
      </c>
      <c r="J698" s="5" t="s">
        <v>164</v>
      </c>
      <c r="K698" s="5"/>
      <c r="L698" s="4" t="s">
        <v>27</v>
      </c>
      <c r="M698" s="8" t="s">
        <v>129</v>
      </c>
      <c r="N698" s="9" t="s">
        <v>2457</v>
      </c>
      <c r="O698" s="5"/>
      <c r="P698" s="5"/>
      <c r="Q698" s="6" t="s">
        <v>30</v>
      </c>
      <c r="R698" s="4" t="s">
        <v>31</v>
      </c>
      <c r="S698" s="7" t="s">
        <v>32</v>
      </c>
      <c r="T698" s="5"/>
    </row>
    <row r="699" customFormat="false" ht="29.25" hidden="false" customHeight="true" outlineLevel="0" collapsed="false">
      <c r="A699" s="4" t="n">
        <v>698</v>
      </c>
      <c r="B699" s="6" t="s">
        <v>1787</v>
      </c>
      <c r="C699" s="6" t="s">
        <v>2450</v>
      </c>
      <c r="D699" s="6" t="s">
        <v>2451</v>
      </c>
      <c r="E699" s="7" t="s">
        <v>21</v>
      </c>
      <c r="F699" s="6" t="s">
        <v>2788</v>
      </c>
      <c r="G699" s="6" t="s">
        <v>2789</v>
      </c>
      <c r="H699" s="6" t="s">
        <v>2790</v>
      </c>
      <c r="I699" s="6" t="s">
        <v>2791</v>
      </c>
      <c r="J699" s="6" t="s">
        <v>2792</v>
      </c>
      <c r="K699" s="5"/>
      <c r="L699" s="4" t="s">
        <v>27</v>
      </c>
      <c r="M699" s="8" t="s">
        <v>129</v>
      </c>
      <c r="N699" s="9" t="s">
        <v>2793</v>
      </c>
      <c r="O699" s="5"/>
      <c r="P699" s="5"/>
      <c r="Q699" s="6" t="s">
        <v>30</v>
      </c>
      <c r="R699" s="4" t="s">
        <v>31</v>
      </c>
      <c r="S699" s="7" t="s">
        <v>32</v>
      </c>
      <c r="T699" s="5"/>
    </row>
    <row r="700" customFormat="false" ht="29.25" hidden="false" customHeight="true" outlineLevel="0" collapsed="false">
      <c r="A700" s="4" t="n">
        <v>699</v>
      </c>
      <c r="B700" s="6" t="s">
        <v>1787</v>
      </c>
      <c r="C700" s="6" t="s">
        <v>2450</v>
      </c>
      <c r="D700" s="6" t="s">
        <v>2451</v>
      </c>
      <c r="E700" s="7" t="s">
        <v>21</v>
      </c>
      <c r="F700" s="6" t="s">
        <v>2794</v>
      </c>
      <c r="G700" s="6" t="s">
        <v>2795</v>
      </c>
      <c r="H700" s="6" t="s">
        <v>2791</v>
      </c>
      <c r="I700" s="6" t="s">
        <v>2790</v>
      </c>
      <c r="J700" s="6" t="s">
        <v>2796</v>
      </c>
      <c r="K700" s="5"/>
      <c r="L700" s="4" t="s">
        <v>51</v>
      </c>
      <c r="M700" s="8" t="s">
        <v>79</v>
      </c>
      <c r="N700" s="9" t="s">
        <v>2736</v>
      </c>
      <c r="O700" s="5"/>
      <c r="P700" s="5"/>
      <c r="Q700" s="6" t="s">
        <v>30</v>
      </c>
      <c r="R700" s="4" t="s">
        <v>31</v>
      </c>
      <c r="S700" s="7" t="s">
        <v>32</v>
      </c>
      <c r="T700" s="5"/>
    </row>
    <row r="701" customFormat="false" ht="29.25" hidden="false" customHeight="true" outlineLevel="0" collapsed="false">
      <c r="A701" s="4" t="n">
        <v>700</v>
      </c>
      <c r="B701" s="6" t="s">
        <v>1787</v>
      </c>
      <c r="C701" s="6" t="s">
        <v>2450</v>
      </c>
      <c r="D701" s="6" t="s">
        <v>2451</v>
      </c>
      <c r="E701" s="7" t="s">
        <v>21</v>
      </c>
      <c r="F701" s="6" t="s">
        <v>2797</v>
      </c>
      <c r="G701" s="6" t="s">
        <v>2798</v>
      </c>
      <c r="H701" s="6" t="s">
        <v>2791</v>
      </c>
      <c r="I701" s="6" t="s">
        <v>2790</v>
      </c>
      <c r="J701" s="6" t="s">
        <v>2796</v>
      </c>
      <c r="K701" s="5"/>
      <c r="L701" s="4" t="s">
        <v>51</v>
      </c>
      <c r="M701" s="8" t="s">
        <v>28</v>
      </c>
      <c r="N701" s="9" t="s">
        <v>2799</v>
      </c>
      <c r="O701" s="5"/>
      <c r="P701" s="5"/>
      <c r="Q701" s="6" t="s">
        <v>30</v>
      </c>
      <c r="R701" s="4" t="s">
        <v>31</v>
      </c>
      <c r="S701" s="7" t="s">
        <v>32</v>
      </c>
      <c r="T701" s="5"/>
    </row>
    <row r="702" customFormat="false" ht="15" hidden="false" customHeight="true" outlineLevel="0" collapsed="false">
      <c r="A702" s="4" t="n">
        <v>701</v>
      </c>
      <c r="B702" s="6" t="s">
        <v>1787</v>
      </c>
      <c r="C702" s="6" t="s">
        <v>2450</v>
      </c>
      <c r="D702" s="6" t="s">
        <v>2451</v>
      </c>
      <c r="E702" s="7" t="s">
        <v>21</v>
      </c>
      <c r="F702" s="6" t="s">
        <v>2800</v>
      </c>
      <c r="G702" s="6" t="s">
        <v>2729</v>
      </c>
      <c r="H702" s="6" t="s">
        <v>2713</v>
      </c>
      <c r="I702" s="6" t="s">
        <v>2712</v>
      </c>
      <c r="J702" s="6" t="s">
        <v>2714</v>
      </c>
      <c r="K702" s="5"/>
      <c r="L702" s="4" t="s">
        <v>44</v>
      </c>
      <c r="M702" s="8" t="s">
        <v>79</v>
      </c>
      <c r="N702" s="9" t="s">
        <v>2457</v>
      </c>
      <c r="O702" s="5"/>
      <c r="P702" s="5"/>
      <c r="Q702" s="6" t="s">
        <v>30</v>
      </c>
      <c r="R702" s="4" t="s">
        <v>31</v>
      </c>
      <c r="S702" s="7" t="s">
        <v>32</v>
      </c>
      <c r="T702" s="5"/>
    </row>
    <row r="703" customFormat="false" ht="43.5" hidden="false" customHeight="true" outlineLevel="0" collapsed="false">
      <c r="A703" s="4" t="n">
        <v>702</v>
      </c>
      <c r="B703" s="6" t="s">
        <v>1787</v>
      </c>
      <c r="C703" s="6" t="s">
        <v>2450</v>
      </c>
      <c r="D703" s="6" t="s">
        <v>2451</v>
      </c>
      <c r="E703" s="7" t="s">
        <v>21</v>
      </c>
      <c r="F703" s="6" t="s">
        <v>2801</v>
      </c>
      <c r="G703" s="6" t="s">
        <v>2714</v>
      </c>
      <c r="H703" s="6" t="s">
        <v>2712</v>
      </c>
      <c r="I703" s="6" t="s">
        <v>2726</v>
      </c>
      <c r="J703" s="6" t="s">
        <v>2729</v>
      </c>
      <c r="K703" s="5"/>
      <c r="L703" s="4" t="s">
        <v>44</v>
      </c>
      <c r="M703" s="8" t="s">
        <v>28</v>
      </c>
      <c r="N703" s="9" t="s">
        <v>2457</v>
      </c>
      <c r="O703" s="5"/>
      <c r="P703" s="5"/>
      <c r="Q703" s="6" t="s">
        <v>30</v>
      </c>
      <c r="R703" s="4" t="s">
        <v>31</v>
      </c>
      <c r="S703" s="7" t="s">
        <v>32</v>
      </c>
      <c r="T703" s="5"/>
    </row>
    <row r="704" customFormat="false" ht="29.25" hidden="false" customHeight="true" outlineLevel="0" collapsed="false">
      <c r="A704" s="4" t="n">
        <v>703</v>
      </c>
      <c r="B704" s="6" t="s">
        <v>1787</v>
      </c>
      <c r="C704" s="6" t="s">
        <v>2450</v>
      </c>
      <c r="D704" s="6" t="s">
        <v>2451</v>
      </c>
      <c r="E704" s="7" t="s">
        <v>21</v>
      </c>
      <c r="F704" s="6" t="s">
        <v>2802</v>
      </c>
      <c r="G704" s="5" t="s">
        <v>1324</v>
      </c>
      <c r="H704" s="5" t="s">
        <v>1226</v>
      </c>
      <c r="I704" s="5" t="s">
        <v>1321</v>
      </c>
      <c r="J704" s="5" t="s">
        <v>2803</v>
      </c>
      <c r="K704" s="5"/>
      <c r="L704" s="4" t="s">
        <v>44</v>
      </c>
      <c r="M704" s="8" t="s">
        <v>79</v>
      </c>
      <c r="N704" s="9" t="s">
        <v>2804</v>
      </c>
      <c r="O704" s="5"/>
      <c r="P704" s="5"/>
      <c r="Q704" s="6" t="s">
        <v>30</v>
      </c>
      <c r="R704" s="4" t="s">
        <v>31</v>
      </c>
      <c r="S704" s="7" t="s">
        <v>32</v>
      </c>
      <c r="T704" s="5"/>
    </row>
    <row r="705" customFormat="false" ht="15" hidden="false" customHeight="true" outlineLevel="0" collapsed="false">
      <c r="A705" s="4" t="n">
        <v>704</v>
      </c>
      <c r="B705" s="6" t="s">
        <v>1787</v>
      </c>
      <c r="C705" s="6" t="s">
        <v>2450</v>
      </c>
      <c r="D705" s="6" t="s">
        <v>2451</v>
      </c>
      <c r="E705" s="7" t="s">
        <v>21</v>
      </c>
      <c r="F705" s="6" t="s">
        <v>2805</v>
      </c>
      <c r="G705" s="6" t="s">
        <v>2714</v>
      </c>
      <c r="H705" s="6" t="s">
        <v>2712</v>
      </c>
      <c r="I705" s="6" t="s">
        <v>2726</v>
      </c>
      <c r="J705" s="6" t="s">
        <v>2713</v>
      </c>
      <c r="K705" s="5"/>
      <c r="L705" s="4" t="s">
        <v>44</v>
      </c>
      <c r="M705" s="8" t="s">
        <v>129</v>
      </c>
      <c r="N705" s="9" t="s">
        <v>2457</v>
      </c>
      <c r="O705" s="5"/>
      <c r="P705" s="5"/>
      <c r="Q705" s="6" t="s">
        <v>30</v>
      </c>
      <c r="R705" s="4" t="s">
        <v>31</v>
      </c>
      <c r="S705" s="7" t="s">
        <v>32</v>
      </c>
      <c r="T705" s="5"/>
    </row>
    <row r="706" customFormat="false" ht="15" hidden="false" customHeight="true" outlineLevel="0" collapsed="false">
      <c r="A706" s="4" t="n">
        <v>705</v>
      </c>
      <c r="B706" s="6" t="s">
        <v>1787</v>
      </c>
      <c r="C706" s="6" t="s">
        <v>2450</v>
      </c>
      <c r="D706" s="6" t="s">
        <v>2451</v>
      </c>
      <c r="E706" s="7" t="s">
        <v>21</v>
      </c>
      <c r="F706" s="6" t="s">
        <v>2806</v>
      </c>
      <c r="G706" s="6" t="s">
        <v>2714</v>
      </c>
      <c r="H706" s="6" t="s">
        <v>2807</v>
      </c>
      <c r="I706" s="6" t="s">
        <v>2712</v>
      </c>
      <c r="J706" s="6" t="s">
        <v>2713</v>
      </c>
      <c r="K706" s="5"/>
      <c r="L706" s="4" t="s">
        <v>44</v>
      </c>
      <c r="M706" s="8" t="s">
        <v>129</v>
      </c>
      <c r="N706" s="9" t="s">
        <v>2457</v>
      </c>
      <c r="O706" s="5"/>
      <c r="P706" s="5"/>
      <c r="Q706" s="6" t="s">
        <v>30</v>
      </c>
      <c r="R706" s="4" t="s">
        <v>31</v>
      </c>
      <c r="S706" s="7" t="s">
        <v>32</v>
      </c>
      <c r="T706" s="5"/>
    </row>
    <row r="707" customFormat="false" ht="15" hidden="false" customHeight="true" outlineLevel="0" collapsed="false">
      <c r="A707" s="4" t="n">
        <v>706</v>
      </c>
      <c r="B707" s="6" t="s">
        <v>1787</v>
      </c>
      <c r="C707" s="6" t="s">
        <v>2450</v>
      </c>
      <c r="D707" s="6" t="s">
        <v>2451</v>
      </c>
      <c r="E707" s="7" t="s">
        <v>21</v>
      </c>
      <c r="F707" s="6" t="s">
        <v>2808</v>
      </c>
      <c r="G707" s="6" t="s">
        <v>2809</v>
      </c>
      <c r="H707" s="6" t="s">
        <v>2810</v>
      </c>
      <c r="I707" s="6" t="s">
        <v>2811</v>
      </c>
      <c r="J707" s="6" t="s">
        <v>2612</v>
      </c>
      <c r="K707" s="5"/>
      <c r="L707" s="4" t="s">
        <v>27</v>
      </c>
      <c r="M707" s="8" t="s">
        <v>129</v>
      </c>
      <c r="N707" s="9" t="s">
        <v>2762</v>
      </c>
      <c r="O707" s="5"/>
      <c r="P707" s="5"/>
      <c r="Q707" s="6" t="s">
        <v>30</v>
      </c>
      <c r="R707" s="4" t="s">
        <v>31</v>
      </c>
      <c r="S707" s="7" t="s">
        <v>32</v>
      </c>
      <c r="T707" s="5"/>
    </row>
    <row r="708" customFormat="false" ht="15" hidden="false" customHeight="true" outlineLevel="0" collapsed="false">
      <c r="A708" s="4" t="n">
        <v>707</v>
      </c>
      <c r="B708" s="6" t="s">
        <v>1787</v>
      </c>
      <c r="C708" s="6" t="s">
        <v>2450</v>
      </c>
      <c r="D708" s="6" t="s">
        <v>2451</v>
      </c>
      <c r="E708" s="7" t="s">
        <v>21</v>
      </c>
      <c r="F708" s="6" t="s">
        <v>2812</v>
      </c>
      <c r="G708" s="6" t="s">
        <v>2813</v>
      </c>
      <c r="H708" s="6" t="s">
        <v>2814</v>
      </c>
      <c r="I708" s="6" t="s">
        <v>2469</v>
      </c>
      <c r="J708" s="6" t="s">
        <v>2612</v>
      </c>
      <c r="K708" s="5"/>
      <c r="L708" s="4" t="s">
        <v>62</v>
      </c>
      <c r="M708" s="8" t="s">
        <v>129</v>
      </c>
      <c r="N708" s="9" t="s">
        <v>2762</v>
      </c>
      <c r="O708" s="5"/>
      <c r="P708" s="5"/>
      <c r="Q708" s="6" t="s">
        <v>30</v>
      </c>
      <c r="R708" s="4" t="s">
        <v>31</v>
      </c>
      <c r="S708" s="7" t="s">
        <v>32</v>
      </c>
      <c r="T708" s="5"/>
    </row>
    <row r="709" customFormat="false" ht="15" hidden="false" customHeight="true" outlineLevel="0" collapsed="false">
      <c r="A709" s="4" t="n">
        <v>708</v>
      </c>
      <c r="B709" s="6" t="s">
        <v>1787</v>
      </c>
      <c r="C709" s="6" t="s">
        <v>2450</v>
      </c>
      <c r="D709" s="6" t="s">
        <v>2451</v>
      </c>
      <c r="E709" s="7" t="s">
        <v>21</v>
      </c>
      <c r="F709" s="6" t="s">
        <v>2815</v>
      </c>
      <c r="G709" s="6" t="s">
        <v>2813</v>
      </c>
      <c r="H709" s="6" t="s">
        <v>2814</v>
      </c>
      <c r="I709" s="6" t="s">
        <v>2816</v>
      </c>
      <c r="J709" s="6" t="s">
        <v>150</v>
      </c>
      <c r="K709" s="5"/>
      <c r="L709" s="4" t="s">
        <v>62</v>
      </c>
      <c r="M709" s="8" t="s">
        <v>79</v>
      </c>
      <c r="N709" s="9" t="s">
        <v>2762</v>
      </c>
      <c r="O709" s="5"/>
      <c r="P709" s="5"/>
      <c r="Q709" s="6" t="s">
        <v>30</v>
      </c>
      <c r="R709" s="4" t="s">
        <v>31</v>
      </c>
      <c r="S709" s="7" t="s">
        <v>32</v>
      </c>
      <c r="T709" s="5"/>
    </row>
    <row r="710" customFormat="false" ht="43.5" hidden="false" customHeight="true" outlineLevel="0" collapsed="false">
      <c r="A710" s="4" t="n">
        <v>709</v>
      </c>
      <c r="B710" s="6" t="s">
        <v>1787</v>
      </c>
      <c r="C710" s="6" t="s">
        <v>2450</v>
      </c>
      <c r="D710" s="6" t="s">
        <v>2451</v>
      </c>
      <c r="E710" s="7" t="s">
        <v>21</v>
      </c>
      <c r="F710" s="6" t="s">
        <v>2817</v>
      </c>
      <c r="G710" s="6" t="s">
        <v>2818</v>
      </c>
      <c r="H710" s="6" t="s">
        <v>2819</v>
      </c>
      <c r="I710" s="6" t="s">
        <v>2820</v>
      </c>
      <c r="J710" s="6" t="s">
        <v>2821</v>
      </c>
      <c r="K710" s="5"/>
      <c r="L710" s="4" t="s">
        <v>44</v>
      </c>
      <c r="M710" s="8" t="s">
        <v>28</v>
      </c>
      <c r="N710" s="9" t="s">
        <v>2762</v>
      </c>
      <c r="O710" s="5"/>
      <c r="P710" s="5"/>
      <c r="Q710" s="6" t="s">
        <v>30</v>
      </c>
      <c r="R710" s="4" t="s">
        <v>31</v>
      </c>
      <c r="S710" s="7" t="s">
        <v>32</v>
      </c>
      <c r="T710" s="5"/>
    </row>
    <row r="711" customFormat="false" ht="43.5" hidden="false" customHeight="true" outlineLevel="0" collapsed="false">
      <c r="A711" s="4" t="n">
        <v>710</v>
      </c>
      <c r="B711" s="6" t="s">
        <v>1787</v>
      </c>
      <c r="C711" s="6" t="s">
        <v>2450</v>
      </c>
      <c r="D711" s="6" t="s">
        <v>2451</v>
      </c>
      <c r="E711" s="7" t="s">
        <v>21</v>
      </c>
      <c r="F711" s="6" t="s">
        <v>2822</v>
      </c>
      <c r="G711" s="6" t="s">
        <v>2823</v>
      </c>
      <c r="H711" s="6" t="s">
        <v>2824</v>
      </c>
      <c r="I711" s="6" t="s">
        <v>2825</v>
      </c>
      <c r="J711" s="6" t="s">
        <v>2826</v>
      </c>
      <c r="K711" s="5"/>
      <c r="L711" s="4" t="s">
        <v>27</v>
      </c>
      <c r="M711" s="8" t="s">
        <v>28</v>
      </c>
      <c r="N711" s="9" t="s">
        <v>2762</v>
      </c>
      <c r="O711" s="5"/>
      <c r="P711" s="5"/>
      <c r="Q711" s="6" t="s">
        <v>30</v>
      </c>
      <c r="R711" s="4" t="s">
        <v>31</v>
      </c>
      <c r="S711" s="7" t="s">
        <v>32</v>
      </c>
      <c r="T711" s="5"/>
    </row>
    <row r="712" customFormat="false" ht="29.25" hidden="false" customHeight="true" outlineLevel="0" collapsed="false">
      <c r="A712" s="4" t="n">
        <v>711</v>
      </c>
      <c r="B712" s="6" t="s">
        <v>1787</v>
      </c>
      <c r="C712" s="6" t="s">
        <v>2450</v>
      </c>
      <c r="D712" s="6" t="s">
        <v>2451</v>
      </c>
      <c r="E712" s="7" t="s">
        <v>21</v>
      </c>
      <c r="F712" s="6" t="s">
        <v>2827</v>
      </c>
      <c r="G712" s="6" t="s">
        <v>2712</v>
      </c>
      <c r="H712" s="6" t="s">
        <v>2713</v>
      </c>
      <c r="I712" s="6" t="s">
        <v>2726</v>
      </c>
      <c r="J712" s="6" t="s">
        <v>150</v>
      </c>
      <c r="K712" s="5"/>
      <c r="L712" s="4" t="s">
        <v>44</v>
      </c>
      <c r="M712" s="8" t="s">
        <v>79</v>
      </c>
      <c r="N712" s="9" t="s">
        <v>2762</v>
      </c>
      <c r="O712" s="5"/>
      <c r="P712" s="5"/>
      <c r="Q712" s="6" t="s">
        <v>30</v>
      </c>
      <c r="R712" s="4" t="s">
        <v>31</v>
      </c>
      <c r="S712" s="7" t="s">
        <v>32</v>
      </c>
      <c r="T712" s="5"/>
    </row>
    <row r="713" customFormat="false" ht="29.25" hidden="false" customHeight="true" outlineLevel="0" collapsed="false">
      <c r="A713" s="4" t="n">
        <v>712</v>
      </c>
      <c r="B713" s="6" t="s">
        <v>1787</v>
      </c>
      <c r="C713" s="6" t="s">
        <v>2450</v>
      </c>
      <c r="D713" s="6" t="s">
        <v>2451</v>
      </c>
      <c r="E713" s="7" t="s">
        <v>21</v>
      </c>
      <c r="F713" s="6" t="s">
        <v>2828</v>
      </c>
      <c r="G713" s="5" t="s">
        <v>1235</v>
      </c>
      <c r="H713" s="5" t="s">
        <v>1224</v>
      </c>
      <c r="I713" s="5" t="s">
        <v>164</v>
      </c>
      <c r="J713" s="5" t="s">
        <v>2829</v>
      </c>
      <c r="K713" s="5"/>
      <c r="L713" s="4" t="s">
        <v>44</v>
      </c>
      <c r="M713" s="8" t="s">
        <v>79</v>
      </c>
      <c r="N713" s="9" t="s">
        <v>2457</v>
      </c>
      <c r="O713" s="5"/>
      <c r="P713" s="5"/>
      <c r="Q713" s="6" t="s">
        <v>30</v>
      </c>
      <c r="R713" s="4" t="s">
        <v>31</v>
      </c>
      <c r="S713" s="7" t="s">
        <v>32</v>
      </c>
      <c r="T713" s="5"/>
    </row>
    <row r="714" customFormat="false" ht="29.25" hidden="false" customHeight="true" outlineLevel="0" collapsed="false">
      <c r="A714" s="4" t="n">
        <v>713</v>
      </c>
      <c r="B714" s="6" t="s">
        <v>1787</v>
      </c>
      <c r="C714" s="6" t="s">
        <v>2450</v>
      </c>
      <c r="D714" s="6" t="s">
        <v>2451</v>
      </c>
      <c r="E714" s="7" t="s">
        <v>21</v>
      </c>
      <c r="F714" s="6" t="s">
        <v>2830</v>
      </c>
      <c r="G714" s="6" t="s">
        <v>2712</v>
      </c>
      <c r="H714" s="6" t="s">
        <v>2713</v>
      </c>
      <c r="I714" s="6" t="s">
        <v>2729</v>
      </c>
      <c r="J714" s="6" t="s">
        <v>2714</v>
      </c>
      <c r="K714" s="5"/>
      <c r="L714" s="4" t="s">
        <v>51</v>
      </c>
      <c r="M714" s="8" t="s">
        <v>79</v>
      </c>
      <c r="N714" s="9" t="s">
        <v>2762</v>
      </c>
      <c r="O714" s="5"/>
      <c r="P714" s="5"/>
      <c r="Q714" s="6" t="s">
        <v>30</v>
      </c>
      <c r="R714" s="4" t="s">
        <v>31</v>
      </c>
      <c r="S714" s="7" t="s">
        <v>32</v>
      </c>
      <c r="T714" s="5"/>
    </row>
    <row r="715" customFormat="false" ht="15" hidden="false" customHeight="true" outlineLevel="0" collapsed="false">
      <c r="A715" s="4" t="n">
        <v>714</v>
      </c>
      <c r="B715" s="6" t="s">
        <v>1787</v>
      </c>
      <c r="C715" s="6" t="s">
        <v>2450</v>
      </c>
      <c r="D715" s="6" t="s">
        <v>2451</v>
      </c>
      <c r="E715" s="7" t="s">
        <v>21</v>
      </c>
      <c r="F715" s="6" t="s">
        <v>2831</v>
      </c>
      <c r="G715" s="6" t="s">
        <v>2460</v>
      </c>
      <c r="H715" s="6" t="s">
        <v>2832</v>
      </c>
      <c r="I715" s="6" t="s">
        <v>2833</v>
      </c>
      <c r="J715" s="6" t="s">
        <v>2834</v>
      </c>
      <c r="K715" s="5"/>
      <c r="L715" s="4" t="s">
        <v>44</v>
      </c>
      <c r="M715" s="8" t="s">
        <v>79</v>
      </c>
      <c r="N715" s="9" t="s">
        <v>2762</v>
      </c>
      <c r="O715" s="5"/>
      <c r="P715" s="5"/>
      <c r="Q715" s="6" t="s">
        <v>30</v>
      </c>
      <c r="R715" s="4" t="s">
        <v>31</v>
      </c>
      <c r="S715" s="7" t="s">
        <v>32</v>
      </c>
      <c r="T715" s="5"/>
    </row>
    <row r="716" customFormat="false" ht="15" hidden="false" customHeight="true" outlineLevel="0" collapsed="false">
      <c r="A716" s="4" t="n">
        <v>715</v>
      </c>
      <c r="B716" s="6" t="s">
        <v>1787</v>
      </c>
      <c r="C716" s="6" t="s">
        <v>2450</v>
      </c>
      <c r="D716" s="6" t="s">
        <v>2451</v>
      </c>
      <c r="E716" s="7" t="s">
        <v>21</v>
      </c>
      <c r="F716" s="6" t="s">
        <v>2835</v>
      </c>
      <c r="G716" s="6" t="s">
        <v>2714</v>
      </c>
      <c r="H716" s="6" t="s">
        <v>2807</v>
      </c>
      <c r="I716" s="6" t="s">
        <v>2712</v>
      </c>
      <c r="J716" s="6" t="s">
        <v>2713</v>
      </c>
      <c r="K716" s="5"/>
      <c r="L716" s="4" t="s">
        <v>44</v>
      </c>
      <c r="M716" s="8" t="s">
        <v>129</v>
      </c>
      <c r="N716" s="9" t="s">
        <v>2457</v>
      </c>
      <c r="O716" s="5"/>
      <c r="P716" s="5"/>
      <c r="Q716" s="6" t="s">
        <v>30</v>
      </c>
      <c r="R716" s="4" t="s">
        <v>31</v>
      </c>
      <c r="S716" s="7" t="s">
        <v>32</v>
      </c>
      <c r="T716" s="5"/>
    </row>
    <row r="717" customFormat="false" ht="15" hidden="false" customHeight="true" outlineLevel="0" collapsed="false">
      <c r="A717" s="4" t="n">
        <v>716</v>
      </c>
      <c r="B717" s="6" t="s">
        <v>1787</v>
      </c>
      <c r="C717" s="6" t="s">
        <v>2450</v>
      </c>
      <c r="D717" s="6" t="s">
        <v>2451</v>
      </c>
      <c r="E717" s="7" t="s">
        <v>21</v>
      </c>
      <c r="F717" s="6" t="s">
        <v>2836</v>
      </c>
      <c r="G717" s="6" t="s">
        <v>2714</v>
      </c>
      <c r="H717" s="6" t="s">
        <v>2807</v>
      </c>
      <c r="I717" s="6" t="s">
        <v>2712</v>
      </c>
      <c r="J717" s="6" t="s">
        <v>2713</v>
      </c>
      <c r="K717" s="5"/>
      <c r="L717" s="4" t="s">
        <v>44</v>
      </c>
      <c r="M717" s="8" t="s">
        <v>129</v>
      </c>
      <c r="N717" s="9" t="s">
        <v>2457</v>
      </c>
      <c r="O717" s="5"/>
      <c r="P717" s="5"/>
      <c r="Q717" s="6" t="s">
        <v>30</v>
      </c>
      <c r="R717" s="4" t="s">
        <v>31</v>
      </c>
      <c r="S717" s="7" t="s">
        <v>32</v>
      </c>
      <c r="T717" s="5"/>
    </row>
    <row r="718" customFormat="false" ht="15" hidden="false" customHeight="true" outlineLevel="0" collapsed="false">
      <c r="A718" s="4" t="n">
        <v>717</v>
      </c>
      <c r="B718" s="6" t="s">
        <v>1787</v>
      </c>
      <c r="C718" s="6" t="s">
        <v>2450</v>
      </c>
      <c r="D718" s="6" t="s">
        <v>2451</v>
      </c>
      <c r="E718" s="7" t="s">
        <v>21</v>
      </c>
      <c r="F718" s="6" t="s">
        <v>2837</v>
      </c>
      <c r="G718" s="6" t="s">
        <v>2838</v>
      </c>
      <c r="H718" s="6" t="s">
        <v>2839</v>
      </c>
      <c r="I718" s="6" t="s">
        <v>2840</v>
      </c>
      <c r="J718" s="6" t="s">
        <v>2841</v>
      </c>
      <c r="K718" s="5"/>
      <c r="L718" s="4" t="s">
        <v>51</v>
      </c>
      <c r="M718" s="8" t="s">
        <v>129</v>
      </c>
      <c r="N718" s="9" t="s">
        <v>2457</v>
      </c>
      <c r="O718" s="5"/>
      <c r="P718" s="5"/>
      <c r="Q718" s="6" t="s">
        <v>30</v>
      </c>
      <c r="R718" s="4" t="s">
        <v>31</v>
      </c>
      <c r="S718" s="7" t="s">
        <v>32</v>
      </c>
      <c r="T718" s="5"/>
    </row>
    <row r="719" customFormat="false" ht="15" hidden="false" customHeight="true" outlineLevel="0" collapsed="false">
      <c r="A719" s="4" t="n">
        <v>718</v>
      </c>
      <c r="B719" s="6" t="s">
        <v>1787</v>
      </c>
      <c r="C719" s="6" t="s">
        <v>2450</v>
      </c>
      <c r="D719" s="6" t="s">
        <v>2451</v>
      </c>
      <c r="E719" s="7" t="s">
        <v>21</v>
      </c>
      <c r="F719" s="6" t="s">
        <v>2842</v>
      </c>
      <c r="G719" s="6" t="s">
        <v>2838</v>
      </c>
      <c r="H719" s="6" t="s">
        <v>2839</v>
      </c>
      <c r="I719" s="6" t="s">
        <v>2840</v>
      </c>
      <c r="J719" s="6" t="s">
        <v>2841</v>
      </c>
      <c r="K719" s="5"/>
      <c r="L719" s="4" t="s">
        <v>62</v>
      </c>
      <c r="M719" s="8" t="s">
        <v>129</v>
      </c>
      <c r="N719" s="9" t="s">
        <v>2457</v>
      </c>
      <c r="O719" s="5"/>
      <c r="P719" s="5"/>
      <c r="Q719" s="6" t="s">
        <v>30</v>
      </c>
      <c r="R719" s="4" t="s">
        <v>31</v>
      </c>
      <c r="S719" s="7" t="s">
        <v>32</v>
      </c>
      <c r="T719" s="5"/>
    </row>
    <row r="720" customFormat="false" ht="15" hidden="false" customHeight="true" outlineLevel="0" collapsed="false">
      <c r="A720" s="4" t="n">
        <v>719</v>
      </c>
      <c r="B720" s="6" t="s">
        <v>1787</v>
      </c>
      <c r="C720" s="6" t="s">
        <v>2450</v>
      </c>
      <c r="D720" s="6" t="s">
        <v>2451</v>
      </c>
      <c r="E720" s="7" t="s">
        <v>21</v>
      </c>
      <c r="F720" s="6" t="s">
        <v>2843</v>
      </c>
      <c r="G720" s="6" t="s">
        <v>2712</v>
      </c>
      <c r="H720" s="6" t="s">
        <v>2713</v>
      </c>
      <c r="I720" s="6" t="s">
        <v>2726</v>
      </c>
      <c r="J720" s="6" t="s">
        <v>150</v>
      </c>
      <c r="K720" s="5"/>
      <c r="L720" s="4" t="s">
        <v>62</v>
      </c>
      <c r="M720" s="8" t="s">
        <v>79</v>
      </c>
      <c r="N720" s="9" t="s">
        <v>2762</v>
      </c>
      <c r="O720" s="5"/>
      <c r="P720" s="5"/>
      <c r="Q720" s="6" t="s">
        <v>30</v>
      </c>
      <c r="R720" s="4" t="s">
        <v>31</v>
      </c>
      <c r="S720" s="7" t="s">
        <v>32</v>
      </c>
      <c r="T720" s="5"/>
    </row>
    <row r="721" customFormat="false" ht="15" hidden="false" customHeight="true" outlineLevel="0" collapsed="false">
      <c r="A721" s="4" t="n">
        <v>720</v>
      </c>
      <c r="B721" s="6" t="s">
        <v>1787</v>
      </c>
      <c r="C721" s="6" t="s">
        <v>2450</v>
      </c>
      <c r="D721" s="6" t="s">
        <v>2451</v>
      </c>
      <c r="E721" s="7" t="s">
        <v>21</v>
      </c>
      <c r="F721" s="6" t="s">
        <v>2844</v>
      </c>
      <c r="G721" s="6" t="s">
        <v>2845</v>
      </c>
      <c r="H721" s="6" t="s">
        <v>2846</v>
      </c>
      <c r="I721" s="6" t="s">
        <v>2239</v>
      </c>
      <c r="J721" s="6" t="s">
        <v>78</v>
      </c>
      <c r="K721" s="5"/>
      <c r="L721" s="4" t="s">
        <v>44</v>
      </c>
      <c r="M721" s="8" t="s">
        <v>79</v>
      </c>
      <c r="N721" s="9" t="s">
        <v>2762</v>
      </c>
      <c r="O721" s="5"/>
      <c r="P721" s="5"/>
      <c r="Q721" s="6" t="s">
        <v>30</v>
      </c>
      <c r="R721" s="4" t="s">
        <v>31</v>
      </c>
      <c r="S721" s="7" t="s">
        <v>32</v>
      </c>
      <c r="T721" s="5"/>
    </row>
    <row r="722" customFormat="false" ht="15" hidden="false" customHeight="true" outlineLevel="0" collapsed="false">
      <c r="A722" s="4" t="n">
        <v>721</v>
      </c>
      <c r="B722" s="6" t="s">
        <v>1787</v>
      </c>
      <c r="C722" s="6" t="s">
        <v>2450</v>
      </c>
      <c r="D722" s="6" t="s">
        <v>2451</v>
      </c>
      <c r="E722" s="7" t="s">
        <v>21</v>
      </c>
      <c r="F722" s="6" t="s">
        <v>2847</v>
      </c>
      <c r="G722" s="6" t="s">
        <v>2848</v>
      </c>
      <c r="H722" s="6" t="s">
        <v>2469</v>
      </c>
      <c r="I722" s="6" t="s">
        <v>2849</v>
      </c>
      <c r="J722" s="6" t="s">
        <v>150</v>
      </c>
      <c r="K722" s="5"/>
      <c r="L722" s="4" t="s">
        <v>62</v>
      </c>
      <c r="M722" s="8" t="s">
        <v>79</v>
      </c>
      <c r="N722" s="9" t="s">
        <v>2762</v>
      </c>
      <c r="O722" s="5"/>
      <c r="P722" s="5"/>
      <c r="Q722" s="6" t="s">
        <v>30</v>
      </c>
      <c r="R722" s="4" t="s">
        <v>31</v>
      </c>
      <c r="S722" s="7" t="s">
        <v>32</v>
      </c>
      <c r="T722" s="5"/>
    </row>
    <row r="723" customFormat="false" ht="15" hidden="false" customHeight="true" outlineLevel="0" collapsed="false">
      <c r="A723" s="4" t="n">
        <v>722</v>
      </c>
      <c r="B723" s="6" t="s">
        <v>1787</v>
      </c>
      <c r="C723" s="6" t="s">
        <v>2450</v>
      </c>
      <c r="D723" s="6" t="s">
        <v>2451</v>
      </c>
      <c r="E723" s="7" t="s">
        <v>21</v>
      </c>
      <c r="F723" s="6" t="s">
        <v>2850</v>
      </c>
      <c r="G723" s="6" t="s">
        <v>2714</v>
      </c>
      <c r="H723" s="6" t="s">
        <v>2851</v>
      </c>
      <c r="I723" s="6" t="s">
        <v>2726</v>
      </c>
      <c r="J723" s="6" t="s">
        <v>150</v>
      </c>
      <c r="K723" s="5"/>
      <c r="L723" s="4" t="s">
        <v>62</v>
      </c>
      <c r="M723" s="8" t="s">
        <v>79</v>
      </c>
      <c r="N723" s="9" t="s">
        <v>2762</v>
      </c>
      <c r="O723" s="5"/>
      <c r="P723" s="5"/>
      <c r="Q723" s="6" t="s">
        <v>30</v>
      </c>
      <c r="R723" s="4" t="s">
        <v>31</v>
      </c>
      <c r="S723" s="7" t="s">
        <v>32</v>
      </c>
      <c r="T723" s="5"/>
    </row>
    <row r="724" customFormat="false" ht="43.5" hidden="false" customHeight="true" outlineLevel="0" collapsed="false">
      <c r="A724" s="4" t="n">
        <v>723</v>
      </c>
      <c r="B724" s="6" t="s">
        <v>1787</v>
      </c>
      <c r="C724" s="6" t="s">
        <v>2450</v>
      </c>
      <c r="D724" s="6" t="s">
        <v>2451</v>
      </c>
      <c r="E724" s="7" t="s">
        <v>21</v>
      </c>
      <c r="F724" s="6" t="s">
        <v>2852</v>
      </c>
      <c r="G724" s="6" t="s">
        <v>2853</v>
      </c>
      <c r="H724" s="6" t="s">
        <v>2854</v>
      </c>
      <c r="I724" s="6" t="s">
        <v>2855</v>
      </c>
      <c r="J724" s="6" t="s">
        <v>150</v>
      </c>
      <c r="K724" s="5"/>
      <c r="L724" s="4" t="s">
        <v>51</v>
      </c>
      <c r="M724" s="8" t="s">
        <v>28</v>
      </c>
      <c r="N724" s="9" t="s">
        <v>2762</v>
      </c>
      <c r="O724" s="5"/>
      <c r="P724" s="5"/>
      <c r="Q724" s="6" t="s">
        <v>30</v>
      </c>
      <c r="R724" s="4" t="s">
        <v>31</v>
      </c>
      <c r="S724" s="7" t="s">
        <v>32</v>
      </c>
      <c r="T724" s="5"/>
    </row>
    <row r="725" customFormat="false" ht="15" hidden="false" customHeight="true" outlineLevel="0" collapsed="false">
      <c r="A725" s="4" t="n">
        <v>724</v>
      </c>
      <c r="B725" s="6" t="s">
        <v>1787</v>
      </c>
      <c r="C725" s="6" t="s">
        <v>2450</v>
      </c>
      <c r="D725" s="6" t="s">
        <v>2451</v>
      </c>
      <c r="E725" s="7" t="s">
        <v>21</v>
      </c>
      <c r="F725" s="6" t="s">
        <v>2856</v>
      </c>
      <c r="G725" s="6" t="s">
        <v>2766</v>
      </c>
      <c r="H725" s="6" t="s">
        <v>2767</v>
      </c>
      <c r="I725" s="6" t="s">
        <v>2857</v>
      </c>
      <c r="J725" s="6" t="s">
        <v>2858</v>
      </c>
      <c r="K725" s="5"/>
      <c r="L725" s="4" t="s">
        <v>62</v>
      </c>
      <c r="M725" s="8" t="s">
        <v>129</v>
      </c>
      <c r="N725" s="9" t="s">
        <v>2457</v>
      </c>
      <c r="O725" s="5"/>
      <c r="P725" s="5"/>
      <c r="Q725" s="6" t="s">
        <v>30</v>
      </c>
      <c r="R725" s="4" t="s">
        <v>31</v>
      </c>
      <c r="S725" s="7" t="s">
        <v>32</v>
      </c>
      <c r="T725" s="5"/>
    </row>
    <row r="726" customFormat="false" ht="29.25" hidden="false" customHeight="true" outlineLevel="0" collapsed="false">
      <c r="A726" s="4" t="n">
        <v>725</v>
      </c>
      <c r="B726" s="6" t="s">
        <v>1787</v>
      </c>
      <c r="C726" s="6" t="s">
        <v>2450</v>
      </c>
      <c r="D726" s="6" t="s">
        <v>2451</v>
      </c>
      <c r="E726" s="7" t="s">
        <v>21</v>
      </c>
      <c r="F726" s="6" t="s">
        <v>2859</v>
      </c>
      <c r="G726" s="5" t="s">
        <v>2588</v>
      </c>
      <c r="H726" s="5" t="s">
        <v>2860</v>
      </c>
      <c r="I726" s="5" t="s">
        <v>1327</v>
      </c>
      <c r="J726" s="6" t="s">
        <v>150</v>
      </c>
      <c r="K726" s="5"/>
      <c r="L726" s="4" t="s">
        <v>27</v>
      </c>
      <c r="M726" s="8" t="s">
        <v>28</v>
      </c>
      <c r="N726" s="9" t="s">
        <v>2762</v>
      </c>
      <c r="O726" s="5"/>
      <c r="P726" s="5"/>
      <c r="Q726" s="6" t="s">
        <v>30</v>
      </c>
      <c r="R726" s="4" t="s">
        <v>31</v>
      </c>
      <c r="S726" s="7" t="s">
        <v>32</v>
      </c>
      <c r="T726" s="5"/>
    </row>
    <row r="727" customFormat="false" ht="29.25" hidden="false" customHeight="true" outlineLevel="0" collapsed="false">
      <c r="A727" s="4" t="n">
        <v>726</v>
      </c>
      <c r="B727" s="6" t="s">
        <v>1787</v>
      </c>
      <c r="C727" s="6" t="s">
        <v>2450</v>
      </c>
      <c r="D727" s="6" t="s">
        <v>2451</v>
      </c>
      <c r="E727" s="7" t="s">
        <v>21</v>
      </c>
      <c r="F727" s="6" t="s">
        <v>2861</v>
      </c>
      <c r="G727" s="5" t="s">
        <v>2588</v>
      </c>
      <c r="H727" s="5" t="s">
        <v>2860</v>
      </c>
      <c r="I727" s="5" t="s">
        <v>1327</v>
      </c>
      <c r="J727" s="6" t="s">
        <v>150</v>
      </c>
      <c r="K727" s="5"/>
      <c r="L727" s="4" t="s">
        <v>51</v>
      </c>
      <c r="M727" s="8" t="s">
        <v>28</v>
      </c>
      <c r="N727" s="9" t="s">
        <v>2762</v>
      </c>
      <c r="O727" s="5"/>
      <c r="P727" s="5"/>
      <c r="Q727" s="6" t="s">
        <v>30</v>
      </c>
      <c r="R727" s="4" t="s">
        <v>31</v>
      </c>
      <c r="S727" s="7" t="s">
        <v>32</v>
      </c>
      <c r="T727" s="5"/>
    </row>
    <row r="728" customFormat="false" ht="29.25" hidden="false" customHeight="true" outlineLevel="0" collapsed="false">
      <c r="A728" s="4" t="n">
        <v>727</v>
      </c>
      <c r="B728" s="6" t="s">
        <v>1787</v>
      </c>
      <c r="C728" s="6" t="s">
        <v>2450</v>
      </c>
      <c r="D728" s="6" t="s">
        <v>2451</v>
      </c>
      <c r="E728" s="7" t="s">
        <v>21</v>
      </c>
      <c r="F728" s="6" t="s">
        <v>2862</v>
      </c>
      <c r="G728" s="5" t="s">
        <v>2588</v>
      </c>
      <c r="H728" s="5" t="s">
        <v>2860</v>
      </c>
      <c r="I728" s="5" t="s">
        <v>2863</v>
      </c>
      <c r="J728" s="5" t="s">
        <v>1224</v>
      </c>
      <c r="K728" s="5"/>
      <c r="L728" s="4" t="s">
        <v>27</v>
      </c>
      <c r="M728" s="8" t="s">
        <v>79</v>
      </c>
      <c r="N728" s="9" t="s">
        <v>2762</v>
      </c>
      <c r="O728" s="5"/>
      <c r="P728" s="5"/>
      <c r="Q728" s="6" t="s">
        <v>30</v>
      </c>
      <c r="R728" s="4" t="s">
        <v>31</v>
      </c>
      <c r="S728" s="7" t="s">
        <v>32</v>
      </c>
      <c r="T728" s="5"/>
    </row>
    <row r="729" customFormat="false" ht="15" hidden="false" customHeight="true" outlineLevel="0" collapsed="false">
      <c r="A729" s="4" t="n">
        <v>728</v>
      </c>
      <c r="B729" s="6" t="s">
        <v>1787</v>
      </c>
      <c r="C729" s="6" t="s">
        <v>2450</v>
      </c>
      <c r="D729" s="6" t="s">
        <v>2451</v>
      </c>
      <c r="E729" s="7" t="s">
        <v>21</v>
      </c>
      <c r="F729" s="6" t="s">
        <v>2864</v>
      </c>
      <c r="G729" s="5" t="s">
        <v>2865</v>
      </c>
      <c r="H729" s="5" t="s">
        <v>2866</v>
      </c>
      <c r="I729" s="5" t="s">
        <v>567</v>
      </c>
      <c r="J729" s="5" t="s">
        <v>2867</v>
      </c>
      <c r="K729" s="5"/>
      <c r="L729" s="4" t="s">
        <v>27</v>
      </c>
      <c r="M729" s="8" t="s">
        <v>79</v>
      </c>
      <c r="N729" s="9" t="s">
        <v>2762</v>
      </c>
      <c r="O729" s="5"/>
      <c r="P729" s="5"/>
      <c r="Q729" s="6" t="s">
        <v>30</v>
      </c>
      <c r="R729" s="4" t="s">
        <v>31</v>
      </c>
      <c r="S729" s="7" t="s">
        <v>32</v>
      </c>
      <c r="T729" s="5"/>
    </row>
    <row r="730" customFormat="false" ht="15" hidden="false" customHeight="true" outlineLevel="0" collapsed="false">
      <c r="A730" s="4" t="n">
        <v>729</v>
      </c>
      <c r="B730" s="6" t="s">
        <v>1787</v>
      </c>
      <c r="C730" s="6" t="s">
        <v>2450</v>
      </c>
      <c r="D730" s="6" t="s">
        <v>2451</v>
      </c>
      <c r="E730" s="7" t="s">
        <v>21</v>
      </c>
      <c r="F730" s="6" t="s">
        <v>2868</v>
      </c>
      <c r="G730" s="6" t="s">
        <v>2869</v>
      </c>
      <c r="H730" s="6" t="s">
        <v>2870</v>
      </c>
      <c r="I730" s="6" t="s">
        <v>2871</v>
      </c>
      <c r="J730" s="6" t="s">
        <v>2872</v>
      </c>
      <c r="K730" s="5"/>
      <c r="L730" s="4" t="s">
        <v>51</v>
      </c>
      <c r="M730" s="8" t="s">
        <v>129</v>
      </c>
      <c r="N730" s="9" t="s">
        <v>2762</v>
      </c>
      <c r="O730" s="5"/>
      <c r="P730" s="5"/>
      <c r="Q730" s="6" t="s">
        <v>30</v>
      </c>
      <c r="R730" s="4" t="s">
        <v>31</v>
      </c>
      <c r="S730" s="7" t="s">
        <v>32</v>
      </c>
      <c r="T730" s="5"/>
    </row>
    <row r="731" customFormat="false" ht="15" hidden="false" customHeight="true" outlineLevel="0" collapsed="false">
      <c r="A731" s="4" t="n">
        <v>730</v>
      </c>
      <c r="B731" s="6" t="s">
        <v>1787</v>
      </c>
      <c r="C731" s="6" t="s">
        <v>2450</v>
      </c>
      <c r="D731" s="6" t="s">
        <v>2451</v>
      </c>
      <c r="E731" s="7" t="s">
        <v>21</v>
      </c>
      <c r="F731" s="6" t="s">
        <v>2873</v>
      </c>
      <c r="G731" s="6" t="s">
        <v>2874</v>
      </c>
      <c r="H731" s="6" t="s">
        <v>2875</v>
      </c>
      <c r="I731" s="6" t="s">
        <v>2876</v>
      </c>
      <c r="J731" s="6" t="s">
        <v>78</v>
      </c>
      <c r="K731" s="5"/>
      <c r="L731" s="4" t="s">
        <v>44</v>
      </c>
      <c r="M731" s="8" t="s">
        <v>79</v>
      </c>
      <c r="N731" s="9" t="s">
        <v>2762</v>
      </c>
      <c r="O731" s="5"/>
      <c r="P731" s="5"/>
      <c r="Q731" s="6" t="s">
        <v>30</v>
      </c>
      <c r="R731" s="4" t="s">
        <v>31</v>
      </c>
      <c r="S731" s="7" t="s">
        <v>32</v>
      </c>
      <c r="T731" s="5"/>
    </row>
    <row r="732" customFormat="false" ht="15" hidden="false" customHeight="true" outlineLevel="0" collapsed="false">
      <c r="A732" s="4" t="n">
        <v>731</v>
      </c>
      <c r="B732" s="6" t="s">
        <v>1787</v>
      </c>
      <c r="C732" s="6" t="s">
        <v>2450</v>
      </c>
      <c r="D732" s="6" t="s">
        <v>2451</v>
      </c>
      <c r="E732" s="7" t="s">
        <v>21</v>
      </c>
      <c r="F732" s="6" t="s">
        <v>2877</v>
      </c>
      <c r="G732" s="6" t="s">
        <v>2878</v>
      </c>
      <c r="H732" s="6" t="s">
        <v>2879</v>
      </c>
      <c r="I732" s="6" t="s">
        <v>2880</v>
      </c>
      <c r="J732" s="6" t="s">
        <v>2881</v>
      </c>
      <c r="K732" s="5"/>
      <c r="L732" s="4" t="s">
        <v>51</v>
      </c>
      <c r="M732" s="8" t="s">
        <v>129</v>
      </c>
      <c r="N732" s="9" t="s">
        <v>2762</v>
      </c>
      <c r="O732" s="5"/>
      <c r="P732" s="5"/>
      <c r="Q732" s="6" t="s">
        <v>30</v>
      </c>
      <c r="R732" s="4" t="s">
        <v>31</v>
      </c>
      <c r="S732" s="7" t="s">
        <v>32</v>
      </c>
      <c r="T732" s="5"/>
    </row>
    <row r="733" customFormat="false" ht="29.25" hidden="false" customHeight="true" outlineLevel="0" collapsed="false">
      <c r="A733" s="4" t="n">
        <v>732</v>
      </c>
      <c r="B733" s="6" t="s">
        <v>1787</v>
      </c>
      <c r="C733" s="6" t="s">
        <v>2450</v>
      </c>
      <c r="D733" s="6" t="s">
        <v>2451</v>
      </c>
      <c r="E733" s="7" t="s">
        <v>21</v>
      </c>
      <c r="F733" s="6" t="s">
        <v>2882</v>
      </c>
      <c r="G733" s="5" t="s">
        <v>176</v>
      </c>
      <c r="H733" s="5" t="s">
        <v>1235</v>
      </c>
      <c r="I733" s="5" t="s">
        <v>1224</v>
      </c>
      <c r="J733" s="5" t="s">
        <v>2566</v>
      </c>
      <c r="K733" s="5"/>
      <c r="L733" s="4" t="s">
        <v>51</v>
      </c>
      <c r="M733" s="8" t="s">
        <v>79</v>
      </c>
      <c r="N733" s="9" t="s">
        <v>2762</v>
      </c>
      <c r="O733" s="5"/>
      <c r="P733" s="5"/>
      <c r="Q733" s="6" t="s">
        <v>30</v>
      </c>
      <c r="R733" s="4" t="s">
        <v>31</v>
      </c>
      <c r="S733" s="7" t="s">
        <v>32</v>
      </c>
      <c r="T733" s="5"/>
    </row>
    <row r="734" customFormat="false" ht="15" hidden="false" customHeight="true" outlineLevel="0" collapsed="false">
      <c r="A734" s="4" t="n">
        <v>733</v>
      </c>
      <c r="B734" s="6" t="s">
        <v>1787</v>
      </c>
      <c r="C734" s="6" t="s">
        <v>2450</v>
      </c>
      <c r="D734" s="6" t="s">
        <v>2451</v>
      </c>
      <c r="E734" s="7" t="s">
        <v>21</v>
      </c>
      <c r="F734" s="6" t="s">
        <v>2883</v>
      </c>
      <c r="G734" s="6" t="s">
        <v>2884</v>
      </c>
      <c r="H734" s="6" t="s">
        <v>2885</v>
      </c>
      <c r="I734" s="6" t="s">
        <v>2886</v>
      </c>
      <c r="J734" s="6" t="s">
        <v>150</v>
      </c>
      <c r="K734" s="5"/>
      <c r="L734" s="4" t="s">
        <v>62</v>
      </c>
      <c r="M734" s="8" t="s">
        <v>79</v>
      </c>
      <c r="N734" s="9" t="s">
        <v>2762</v>
      </c>
      <c r="O734" s="5"/>
      <c r="P734" s="5"/>
      <c r="Q734" s="6" t="s">
        <v>30</v>
      </c>
      <c r="R734" s="4" t="s">
        <v>31</v>
      </c>
      <c r="S734" s="7" t="s">
        <v>32</v>
      </c>
      <c r="T734" s="5"/>
    </row>
    <row r="735" customFormat="false" ht="15" hidden="false" customHeight="true" outlineLevel="0" collapsed="false">
      <c r="A735" s="4" t="n">
        <v>734</v>
      </c>
      <c r="B735" s="6" t="s">
        <v>1787</v>
      </c>
      <c r="C735" s="6" t="s">
        <v>2450</v>
      </c>
      <c r="D735" s="6" t="s">
        <v>2451</v>
      </c>
      <c r="E735" s="7" t="s">
        <v>21</v>
      </c>
      <c r="F735" s="6" t="s">
        <v>2887</v>
      </c>
      <c r="G735" s="5" t="s">
        <v>2888</v>
      </c>
      <c r="H735" s="5" t="s">
        <v>2889</v>
      </c>
      <c r="I735" s="5" t="s">
        <v>2890</v>
      </c>
      <c r="J735" s="5" t="s">
        <v>2891</v>
      </c>
      <c r="K735" s="5"/>
      <c r="L735" s="4" t="s">
        <v>62</v>
      </c>
      <c r="M735" s="8" t="s">
        <v>129</v>
      </c>
      <c r="N735" s="9" t="s">
        <v>2762</v>
      </c>
      <c r="O735" s="5"/>
      <c r="P735" s="5"/>
      <c r="Q735" s="6" t="s">
        <v>30</v>
      </c>
      <c r="R735" s="4" t="s">
        <v>31</v>
      </c>
      <c r="S735" s="7" t="s">
        <v>32</v>
      </c>
      <c r="T735" s="5"/>
    </row>
    <row r="736" customFormat="false" ht="29.25" hidden="false" customHeight="true" outlineLevel="0" collapsed="false">
      <c r="A736" s="4" t="n">
        <v>735</v>
      </c>
      <c r="B736" s="6" t="s">
        <v>1787</v>
      </c>
      <c r="C736" s="6" t="s">
        <v>2450</v>
      </c>
      <c r="D736" s="6" t="s">
        <v>2451</v>
      </c>
      <c r="E736" s="7" t="s">
        <v>21</v>
      </c>
      <c r="F736" s="6" t="s">
        <v>2892</v>
      </c>
      <c r="G736" s="6" t="s">
        <v>2893</v>
      </c>
      <c r="H736" s="6" t="s">
        <v>2894</v>
      </c>
      <c r="I736" s="6" t="s">
        <v>2895</v>
      </c>
      <c r="J736" s="6" t="s">
        <v>150</v>
      </c>
      <c r="K736" s="5"/>
      <c r="L736" s="4" t="s">
        <v>27</v>
      </c>
      <c r="M736" s="8" t="s">
        <v>28</v>
      </c>
      <c r="N736" s="9" t="s">
        <v>2762</v>
      </c>
      <c r="O736" s="5"/>
      <c r="P736" s="5"/>
      <c r="Q736" s="6" t="s">
        <v>30</v>
      </c>
      <c r="R736" s="4" t="s">
        <v>31</v>
      </c>
      <c r="S736" s="7" t="s">
        <v>32</v>
      </c>
      <c r="T736" s="5"/>
    </row>
    <row r="737" customFormat="false" ht="29.25" hidden="false" customHeight="true" outlineLevel="0" collapsed="false">
      <c r="A737" s="4" t="n">
        <v>736</v>
      </c>
      <c r="B737" s="6" t="s">
        <v>1787</v>
      </c>
      <c r="C737" s="6" t="s">
        <v>2450</v>
      </c>
      <c r="D737" s="6" t="s">
        <v>2451</v>
      </c>
      <c r="E737" s="7" t="s">
        <v>21</v>
      </c>
      <c r="F737" s="6" t="s">
        <v>2896</v>
      </c>
      <c r="G737" s="6" t="s">
        <v>2897</v>
      </c>
      <c r="H737" s="6" t="s">
        <v>2898</v>
      </c>
      <c r="I737" s="6" t="s">
        <v>2899</v>
      </c>
      <c r="J737" s="6" t="s">
        <v>2900</v>
      </c>
      <c r="K737" s="5"/>
      <c r="L737" s="4" t="s">
        <v>27</v>
      </c>
      <c r="M737" s="8" t="s">
        <v>79</v>
      </c>
      <c r="N737" s="9" t="s">
        <v>2762</v>
      </c>
      <c r="O737" s="5"/>
      <c r="P737" s="5"/>
      <c r="Q737" s="6" t="s">
        <v>30</v>
      </c>
      <c r="R737" s="4" t="s">
        <v>31</v>
      </c>
      <c r="S737" s="7" t="s">
        <v>32</v>
      </c>
      <c r="T737" s="5"/>
    </row>
    <row r="738" customFormat="false" ht="29.25" hidden="false" customHeight="true" outlineLevel="0" collapsed="false">
      <c r="A738" s="4" t="n">
        <v>737</v>
      </c>
      <c r="B738" s="6" t="s">
        <v>1787</v>
      </c>
      <c r="C738" s="6" t="s">
        <v>2450</v>
      </c>
      <c r="D738" s="6" t="s">
        <v>2451</v>
      </c>
      <c r="E738" s="7" t="s">
        <v>21</v>
      </c>
      <c r="F738" s="6" t="s">
        <v>2901</v>
      </c>
      <c r="G738" s="6" t="s">
        <v>2893</v>
      </c>
      <c r="H738" s="6" t="s">
        <v>2894</v>
      </c>
      <c r="I738" s="6" t="s">
        <v>2895</v>
      </c>
      <c r="J738" s="6" t="s">
        <v>150</v>
      </c>
      <c r="K738" s="5"/>
      <c r="L738" s="4" t="s">
        <v>62</v>
      </c>
      <c r="M738" s="8" t="s">
        <v>79</v>
      </c>
      <c r="N738" s="9" t="s">
        <v>2762</v>
      </c>
      <c r="O738" s="5"/>
      <c r="P738" s="5"/>
      <c r="Q738" s="6" t="s">
        <v>30</v>
      </c>
      <c r="R738" s="4" t="s">
        <v>31</v>
      </c>
      <c r="S738" s="7" t="s">
        <v>32</v>
      </c>
      <c r="T738" s="5"/>
    </row>
    <row r="739" customFormat="false" ht="15" hidden="false" customHeight="true" outlineLevel="0" collapsed="false">
      <c r="A739" s="4" t="n">
        <v>738</v>
      </c>
      <c r="B739" s="6" t="s">
        <v>1787</v>
      </c>
      <c r="C739" s="6" t="s">
        <v>2450</v>
      </c>
      <c r="D739" s="6" t="s">
        <v>2451</v>
      </c>
      <c r="E739" s="7" t="s">
        <v>21</v>
      </c>
      <c r="F739" s="6" t="s">
        <v>2902</v>
      </c>
      <c r="G739" s="5" t="s">
        <v>2903</v>
      </c>
      <c r="H739" s="5" t="s">
        <v>2904</v>
      </c>
      <c r="I739" s="5" t="s">
        <v>2905</v>
      </c>
      <c r="J739" s="5" t="s">
        <v>2906</v>
      </c>
      <c r="K739" s="5"/>
      <c r="L739" s="4" t="s">
        <v>44</v>
      </c>
      <c r="M739" s="8" t="s">
        <v>129</v>
      </c>
      <c r="N739" s="9" t="s">
        <v>2762</v>
      </c>
      <c r="O739" s="5"/>
      <c r="P739" s="5"/>
      <c r="Q739" s="6" t="s">
        <v>30</v>
      </c>
      <c r="R739" s="4" t="s">
        <v>31</v>
      </c>
      <c r="S739" s="7" t="s">
        <v>32</v>
      </c>
      <c r="T739" s="5"/>
    </row>
    <row r="740" customFormat="false" ht="15" hidden="false" customHeight="true" outlineLevel="0" collapsed="false">
      <c r="A740" s="4" t="n">
        <v>739</v>
      </c>
      <c r="B740" s="6" t="s">
        <v>1787</v>
      </c>
      <c r="C740" s="6" t="s">
        <v>2450</v>
      </c>
      <c r="D740" s="6" t="s">
        <v>2451</v>
      </c>
      <c r="E740" s="7" t="s">
        <v>21</v>
      </c>
      <c r="F740" s="6" t="s">
        <v>2907</v>
      </c>
      <c r="G740" s="6" t="s">
        <v>2908</v>
      </c>
      <c r="H740" s="6" t="s">
        <v>2909</v>
      </c>
      <c r="I740" s="6" t="s">
        <v>2910</v>
      </c>
      <c r="J740" s="6" t="s">
        <v>150</v>
      </c>
      <c r="K740" s="5"/>
      <c r="L740" s="4" t="s">
        <v>62</v>
      </c>
      <c r="M740" s="8" t="s">
        <v>79</v>
      </c>
      <c r="N740" s="9" t="s">
        <v>2762</v>
      </c>
      <c r="O740" s="5"/>
      <c r="P740" s="5"/>
      <c r="Q740" s="6" t="s">
        <v>30</v>
      </c>
      <c r="R740" s="4" t="s">
        <v>31</v>
      </c>
      <c r="S740" s="7" t="s">
        <v>32</v>
      </c>
      <c r="T740" s="5"/>
    </row>
    <row r="741" customFormat="false" ht="29.25" hidden="false" customHeight="true" outlineLevel="0" collapsed="false">
      <c r="A741" s="4" t="n">
        <v>740</v>
      </c>
      <c r="B741" s="6" t="s">
        <v>1787</v>
      </c>
      <c r="C741" s="6" t="s">
        <v>2450</v>
      </c>
      <c r="D741" s="6" t="s">
        <v>2451</v>
      </c>
      <c r="E741" s="7" t="s">
        <v>21</v>
      </c>
      <c r="F741" s="6" t="s">
        <v>2911</v>
      </c>
      <c r="G741" s="6" t="s">
        <v>2912</v>
      </c>
      <c r="H741" s="6" t="s">
        <v>2913</v>
      </c>
      <c r="I741" s="6" t="s">
        <v>2909</v>
      </c>
      <c r="J741" s="6" t="s">
        <v>2914</v>
      </c>
      <c r="K741" s="5"/>
      <c r="L741" s="4" t="s">
        <v>51</v>
      </c>
      <c r="M741" s="8" t="s">
        <v>28</v>
      </c>
      <c r="N741" s="9" t="s">
        <v>2762</v>
      </c>
      <c r="O741" s="5"/>
      <c r="P741" s="5"/>
      <c r="Q741" s="6" t="s">
        <v>30</v>
      </c>
      <c r="R741" s="4" t="s">
        <v>31</v>
      </c>
      <c r="S741" s="7" t="s">
        <v>32</v>
      </c>
      <c r="T741" s="5"/>
    </row>
    <row r="742" customFormat="false" ht="29.25" hidden="false" customHeight="true" outlineLevel="0" collapsed="false">
      <c r="A742" s="4" t="n">
        <v>741</v>
      </c>
      <c r="B742" s="6" t="s">
        <v>1787</v>
      </c>
      <c r="C742" s="6" t="s">
        <v>2450</v>
      </c>
      <c r="D742" s="6" t="s">
        <v>2451</v>
      </c>
      <c r="E742" s="7" t="s">
        <v>21</v>
      </c>
      <c r="F742" s="6" t="s">
        <v>2915</v>
      </c>
      <c r="G742" s="6" t="s">
        <v>2912</v>
      </c>
      <c r="H742" s="6" t="s">
        <v>2913</v>
      </c>
      <c r="I742" s="6" t="s">
        <v>2909</v>
      </c>
      <c r="J742" s="6" t="s">
        <v>2914</v>
      </c>
      <c r="K742" s="5"/>
      <c r="L742" s="4" t="s">
        <v>51</v>
      </c>
      <c r="M742" s="8" t="s">
        <v>28</v>
      </c>
      <c r="N742" s="9" t="s">
        <v>2762</v>
      </c>
      <c r="O742" s="5"/>
      <c r="P742" s="5"/>
      <c r="Q742" s="6" t="s">
        <v>30</v>
      </c>
      <c r="R742" s="4" t="s">
        <v>31</v>
      </c>
      <c r="S742" s="7" t="s">
        <v>32</v>
      </c>
      <c r="T742" s="5"/>
    </row>
    <row r="743" customFormat="false" ht="15" hidden="false" customHeight="true" outlineLevel="0" collapsed="false">
      <c r="A743" s="4" t="n">
        <v>742</v>
      </c>
      <c r="B743" s="6" t="s">
        <v>1787</v>
      </c>
      <c r="C743" s="6" t="s">
        <v>2450</v>
      </c>
      <c r="D743" s="6" t="s">
        <v>2451</v>
      </c>
      <c r="E743" s="7" t="s">
        <v>21</v>
      </c>
      <c r="F743" s="6" t="s">
        <v>2916</v>
      </c>
      <c r="G743" s="5" t="s">
        <v>176</v>
      </c>
      <c r="H743" s="5" t="s">
        <v>1224</v>
      </c>
      <c r="I743" s="5" t="s">
        <v>2917</v>
      </c>
      <c r="J743" s="5" t="s">
        <v>2918</v>
      </c>
      <c r="K743" s="5"/>
      <c r="L743" s="4" t="s">
        <v>62</v>
      </c>
      <c r="M743" s="8" t="s">
        <v>129</v>
      </c>
      <c r="N743" s="9" t="s">
        <v>2762</v>
      </c>
      <c r="O743" s="5"/>
      <c r="P743" s="5"/>
      <c r="Q743" s="6" t="s">
        <v>30</v>
      </c>
      <c r="R743" s="4" t="s">
        <v>31</v>
      </c>
      <c r="S743" s="7" t="s">
        <v>32</v>
      </c>
      <c r="T743" s="5"/>
    </row>
    <row r="744" customFormat="false" ht="15" hidden="false" customHeight="true" outlineLevel="0" collapsed="false">
      <c r="A744" s="4" t="n">
        <v>743</v>
      </c>
      <c r="B744" s="6" t="s">
        <v>1787</v>
      </c>
      <c r="C744" s="6" t="s">
        <v>2450</v>
      </c>
      <c r="D744" s="6" t="s">
        <v>2451</v>
      </c>
      <c r="E744" s="7" t="s">
        <v>21</v>
      </c>
      <c r="F744" s="5" t="s">
        <v>2919</v>
      </c>
      <c r="G744" s="5" t="s">
        <v>2920</v>
      </c>
      <c r="H744" s="5" t="s">
        <v>2921</v>
      </c>
      <c r="I744" s="5" t="s">
        <v>2922</v>
      </c>
      <c r="J744" s="5" t="s">
        <v>2923</v>
      </c>
      <c r="K744" s="5"/>
      <c r="L744" s="4" t="s">
        <v>44</v>
      </c>
      <c r="M744" s="8" t="s">
        <v>79</v>
      </c>
      <c r="N744" s="9" t="s">
        <v>2762</v>
      </c>
      <c r="O744" s="5"/>
      <c r="P744" s="5"/>
      <c r="Q744" s="6" t="s">
        <v>30</v>
      </c>
      <c r="R744" s="4" t="s">
        <v>31</v>
      </c>
      <c r="S744" s="7" t="s">
        <v>32</v>
      </c>
      <c r="T744" s="5"/>
    </row>
    <row r="745" customFormat="false" ht="15" hidden="false" customHeight="true" outlineLevel="0" collapsed="false">
      <c r="A745" s="4" t="n">
        <v>744</v>
      </c>
      <c r="B745" s="6" t="s">
        <v>1787</v>
      </c>
      <c r="C745" s="6" t="s">
        <v>2450</v>
      </c>
      <c r="D745" s="6" t="s">
        <v>2451</v>
      </c>
      <c r="E745" s="7" t="s">
        <v>21</v>
      </c>
      <c r="F745" s="5" t="s">
        <v>2924</v>
      </c>
      <c r="G745" s="5" t="s">
        <v>2925</v>
      </c>
      <c r="H745" s="5" t="s">
        <v>2926</v>
      </c>
      <c r="I745" s="5" t="s">
        <v>2927</v>
      </c>
      <c r="J745" s="5" t="s">
        <v>2928</v>
      </c>
      <c r="K745" s="5"/>
      <c r="L745" s="4" t="s">
        <v>62</v>
      </c>
      <c r="M745" s="8" t="s">
        <v>28</v>
      </c>
      <c r="N745" s="9" t="s">
        <v>2762</v>
      </c>
      <c r="O745" s="5"/>
      <c r="P745" s="5"/>
      <c r="Q745" s="6" t="s">
        <v>30</v>
      </c>
      <c r="R745" s="4" t="s">
        <v>31</v>
      </c>
      <c r="S745" s="7" t="s">
        <v>32</v>
      </c>
      <c r="T745" s="5"/>
    </row>
    <row r="746" customFormat="false" ht="29.25" hidden="false" customHeight="true" outlineLevel="0" collapsed="false">
      <c r="A746" s="4" t="n">
        <v>745</v>
      </c>
      <c r="B746" s="6" t="s">
        <v>1787</v>
      </c>
      <c r="C746" s="6" t="s">
        <v>2450</v>
      </c>
      <c r="D746" s="6" t="s">
        <v>2451</v>
      </c>
      <c r="E746" s="7" t="s">
        <v>21</v>
      </c>
      <c r="F746" s="6" t="s">
        <v>2929</v>
      </c>
      <c r="G746" s="5" t="s">
        <v>2803</v>
      </c>
      <c r="H746" s="5" t="s">
        <v>2930</v>
      </c>
      <c r="I746" s="5" t="s">
        <v>2863</v>
      </c>
      <c r="J746" s="6" t="s">
        <v>150</v>
      </c>
      <c r="K746" s="5"/>
      <c r="L746" s="4" t="s">
        <v>27</v>
      </c>
      <c r="M746" s="8" t="s">
        <v>28</v>
      </c>
      <c r="N746" s="9" t="s">
        <v>2762</v>
      </c>
      <c r="O746" s="5"/>
      <c r="P746" s="5"/>
      <c r="Q746" s="6" t="s">
        <v>30</v>
      </c>
      <c r="R746" s="4" t="s">
        <v>31</v>
      </c>
      <c r="S746" s="7" t="s">
        <v>32</v>
      </c>
      <c r="T746" s="5"/>
    </row>
    <row r="747" customFormat="false" ht="29.25" hidden="false" customHeight="true" outlineLevel="0" collapsed="false">
      <c r="A747" s="4" t="n">
        <v>746</v>
      </c>
      <c r="B747" s="6" t="s">
        <v>1787</v>
      </c>
      <c r="C747" s="6" t="s">
        <v>2450</v>
      </c>
      <c r="D747" s="6" t="s">
        <v>2451</v>
      </c>
      <c r="E747" s="7" t="s">
        <v>21</v>
      </c>
      <c r="F747" s="6" t="s">
        <v>2931</v>
      </c>
      <c r="G747" s="6" t="s">
        <v>2535</v>
      </c>
      <c r="H747" s="5" t="s">
        <v>2932</v>
      </c>
      <c r="I747" s="5" t="s">
        <v>2933</v>
      </c>
      <c r="J747" s="6" t="s">
        <v>2786</v>
      </c>
      <c r="K747" s="5"/>
      <c r="L747" s="4" t="s">
        <v>51</v>
      </c>
      <c r="M747" s="8" t="s">
        <v>28</v>
      </c>
      <c r="N747" s="9" t="s">
        <v>2762</v>
      </c>
      <c r="O747" s="5"/>
      <c r="P747" s="5"/>
      <c r="Q747" s="6" t="s">
        <v>30</v>
      </c>
      <c r="R747" s="4" t="s">
        <v>31</v>
      </c>
      <c r="S747" s="7" t="s">
        <v>32</v>
      </c>
      <c r="T747" s="5"/>
    </row>
    <row r="748" customFormat="false" ht="15" hidden="false" customHeight="true" outlineLevel="0" collapsed="false">
      <c r="A748" s="4" t="n">
        <v>747</v>
      </c>
      <c r="B748" s="6" t="s">
        <v>1787</v>
      </c>
      <c r="C748" s="6" t="s">
        <v>2450</v>
      </c>
      <c r="D748" s="6" t="s">
        <v>2451</v>
      </c>
      <c r="E748" s="7" t="s">
        <v>21</v>
      </c>
      <c r="F748" s="6" t="s">
        <v>2934</v>
      </c>
      <c r="G748" s="5" t="s">
        <v>2935</v>
      </c>
      <c r="H748" s="5" t="s">
        <v>2936</v>
      </c>
      <c r="I748" s="5" t="s">
        <v>2937</v>
      </c>
      <c r="J748" s="5" t="s">
        <v>2938</v>
      </c>
      <c r="K748" s="5"/>
      <c r="L748" s="4" t="s">
        <v>27</v>
      </c>
      <c r="M748" s="8" t="s">
        <v>28</v>
      </c>
      <c r="N748" s="9" t="s">
        <v>2762</v>
      </c>
      <c r="O748" s="5"/>
      <c r="P748" s="5"/>
      <c r="Q748" s="6" t="s">
        <v>30</v>
      </c>
      <c r="R748" s="4" t="s">
        <v>31</v>
      </c>
      <c r="S748" s="7" t="s">
        <v>32</v>
      </c>
      <c r="T748" s="5"/>
    </row>
    <row r="749" customFormat="false" ht="29.25" hidden="false" customHeight="true" outlineLevel="0" collapsed="false">
      <c r="A749" s="4" t="n">
        <v>748</v>
      </c>
      <c r="B749" s="6" t="s">
        <v>1787</v>
      </c>
      <c r="C749" s="6" t="s">
        <v>2450</v>
      </c>
      <c r="D749" s="6" t="s">
        <v>2451</v>
      </c>
      <c r="E749" s="7" t="s">
        <v>21</v>
      </c>
      <c r="F749" s="6" t="s">
        <v>2939</v>
      </c>
      <c r="G749" s="6" t="s">
        <v>2940</v>
      </c>
      <c r="H749" s="6" t="s">
        <v>2941</v>
      </c>
      <c r="I749" s="6" t="s">
        <v>2942</v>
      </c>
      <c r="J749" s="6" t="s">
        <v>2943</v>
      </c>
      <c r="K749" s="5"/>
      <c r="L749" s="4" t="s">
        <v>27</v>
      </c>
      <c r="M749" s="8" t="s">
        <v>28</v>
      </c>
      <c r="N749" s="9" t="s">
        <v>2762</v>
      </c>
      <c r="O749" s="5"/>
      <c r="P749" s="5"/>
      <c r="Q749" s="6" t="s">
        <v>30</v>
      </c>
      <c r="R749" s="4" t="s">
        <v>31</v>
      </c>
      <c r="S749" s="7" t="s">
        <v>32</v>
      </c>
      <c r="T749" s="5"/>
    </row>
    <row r="750" customFormat="false" ht="29.25" hidden="false" customHeight="true" outlineLevel="0" collapsed="false">
      <c r="A750" s="4" t="n">
        <v>749</v>
      </c>
      <c r="B750" s="6" t="s">
        <v>1787</v>
      </c>
      <c r="C750" s="6" t="s">
        <v>2450</v>
      </c>
      <c r="D750" s="6" t="s">
        <v>2451</v>
      </c>
      <c r="E750" s="7" t="s">
        <v>21</v>
      </c>
      <c r="F750" s="6" t="s">
        <v>2944</v>
      </c>
      <c r="G750" s="5" t="s">
        <v>2945</v>
      </c>
      <c r="H750" s="5" t="s">
        <v>2946</v>
      </c>
      <c r="I750" s="5" t="s">
        <v>1741</v>
      </c>
      <c r="J750" s="5" t="s">
        <v>2947</v>
      </c>
      <c r="K750" s="5"/>
      <c r="L750" s="4" t="s">
        <v>44</v>
      </c>
      <c r="M750" s="8" t="s">
        <v>28</v>
      </c>
      <c r="N750" s="9" t="s">
        <v>2762</v>
      </c>
      <c r="O750" s="5"/>
      <c r="P750" s="5"/>
      <c r="Q750" s="6" t="s">
        <v>30</v>
      </c>
      <c r="R750" s="4" t="s">
        <v>31</v>
      </c>
      <c r="S750" s="7" t="s">
        <v>32</v>
      </c>
      <c r="T750" s="5"/>
    </row>
    <row r="751" customFormat="false" ht="29.25" hidden="false" customHeight="true" outlineLevel="0" collapsed="false">
      <c r="A751" s="4" t="n">
        <v>750</v>
      </c>
      <c r="B751" s="6" t="s">
        <v>1787</v>
      </c>
      <c r="C751" s="6" t="s">
        <v>2450</v>
      </c>
      <c r="D751" s="6" t="s">
        <v>2451</v>
      </c>
      <c r="E751" s="7" t="s">
        <v>21</v>
      </c>
      <c r="F751" s="6" t="s">
        <v>2948</v>
      </c>
      <c r="G751" s="5" t="s">
        <v>2949</v>
      </c>
      <c r="H751" s="5" t="s">
        <v>2950</v>
      </c>
      <c r="I751" s="5" t="s">
        <v>2951</v>
      </c>
      <c r="J751" s="5" t="s">
        <v>2952</v>
      </c>
      <c r="K751" s="5"/>
      <c r="L751" s="4" t="s">
        <v>44</v>
      </c>
      <c r="M751" s="8" t="s">
        <v>79</v>
      </c>
      <c r="N751" s="9" t="s">
        <v>2762</v>
      </c>
      <c r="O751" s="5"/>
      <c r="P751" s="5"/>
      <c r="Q751" s="6" t="s">
        <v>30</v>
      </c>
      <c r="R751" s="4" t="s">
        <v>31</v>
      </c>
      <c r="S751" s="7" t="s">
        <v>32</v>
      </c>
      <c r="T751" s="5"/>
    </row>
    <row r="752" customFormat="false" ht="29.25" hidden="false" customHeight="true" outlineLevel="0" collapsed="false">
      <c r="A752" s="4" t="n">
        <v>751</v>
      </c>
      <c r="B752" s="6" t="s">
        <v>1787</v>
      </c>
      <c r="C752" s="6" t="s">
        <v>2450</v>
      </c>
      <c r="D752" s="6" t="s">
        <v>2451</v>
      </c>
      <c r="E752" s="7" t="s">
        <v>21</v>
      </c>
      <c r="F752" s="6" t="s">
        <v>2953</v>
      </c>
      <c r="G752" s="5" t="s">
        <v>2954</v>
      </c>
      <c r="H752" s="5" t="s">
        <v>2949</v>
      </c>
      <c r="I752" s="5" t="s">
        <v>2951</v>
      </c>
      <c r="J752" s="5" t="s">
        <v>2952</v>
      </c>
      <c r="K752" s="5"/>
      <c r="L752" s="4" t="s">
        <v>51</v>
      </c>
      <c r="M752" s="8" t="s">
        <v>79</v>
      </c>
      <c r="N752" s="9" t="s">
        <v>2762</v>
      </c>
      <c r="O752" s="5"/>
      <c r="P752" s="5"/>
      <c r="Q752" s="6" t="s">
        <v>30</v>
      </c>
      <c r="R752" s="4" t="s">
        <v>31</v>
      </c>
      <c r="S752" s="7" t="s">
        <v>32</v>
      </c>
      <c r="T752" s="5"/>
    </row>
    <row r="753" customFormat="false" ht="29.25" hidden="false" customHeight="true" outlineLevel="0" collapsed="false">
      <c r="A753" s="4" t="n">
        <v>752</v>
      </c>
      <c r="B753" s="6" t="s">
        <v>1787</v>
      </c>
      <c r="C753" s="6" t="s">
        <v>2450</v>
      </c>
      <c r="D753" s="6" t="s">
        <v>2451</v>
      </c>
      <c r="E753" s="7" t="s">
        <v>21</v>
      </c>
      <c r="F753" s="6" t="s">
        <v>2955</v>
      </c>
      <c r="G753" s="5" t="s">
        <v>2956</v>
      </c>
      <c r="H753" s="5" t="s">
        <v>2957</v>
      </c>
      <c r="I753" s="5" t="s">
        <v>2958</v>
      </c>
      <c r="J753" s="6" t="s">
        <v>150</v>
      </c>
      <c r="K753" s="5"/>
      <c r="L753" s="4" t="s">
        <v>27</v>
      </c>
      <c r="M753" s="8" t="s">
        <v>28</v>
      </c>
      <c r="N753" s="9" t="s">
        <v>2762</v>
      </c>
      <c r="O753" s="5"/>
      <c r="P753" s="5"/>
      <c r="Q753" s="6" t="s">
        <v>30</v>
      </c>
      <c r="R753" s="4" t="s">
        <v>31</v>
      </c>
      <c r="S753" s="7" t="s">
        <v>32</v>
      </c>
      <c r="T753" s="5"/>
    </row>
    <row r="754" customFormat="false" ht="43.5" hidden="false" customHeight="true" outlineLevel="0" collapsed="false">
      <c r="A754" s="4" t="n">
        <v>753</v>
      </c>
      <c r="B754" s="6" t="s">
        <v>1787</v>
      </c>
      <c r="C754" s="6" t="s">
        <v>2450</v>
      </c>
      <c r="D754" s="6" t="s">
        <v>2451</v>
      </c>
      <c r="E754" s="7" t="s">
        <v>21</v>
      </c>
      <c r="F754" s="5" t="s">
        <v>2959</v>
      </c>
      <c r="G754" s="5" t="s">
        <v>2960</v>
      </c>
      <c r="H754" s="5" t="s">
        <v>2961</v>
      </c>
      <c r="I754" s="5" t="s">
        <v>2962</v>
      </c>
      <c r="J754" s="6" t="s">
        <v>150</v>
      </c>
      <c r="K754" s="5"/>
      <c r="L754" s="4" t="s">
        <v>27</v>
      </c>
      <c r="M754" s="8" t="s">
        <v>28</v>
      </c>
      <c r="N754" s="9" t="s">
        <v>2762</v>
      </c>
      <c r="O754" s="5"/>
      <c r="P754" s="5"/>
      <c r="Q754" s="6" t="s">
        <v>30</v>
      </c>
      <c r="R754" s="4" t="s">
        <v>31</v>
      </c>
      <c r="S754" s="7" t="s">
        <v>32</v>
      </c>
      <c r="T754" s="5"/>
    </row>
    <row r="755" customFormat="false" ht="15" hidden="false" customHeight="true" outlineLevel="0" collapsed="false">
      <c r="A755" s="4" t="n">
        <v>754</v>
      </c>
      <c r="B755" s="6" t="s">
        <v>1787</v>
      </c>
      <c r="C755" s="6" t="s">
        <v>2450</v>
      </c>
      <c r="D755" s="6" t="s">
        <v>2451</v>
      </c>
      <c r="E755" s="7" t="s">
        <v>21</v>
      </c>
      <c r="F755" s="6" t="s">
        <v>2963</v>
      </c>
      <c r="G755" s="6" t="s">
        <v>2683</v>
      </c>
      <c r="H755" s="6" t="s">
        <v>2684</v>
      </c>
      <c r="I755" s="6" t="s">
        <v>2964</v>
      </c>
      <c r="J755" s="6" t="s">
        <v>2965</v>
      </c>
      <c r="K755" s="5"/>
      <c r="L755" s="4" t="s">
        <v>27</v>
      </c>
      <c r="M755" s="8" t="s">
        <v>79</v>
      </c>
      <c r="N755" s="9" t="s">
        <v>2457</v>
      </c>
      <c r="O755" s="5"/>
      <c r="P755" s="5"/>
      <c r="Q755" s="6" t="s">
        <v>30</v>
      </c>
      <c r="R755" s="4" t="s">
        <v>31</v>
      </c>
      <c r="S755" s="7" t="s">
        <v>32</v>
      </c>
      <c r="T755" s="5"/>
    </row>
    <row r="756" customFormat="false" ht="15" hidden="false" customHeight="true" outlineLevel="0" collapsed="false">
      <c r="A756" s="4" t="n">
        <v>755</v>
      </c>
      <c r="B756" s="6" t="s">
        <v>1787</v>
      </c>
      <c r="C756" s="6" t="s">
        <v>2450</v>
      </c>
      <c r="D756" s="6" t="s">
        <v>2451</v>
      </c>
      <c r="E756" s="7" t="s">
        <v>21</v>
      </c>
      <c r="F756" s="6" t="s">
        <v>2966</v>
      </c>
      <c r="G756" s="6" t="s">
        <v>2683</v>
      </c>
      <c r="H756" s="6" t="s">
        <v>2684</v>
      </c>
      <c r="I756" s="6" t="s">
        <v>2964</v>
      </c>
      <c r="J756" s="6" t="s">
        <v>2965</v>
      </c>
      <c r="K756" s="5"/>
      <c r="L756" s="4" t="s">
        <v>51</v>
      </c>
      <c r="M756" s="8" t="s">
        <v>79</v>
      </c>
      <c r="N756" s="9" t="s">
        <v>2793</v>
      </c>
      <c r="O756" s="5"/>
      <c r="P756" s="5"/>
      <c r="Q756" s="6" t="s">
        <v>30</v>
      </c>
      <c r="R756" s="4" t="s">
        <v>31</v>
      </c>
      <c r="S756" s="7" t="s">
        <v>32</v>
      </c>
      <c r="T756" s="5"/>
    </row>
    <row r="757" customFormat="false" ht="15" hidden="false" customHeight="true" outlineLevel="0" collapsed="false">
      <c r="A757" s="4" t="n">
        <v>756</v>
      </c>
      <c r="B757" s="6" t="s">
        <v>1787</v>
      </c>
      <c r="C757" s="6" t="s">
        <v>2450</v>
      </c>
      <c r="D757" s="6" t="s">
        <v>2451</v>
      </c>
      <c r="E757" s="7" t="s">
        <v>21</v>
      </c>
      <c r="F757" s="6" t="s">
        <v>2967</v>
      </c>
      <c r="G757" s="6" t="s">
        <v>2683</v>
      </c>
      <c r="H757" s="6" t="s">
        <v>2684</v>
      </c>
      <c r="I757" s="6" t="s">
        <v>2964</v>
      </c>
      <c r="J757" s="6" t="s">
        <v>2965</v>
      </c>
      <c r="K757" s="5"/>
      <c r="L757" s="4" t="s">
        <v>62</v>
      </c>
      <c r="M757" s="8" t="s">
        <v>129</v>
      </c>
      <c r="N757" s="9" t="s">
        <v>2457</v>
      </c>
      <c r="O757" s="5"/>
      <c r="P757" s="5"/>
      <c r="Q757" s="6" t="s">
        <v>30</v>
      </c>
      <c r="R757" s="4" t="s">
        <v>31</v>
      </c>
      <c r="S757" s="7" t="s">
        <v>32</v>
      </c>
      <c r="T757" s="5"/>
    </row>
    <row r="758" customFormat="false" ht="15" hidden="false" customHeight="true" outlineLevel="0" collapsed="false">
      <c r="A758" s="4" t="n">
        <v>757</v>
      </c>
      <c r="B758" s="6" t="s">
        <v>1787</v>
      </c>
      <c r="C758" s="6" t="s">
        <v>2450</v>
      </c>
      <c r="D758" s="6" t="s">
        <v>2451</v>
      </c>
      <c r="E758" s="7" t="s">
        <v>21</v>
      </c>
      <c r="F758" s="6" t="s">
        <v>2968</v>
      </c>
      <c r="G758" s="5" t="s">
        <v>2969</v>
      </c>
      <c r="H758" s="5" t="s">
        <v>2970</v>
      </c>
      <c r="I758" s="5" t="s">
        <v>2971</v>
      </c>
      <c r="J758" s="5" t="s">
        <v>2972</v>
      </c>
      <c r="K758" s="5"/>
      <c r="L758" s="4" t="s">
        <v>27</v>
      </c>
      <c r="M758" s="8" t="s">
        <v>129</v>
      </c>
      <c r="N758" s="9" t="s">
        <v>2457</v>
      </c>
      <c r="O758" s="5"/>
      <c r="P758" s="5"/>
      <c r="Q758" s="6" t="s">
        <v>30</v>
      </c>
      <c r="R758" s="4" t="s">
        <v>31</v>
      </c>
      <c r="S758" s="7" t="s">
        <v>32</v>
      </c>
      <c r="T758" s="5"/>
    </row>
    <row r="759" customFormat="false" ht="15" hidden="false" customHeight="true" outlineLevel="0" collapsed="false">
      <c r="A759" s="4" t="n">
        <v>758</v>
      </c>
      <c r="B759" s="6" t="s">
        <v>1787</v>
      </c>
      <c r="C759" s="6" t="s">
        <v>2450</v>
      </c>
      <c r="D759" s="6" t="s">
        <v>2451</v>
      </c>
      <c r="E759" s="7" t="s">
        <v>21</v>
      </c>
      <c r="F759" s="6" t="s">
        <v>2973</v>
      </c>
      <c r="G759" s="6" t="s">
        <v>2467</v>
      </c>
      <c r="H759" s="6" t="s">
        <v>2468</v>
      </c>
      <c r="I759" s="6" t="s">
        <v>2469</v>
      </c>
      <c r="J759" s="6" t="s">
        <v>150</v>
      </c>
      <c r="K759" s="5"/>
      <c r="L759" s="4" t="s">
        <v>51</v>
      </c>
      <c r="M759" s="8" t="s">
        <v>129</v>
      </c>
      <c r="N759" s="9" t="s">
        <v>2457</v>
      </c>
      <c r="O759" s="5"/>
      <c r="P759" s="5"/>
      <c r="Q759" s="6" t="s">
        <v>30</v>
      </c>
      <c r="R759" s="4" t="s">
        <v>31</v>
      </c>
      <c r="S759" s="7" t="s">
        <v>32</v>
      </c>
      <c r="T759" s="5"/>
    </row>
    <row r="760" customFormat="false" ht="15" hidden="false" customHeight="true" outlineLevel="0" collapsed="false">
      <c r="A760" s="4" t="n">
        <v>759</v>
      </c>
      <c r="B760" s="6" t="s">
        <v>1787</v>
      </c>
      <c r="C760" s="6" t="s">
        <v>2450</v>
      </c>
      <c r="D760" s="6" t="s">
        <v>2451</v>
      </c>
      <c r="E760" s="7" t="s">
        <v>21</v>
      </c>
      <c r="F760" s="6" t="s">
        <v>2974</v>
      </c>
      <c r="G760" s="6" t="s">
        <v>2975</v>
      </c>
      <c r="H760" s="6" t="s">
        <v>2976</v>
      </c>
      <c r="I760" s="6" t="s">
        <v>2469</v>
      </c>
      <c r="J760" s="6" t="s">
        <v>150</v>
      </c>
      <c r="K760" s="5"/>
      <c r="L760" s="4" t="s">
        <v>62</v>
      </c>
      <c r="M760" s="8" t="s">
        <v>129</v>
      </c>
      <c r="N760" s="9" t="s">
        <v>2457</v>
      </c>
      <c r="O760" s="5"/>
      <c r="P760" s="5"/>
      <c r="Q760" s="6" t="s">
        <v>30</v>
      </c>
      <c r="R760" s="4" t="s">
        <v>31</v>
      </c>
      <c r="S760" s="7" t="s">
        <v>32</v>
      </c>
      <c r="T760" s="5"/>
    </row>
    <row r="761" customFormat="false" ht="29.25" hidden="false" customHeight="true" outlineLevel="0" collapsed="false">
      <c r="A761" s="4" t="n">
        <v>760</v>
      </c>
      <c r="B761" s="6" t="s">
        <v>1787</v>
      </c>
      <c r="C761" s="6" t="s">
        <v>2450</v>
      </c>
      <c r="D761" s="6" t="s">
        <v>2451</v>
      </c>
      <c r="E761" s="7" t="s">
        <v>21</v>
      </c>
      <c r="F761" s="6" t="s">
        <v>2977</v>
      </c>
      <c r="G761" s="5" t="s">
        <v>2969</v>
      </c>
      <c r="H761" s="5" t="s">
        <v>2978</v>
      </c>
      <c r="I761" s="5" t="s">
        <v>2970</v>
      </c>
      <c r="J761" s="5" t="s">
        <v>2979</v>
      </c>
      <c r="K761" s="5"/>
      <c r="L761" s="4" t="s">
        <v>62</v>
      </c>
      <c r="M761" s="8" t="s">
        <v>28</v>
      </c>
      <c r="N761" s="9" t="s">
        <v>2762</v>
      </c>
      <c r="O761" s="5"/>
      <c r="P761" s="5"/>
      <c r="Q761" s="6" t="s">
        <v>30</v>
      </c>
      <c r="R761" s="4" t="s">
        <v>31</v>
      </c>
      <c r="S761" s="7" t="s">
        <v>32</v>
      </c>
      <c r="T761" s="5"/>
    </row>
    <row r="762" customFormat="false" ht="29.25" hidden="false" customHeight="true" outlineLevel="0" collapsed="false">
      <c r="A762" s="4" t="n">
        <v>761</v>
      </c>
      <c r="B762" s="6" t="s">
        <v>1787</v>
      </c>
      <c r="C762" s="6" t="s">
        <v>2450</v>
      </c>
      <c r="D762" s="6" t="s">
        <v>2451</v>
      </c>
      <c r="E762" s="7" t="s">
        <v>21</v>
      </c>
      <c r="F762" s="5" t="s">
        <v>2980</v>
      </c>
      <c r="G762" s="6" t="s">
        <v>2981</v>
      </c>
      <c r="H762" s="6" t="s">
        <v>2656</v>
      </c>
      <c r="I762" s="6" t="s">
        <v>2982</v>
      </c>
      <c r="J762" s="6" t="s">
        <v>150</v>
      </c>
      <c r="K762" s="5"/>
      <c r="L762" s="4" t="s">
        <v>51</v>
      </c>
      <c r="M762" s="8" t="s">
        <v>28</v>
      </c>
      <c r="N762" s="9" t="s">
        <v>2762</v>
      </c>
      <c r="O762" s="5"/>
      <c r="P762" s="5"/>
      <c r="Q762" s="6" t="s">
        <v>30</v>
      </c>
      <c r="R762" s="4" t="s">
        <v>31</v>
      </c>
      <c r="S762" s="7" t="s">
        <v>32</v>
      </c>
      <c r="T762" s="5"/>
    </row>
    <row r="763" customFormat="false" ht="29.25" hidden="false" customHeight="true" outlineLevel="0" collapsed="false">
      <c r="A763" s="4" t="n">
        <v>762</v>
      </c>
      <c r="B763" s="6" t="s">
        <v>1787</v>
      </c>
      <c r="C763" s="6" t="s">
        <v>2450</v>
      </c>
      <c r="D763" s="6" t="s">
        <v>2451</v>
      </c>
      <c r="E763" s="7" t="s">
        <v>21</v>
      </c>
      <c r="F763" s="5" t="s">
        <v>2983</v>
      </c>
      <c r="G763" s="6" t="s">
        <v>2981</v>
      </c>
      <c r="H763" s="6" t="s">
        <v>2656</v>
      </c>
      <c r="I763" s="6" t="s">
        <v>2982</v>
      </c>
      <c r="J763" s="6" t="s">
        <v>150</v>
      </c>
      <c r="K763" s="5"/>
      <c r="L763" s="4" t="s">
        <v>62</v>
      </c>
      <c r="M763" s="8" t="s">
        <v>28</v>
      </c>
      <c r="N763" s="9" t="s">
        <v>2762</v>
      </c>
      <c r="O763" s="5"/>
      <c r="P763" s="5"/>
      <c r="Q763" s="6" t="s">
        <v>30</v>
      </c>
      <c r="R763" s="4" t="s">
        <v>31</v>
      </c>
      <c r="S763" s="7" t="s">
        <v>32</v>
      </c>
      <c r="T763" s="5"/>
    </row>
    <row r="764" customFormat="false" ht="43.5" hidden="false" customHeight="true" outlineLevel="0" collapsed="false">
      <c r="A764" s="4" t="n">
        <v>763</v>
      </c>
      <c r="B764" s="6" t="s">
        <v>1787</v>
      </c>
      <c r="C764" s="6" t="s">
        <v>2450</v>
      </c>
      <c r="D764" s="6" t="s">
        <v>2451</v>
      </c>
      <c r="E764" s="7" t="s">
        <v>21</v>
      </c>
      <c r="F764" s="6" t="s">
        <v>2984</v>
      </c>
      <c r="G764" s="5" t="s">
        <v>2985</v>
      </c>
      <c r="H764" s="5" t="s">
        <v>2986</v>
      </c>
      <c r="I764" s="5" t="s">
        <v>2987</v>
      </c>
      <c r="J764" s="5" t="s">
        <v>2988</v>
      </c>
      <c r="K764" s="5"/>
      <c r="L764" s="4" t="s">
        <v>44</v>
      </c>
      <c r="M764" s="8" t="s">
        <v>28</v>
      </c>
      <c r="N764" s="9" t="s">
        <v>2762</v>
      </c>
      <c r="O764" s="5"/>
      <c r="P764" s="5"/>
      <c r="Q764" s="6" t="s">
        <v>30</v>
      </c>
      <c r="R764" s="4" t="s">
        <v>31</v>
      </c>
      <c r="S764" s="7" t="s">
        <v>32</v>
      </c>
      <c r="T764" s="5"/>
    </row>
    <row r="765" customFormat="false" ht="29.25" hidden="false" customHeight="true" outlineLevel="0" collapsed="false">
      <c r="A765" s="4" t="n">
        <v>764</v>
      </c>
      <c r="B765" s="6" t="s">
        <v>1787</v>
      </c>
      <c r="C765" s="6" t="s">
        <v>2450</v>
      </c>
      <c r="D765" s="6" t="s">
        <v>2451</v>
      </c>
      <c r="E765" s="7" t="s">
        <v>21</v>
      </c>
      <c r="F765" s="6" t="s">
        <v>2989</v>
      </c>
      <c r="G765" s="6" t="s">
        <v>2990</v>
      </c>
      <c r="H765" s="6" t="s">
        <v>2991</v>
      </c>
      <c r="I765" s="6" t="s">
        <v>2992</v>
      </c>
      <c r="J765" s="6" t="s">
        <v>78</v>
      </c>
      <c r="K765" s="5"/>
      <c r="L765" s="4" t="s">
        <v>44</v>
      </c>
      <c r="M765" s="8" t="s">
        <v>79</v>
      </c>
      <c r="N765" s="9" t="s">
        <v>2620</v>
      </c>
      <c r="O765" s="5"/>
      <c r="P765" s="5"/>
      <c r="Q765" s="6" t="s">
        <v>30</v>
      </c>
      <c r="R765" s="4" t="s">
        <v>31</v>
      </c>
      <c r="S765" s="7" t="s">
        <v>32</v>
      </c>
      <c r="T765" s="5"/>
    </row>
    <row r="766" customFormat="false" ht="29.25" hidden="false" customHeight="true" outlineLevel="0" collapsed="false">
      <c r="A766" s="4" t="n">
        <v>765</v>
      </c>
      <c r="B766" s="6" t="s">
        <v>1787</v>
      </c>
      <c r="C766" s="6" t="s">
        <v>2450</v>
      </c>
      <c r="D766" s="6" t="s">
        <v>2451</v>
      </c>
      <c r="E766" s="7" t="s">
        <v>21</v>
      </c>
      <c r="F766" s="6" t="s">
        <v>2993</v>
      </c>
      <c r="G766" s="6" t="s">
        <v>2994</v>
      </c>
      <c r="H766" s="6" t="s">
        <v>2642</v>
      </c>
      <c r="I766" s="6" t="s">
        <v>2995</v>
      </c>
      <c r="J766" s="6" t="s">
        <v>150</v>
      </c>
      <c r="K766" s="5"/>
      <c r="L766" s="4" t="s">
        <v>27</v>
      </c>
      <c r="M766" s="8" t="s">
        <v>79</v>
      </c>
      <c r="N766" s="9" t="s">
        <v>2457</v>
      </c>
      <c r="O766" s="5"/>
      <c r="P766" s="5"/>
      <c r="Q766" s="6" t="s">
        <v>30</v>
      </c>
      <c r="R766" s="4" t="s">
        <v>31</v>
      </c>
      <c r="S766" s="7" t="s">
        <v>32</v>
      </c>
      <c r="T766" s="5"/>
    </row>
    <row r="767" customFormat="false" ht="29.25" hidden="false" customHeight="true" outlineLevel="0" collapsed="false">
      <c r="A767" s="4" t="n">
        <v>766</v>
      </c>
      <c r="B767" s="6" t="s">
        <v>1787</v>
      </c>
      <c r="C767" s="6" t="s">
        <v>2450</v>
      </c>
      <c r="D767" s="6" t="s">
        <v>2451</v>
      </c>
      <c r="E767" s="7" t="s">
        <v>21</v>
      </c>
      <c r="F767" s="6" t="s">
        <v>2996</v>
      </c>
      <c r="G767" s="6" t="s">
        <v>2997</v>
      </c>
      <c r="H767" s="6" t="s">
        <v>2998</v>
      </c>
      <c r="I767" s="6" t="s">
        <v>2999</v>
      </c>
      <c r="J767" s="6" t="s">
        <v>150</v>
      </c>
      <c r="K767" s="5"/>
      <c r="L767" s="4" t="s">
        <v>27</v>
      </c>
      <c r="M767" s="8" t="s">
        <v>79</v>
      </c>
      <c r="N767" s="9" t="s">
        <v>2457</v>
      </c>
      <c r="O767" s="5"/>
      <c r="P767" s="5"/>
      <c r="Q767" s="6" t="s">
        <v>30</v>
      </c>
      <c r="R767" s="4" t="s">
        <v>31</v>
      </c>
      <c r="S767" s="7" t="s">
        <v>32</v>
      </c>
      <c r="T767" s="5"/>
    </row>
    <row r="768" customFormat="false" ht="15" hidden="false" customHeight="true" outlineLevel="0" collapsed="false">
      <c r="A768" s="4" t="n">
        <v>767</v>
      </c>
      <c r="B768" s="6" t="s">
        <v>1787</v>
      </c>
      <c r="C768" s="6" t="s">
        <v>2450</v>
      </c>
      <c r="D768" s="6" t="s">
        <v>2451</v>
      </c>
      <c r="E768" s="7" t="s">
        <v>21</v>
      </c>
      <c r="F768" s="6" t="s">
        <v>3000</v>
      </c>
      <c r="G768" s="6" t="s">
        <v>2627</v>
      </c>
      <c r="H768" s="6" t="s">
        <v>2629</v>
      </c>
      <c r="I768" s="6" t="s">
        <v>3001</v>
      </c>
      <c r="J768" s="6" t="s">
        <v>3002</v>
      </c>
      <c r="K768" s="5"/>
      <c r="L768" s="4" t="s">
        <v>27</v>
      </c>
      <c r="M768" s="8" t="s">
        <v>129</v>
      </c>
      <c r="N768" s="9" t="s">
        <v>2457</v>
      </c>
      <c r="O768" s="5"/>
      <c r="P768" s="5"/>
      <c r="Q768" s="6" t="s">
        <v>30</v>
      </c>
      <c r="R768" s="4" t="s">
        <v>31</v>
      </c>
      <c r="S768" s="7" t="s">
        <v>32</v>
      </c>
      <c r="T768" s="5"/>
    </row>
    <row r="769" customFormat="false" ht="15" hidden="false" customHeight="true" outlineLevel="0" collapsed="false">
      <c r="A769" s="4" t="n">
        <v>768</v>
      </c>
      <c r="B769" s="6" t="s">
        <v>1787</v>
      </c>
      <c r="C769" s="6" t="s">
        <v>2450</v>
      </c>
      <c r="D769" s="6" t="s">
        <v>2451</v>
      </c>
      <c r="E769" s="7" t="s">
        <v>21</v>
      </c>
      <c r="F769" s="6" t="s">
        <v>3003</v>
      </c>
      <c r="G769" s="6" t="s">
        <v>2627</v>
      </c>
      <c r="H769" s="6" t="s">
        <v>2629</v>
      </c>
      <c r="I769" s="6" t="s">
        <v>3001</v>
      </c>
      <c r="J769" s="6" t="s">
        <v>3002</v>
      </c>
      <c r="K769" s="5"/>
      <c r="L769" s="4" t="s">
        <v>44</v>
      </c>
      <c r="M769" s="8" t="s">
        <v>129</v>
      </c>
      <c r="N769" s="9" t="s">
        <v>2457</v>
      </c>
      <c r="O769" s="5"/>
      <c r="P769" s="5"/>
      <c r="Q769" s="6" t="s">
        <v>30</v>
      </c>
      <c r="R769" s="4" t="s">
        <v>31</v>
      </c>
      <c r="S769" s="7" t="s">
        <v>32</v>
      </c>
      <c r="T769" s="5"/>
    </row>
    <row r="770" customFormat="false" ht="29.25" hidden="false" customHeight="true" outlineLevel="0" collapsed="false">
      <c r="A770" s="4" t="n">
        <v>769</v>
      </c>
      <c r="B770" s="6" t="s">
        <v>1787</v>
      </c>
      <c r="C770" s="6" t="s">
        <v>2450</v>
      </c>
      <c r="D770" s="6" t="s">
        <v>2451</v>
      </c>
      <c r="E770" s="7" t="s">
        <v>21</v>
      </c>
      <c r="F770" s="5" t="s">
        <v>3004</v>
      </c>
      <c r="G770" s="6" t="s">
        <v>2627</v>
      </c>
      <c r="H770" s="6" t="s">
        <v>2629</v>
      </c>
      <c r="I770" s="6" t="s">
        <v>3005</v>
      </c>
      <c r="J770" s="6" t="s">
        <v>3006</v>
      </c>
      <c r="K770" s="5"/>
      <c r="L770" s="4" t="s">
        <v>44</v>
      </c>
      <c r="M770" s="8" t="s">
        <v>28</v>
      </c>
      <c r="N770" s="9" t="s">
        <v>2457</v>
      </c>
      <c r="O770" s="5"/>
      <c r="P770" s="5"/>
      <c r="Q770" s="6" t="s">
        <v>30</v>
      </c>
      <c r="R770" s="4" t="s">
        <v>31</v>
      </c>
      <c r="S770" s="7" t="s">
        <v>32</v>
      </c>
      <c r="T770" s="5"/>
    </row>
    <row r="771" customFormat="false" ht="15" hidden="false" customHeight="true" outlineLevel="0" collapsed="false">
      <c r="A771" s="4" t="n">
        <v>770</v>
      </c>
      <c r="B771" s="6" t="s">
        <v>1787</v>
      </c>
      <c r="C771" s="6" t="s">
        <v>2450</v>
      </c>
      <c r="D771" s="6" t="s">
        <v>2451</v>
      </c>
      <c r="E771" s="7" t="s">
        <v>21</v>
      </c>
      <c r="F771" s="6" t="s">
        <v>3007</v>
      </c>
      <c r="G771" s="6" t="s">
        <v>3008</v>
      </c>
      <c r="H771" s="6" t="s">
        <v>3009</v>
      </c>
      <c r="I771" s="6" t="s">
        <v>3010</v>
      </c>
      <c r="J771" s="6" t="s">
        <v>150</v>
      </c>
      <c r="K771" s="5"/>
      <c r="L771" s="4" t="s">
        <v>27</v>
      </c>
      <c r="M771" s="8" t="s">
        <v>79</v>
      </c>
      <c r="N771" s="9" t="s">
        <v>2620</v>
      </c>
      <c r="O771" s="5"/>
      <c r="P771" s="5"/>
      <c r="Q771" s="6" t="s">
        <v>30</v>
      </c>
      <c r="R771" s="4" t="s">
        <v>31</v>
      </c>
      <c r="S771" s="7" t="s">
        <v>32</v>
      </c>
      <c r="T771" s="5"/>
    </row>
    <row r="772" customFormat="false" ht="29.25" hidden="false" customHeight="true" outlineLevel="0" collapsed="false">
      <c r="A772" s="4" t="n">
        <v>771</v>
      </c>
      <c r="B772" s="6" t="s">
        <v>1787</v>
      </c>
      <c r="C772" s="6" t="s">
        <v>2450</v>
      </c>
      <c r="D772" s="6" t="s">
        <v>2451</v>
      </c>
      <c r="E772" s="7" t="s">
        <v>21</v>
      </c>
      <c r="F772" s="5" t="s">
        <v>3011</v>
      </c>
      <c r="G772" s="6" t="s">
        <v>3012</v>
      </c>
      <c r="H772" s="6" t="s">
        <v>3013</v>
      </c>
      <c r="I772" s="6" t="s">
        <v>3014</v>
      </c>
      <c r="J772" s="6" t="s">
        <v>150</v>
      </c>
      <c r="K772" s="5"/>
      <c r="L772" s="4" t="s">
        <v>62</v>
      </c>
      <c r="M772" s="8" t="s">
        <v>79</v>
      </c>
      <c r="N772" s="9" t="s">
        <v>2620</v>
      </c>
      <c r="O772" s="5"/>
      <c r="P772" s="5"/>
      <c r="Q772" s="6" t="s">
        <v>30</v>
      </c>
      <c r="R772" s="4" t="s">
        <v>31</v>
      </c>
      <c r="S772" s="7" t="s">
        <v>32</v>
      </c>
      <c r="T772" s="5"/>
    </row>
    <row r="773" customFormat="false" ht="15" hidden="false" customHeight="true" outlineLevel="0" collapsed="false">
      <c r="A773" s="4" t="n">
        <v>772</v>
      </c>
      <c r="B773" s="6" t="s">
        <v>1787</v>
      </c>
      <c r="C773" s="6" t="s">
        <v>3015</v>
      </c>
      <c r="D773" s="6" t="s">
        <v>3016</v>
      </c>
      <c r="E773" s="7" t="s">
        <v>21</v>
      </c>
      <c r="F773" s="6" t="s">
        <v>3017</v>
      </c>
      <c r="G773" s="6" t="s">
        <v>3018</v>
      </c>
      <c r="H773" s="6" t="s">
        <v>3019</v>
      </c>
      <c r="I773" s="6" t="s">
        <v>3020</v>
      </c>
      <c r="J773" s="6" t="s">
        <v>3021</v>
      </c>
      <c r="K773" s="5"/>
      <c r="L773" s="4" t="s">
        <v>27</v>
      </c>
      <c r="M773" s="8" t="s">
        <v>129</v>
      </c>
      <c r="N773" s="9" t="s">
        <v>3022</v>
      </c>
      <c r="O773" s="5"/>
      <c r="P773" s="5"/>
      <c r="Q773" s="6" t="s">
        <v>30</v>
      </c>
      <c r="R773" s="4" t="s">
        <v>31</v>
      </c>
      <c r="S773" s="7" t="s">
        <v>32</v>
      </c>
      <c r="T773" s="5"/>
    </row>
    <row r="774" customFormat="false" ht="29.25" hidden="false" customHeight="true" outlineLevel="0" collapsed="false">
      <c r="A774" s="4" t="n">
        <v>773</v>
      </c>
      <c r="B774" s="6" t="s">
        <v>1787</v>
      </c>
      <c r="C774" s="6" t="s">
        <v>3015</v>
      </c>
      <c r="D774" s="6" t="s">
        <v>3016</v>
      </c>
      <c r="E774" s="7" t="s">
        <v>21</v>
      </c>
      <c r="F774" s="6" t="s">
        <v>3023</v>
      </c>
      <c r="G774" s="6" t="s">
        <v>3024</v>
      </c>
      <c r="H774" s="6" t="s">
        <v>3025</v>
      </c>
      <c r="I774" s="6" t="s">
        <v>3026</v>
      </c>
      <c r="J774" s="6" t="s">
        <v>3027</v>
      </c>
      <c r="K774" s="5"/>
      <c r="L774" s="4" t="s">
        <v>27</v>
      </c>
      <c r="M774" s="8" t="s">
        <v>28</v>
      </c>
      <c r="N774" s="9" t="s">
        <v>3022</v>
      </c>
      <c r="O774" s="5"/>
      <c r="P774" s="5"/>
      <c r="Q774" s="6" t="s">
        <v>30</v>
      </c>
      <c r="R774" s="4" t="s">
        <v>31</v>
      </c>
      <c r="S774" s="7" t="s">
        <v>32</v>
      </c>
      <c r="T774" s="5"/>
    </row>
    <row r="775" customFormat="false" ht="15" hidden="false" customHeight="true" outlineLevel="0" collapsed="false">
      <c r="A775" s="4" t="n">
        <v>774</v>
      </c>
      <c r="B775" s="6" t="s">
        <v>1787</v>
      </c>
      <c r="C775" s="6" t="s">
        <v>3015</v>
      </c>
      <c r="D775" s="6" t="s">
        <v>3016</v>
      </c>
      <c r="E775" s="7" t="s">
        <v>21</v>
      </c>
      <c r="F775" s="6" t="s">
        <v>3028</v>
      </c>
      <c r="G775" s="5" t="s">
        <v>3029</v>
      </c>
      <c r="H775" s="6" t="s">
        <v>3030</v>
      </c>
      <c r="I775" s="6" t="s">
        <v>3031</v>
      </c>
      <c r="J775" s="6" t="s">
        <v>3025</v>
      </c>
      <c r="K775" s="5"/>
      <c r="L775" s="4" t="s">
        <v>44</v>
      </c>
      <c r="M775" s="8" t="s">
        <v>129</v>
      </c>
      <c r="N775" s="9" t="s">
        <v>3022</v>
      </c>
      <c r="O775" s="5"/>
      <c r="P775" s="5"/>
      <c r="Q775" s="6" t="s">
        <v>30</v>
      </c>
      <c r="R775" s="4" t="s">
        <v>31</v>
      </c>
      <c r="S775" s="7" t="s">
        <v>32</v>
      </c>
      <c r="T775" s="5"/>
    </row>
    <row r="776" customFormat="false" ht="43.5" hidden="false" customHeight="true" outlineLevel="0" collapsed="false">
      <c r="A776" s="4" t="n">
        <v>775</v>
      </c>
      <c r="B776" s="6" t="s">
        <v>1787</v>
      </c>
      <c r="C776" s="6" t="s">
        <v>3015</v>
      </c>
      <c r="D776" s="6" t="s">
        <v>3016</v>
      </c>
      <c r="E776" s="7" t="s">
        <v>21</v>
      </c>
      <c r="F776" s="6" t="s">
        <v>3032</v>
      </c>
      <c r="G776" s="6" t="s">
        <v>3033</v>
      </c>
      <c r="H776" s="6" t="s">
        <v>3034</v>
      </c>
      <c r="I776" s="6" t="s">
        <v>3035</v>
      </c>
      <c r="J776" s="6" t="s">
        <v>3036</v>
      </c>
      <c r="K776" s="5"/>
      <c r="L776" s="4" t="s">
        <v>27</v>
      </c>
      <c r="M776" s="8" t="s">
        <v>79</v>
      </c>
      <c r="N776" s="9" t="s">
        <v>3022</v>
      </c>
      <c r="O776" s="5"/>
      <c r="P776" s="5"/>
      <c r="Q776" s="6" t="s">
        <v>30</v>
      </c>
      <c r="R776" s="4" t="s">
        <v>31</v>
      </c>
      <c r="S776" s="7" t="s">
        <v>32</v>
      </c>
      <c r="T776" s="5"/>
    </row>
    <row r="777" customFormat="false" ht="43.5" hidden="false" customHeight="true" outlineLevel="0" collapsed="false">
      <c r="A777" s="4" t="n">
        <v>776</v>
      </c>
      <c r="B777" s="6" t="s">
        <v>1787</v>
      </c>
      <c r="C777" s="6" t="s">
        <v>3015</v>
      </c>
      <c r="D777" s="6" t="s">
        <v>3016</v>
      </c>
      <c r="E777" s="7" t="s">
        <v>21</v>
      </c>
      <c r="F777" s="6" t="s">
        <v>3037</v>
      </c>
      <c r="G777" s="6" t="s">
        <v>3038</v>
      </c>
      <c r="H777" s="6" t="s">
        <v>3039</v>
      </c>
      <c r="I777" s="6" t="s">
        <v>3040</v>
      </c>
      <c r="J777" s="6" t="s">
        <v>2120</v>
      </c>
      <c r="K777" s="5"/>
      <c r="L777" s="4" t="s">
        <v>51</v>
      </c>
      <c r="M777" s="8" t="s">
        <v>28</v>
      </c>
      <c r="N777" s="9" t="s">
        <v>3022</v>
      </c>
      <c r="O777" s="5"/>
      <c r="P777" s="5"/>
      <c r="Q777" s="6" t="s">
        <v>30</v>
      </c>
      <c r="R777" s="4" t="s">
        <v>31</v>
      </c>
      <c r="S777" s="7" t="s">
        <v>32</v>
      </c>
      <c r="T777" s="5"/>
    </row>
    <row r="778" customFormat="false" ht="57.75" hidden="false" customHeight="true" outlineLevel="0" collapsed="false">
      <c r="A778" s="4" t="n">
        <v>777</v>
      </c>
      <c r="B778" s="6" t="s">
        <v>1787</v>
      </c>
      <c r="C778" s="6" t="s">
        <v>3015</v>
      </c>
      <c r="D778" s="6" t="s">
        <v>3016</v>
      </c>
      <c r="E778" s="7" t="s">
        <v>21</v>
      </c>
      <c r="F778" s="6" t="s">
        <v>3041</v>
      </c>
      <c r="G778" s="6" t="s">
        <v>3042</v>
      </c>
      <c r="H778" s="6" t="s">
        <v>3043</v>
      </c>
      <c r="I778" s="6" t="s">
        <v>3044</v>
      </c>
      <c r="J778" s="6" t="s">
        <v>3045</v>
      </c>
      <c r="K778" s="5"/>
      <c r="L778" s="4" t="s">
        <v>62</v>
      </c>
      <c r="M778" s="8" t="s">
        <v>28</v>
      </c>
      <c r="N778" s="9" t="s">
        <v>3046</v>
      </c>
      <c r="O778" s="5"/>
      <c r="P778" s="5"/>
      <c r="Q778" s="6" t="s">
        <v>30</v>
      </c>
      <c r="R778" s="4" t="s">
        <v>31</v>
      </c>
      <c r="S778" s="7" t="s">
        <v>32</v>
      </c>
      <c r="T778" s="5"/>
    </row>
    <row r="779" customFormat="false" ht="29.25" hidden="false" customHeight="true" outlineLevel="0" collapsed="false">
      <c r="A779" s="4" t="n">
        <v>778</v>
      </c>
      <c r="B779" s="6" t="s">
        <v>1787</v>
      </c>
      <c r="C779" s="6" t="s">
        <v>3015</v>
      </c>
      <c r="D779" s="6" t="s">
        <v>3016</v>
      </c>
      <c r="E779" s="7" t="s">
        <v>21</v>
      </c>
      <c r="F779" s="6" t="s">
        <v>3047</v>
      </c>
      <c r="G779" s="6" t="s">
        <v>3048</v>
      </c>
      <c r="H779" s="6" t="s">
        <v>3049</v>
      </c>
      <c r="I779" s="6" t="s">
        <v>3050</v>
      </c>
      <c r="J779" s="6" t="s">
        <v>3051</v>
      </c>
      <c r="K779" s="5"/>
      <c r="L779" s="4" t="s">
        <v>44</v>
      </c>
      <c r="M779" s="8" t="s">
        <v>79</v>
      </c>
      <c r="N779" s="9" t="s">
        <v>3046</v>
      </c>
      <c r="O779" s="5"/>
      <c r="P779" s="5"/>
      <c r="Q779" s="6" t="s">
        <v>30</v>
      </c>
      <c r="R779" s="4" t="s">
        <v>31</v>
      </c>
      <c r="S779" s="7" t="s">
        <v>32</v>
      </c>
      <c r="T779" s="5"/>
    </row>
    <row r="780" customFormat="false" ht="43.5" hidden="false" customHeight="true" outlineLevel="0" collapsed="false">
      <c r="A780" s="4" t="n">
        <v>779</v>
      </c>
      <c r="B780" s="6" t="s">
        <v>1787</v>
      </c>
      <c r="C780" s="6" t="s">
        <v>3015</v>
      </c>
      <c r="D780" s="6" t="s">
        <v>3016</v>
      </c>
      <c r="E780" s="7" t="s">
        <v>21</v>
      </c>
      <c r="F780" s="6" t="s">
        <v>3052</v>
      </c>
      <c r="G780" s="6" t="s">
        <v>3053</v>
      </c>
      <c r="H780" s="6" t="s">
        <v>3054</v>
      </c>
      <c r="I780" s="6" t="s">
        <v>3055</v>
      </c>
      <c r="J780" s="6" t="s">
        <v>3056</v>
      </c>
      <c r="K780" s="5"/>
      <c r="L780" s="4" t="s">
        <v>44</v>
      </c>
      <c r="M780" s="8" t="s">
        <v>79</v>
      </c>
      <c r="N780" s="9" t="s">
        <v>3022</v>
      </c>
      <c r="O780" s="5"/>
      <c r="P780" s="5"/>
      <c r="Q780" s="6" t="s">
        <v>30</v>
      </c>
      <c r="R780" s="4" t="s">
        <v>31</v>
      </c>
      <c r="S780" s="7" t="s">
        <v>32</v>
      </c>
      <c r="T780" s="5"/>
    </row>
    <row r="781" customFormat="false" ht="29.25" hidden="false" customHeight="true" outlineLevel="0" collapsed="false">
      <c r="A781" s="4" t="n">
        <v>780</v>
      </c>
      <c r="B781" s="6" t="s">
        <v>1787</v>
      </c>
      <c r="C781" s="6" t="s">
        <v>3015</v>
      </c>
      <c r="D781" s="6" t="s">
        <v>3016</v>
      </c>
      <c r="E781" s="7" t="s">
        <v>21</v>
      </c>
      <c r="F781" s="6" t="s">
        <v>3057</v>
      </c>
      <c r="G781" s="6" t="s">
        <v>3058</v>
      </c>
      <c r="H781" s="6" t="s">
        <v>3059</v>
      </c>
      <c r="I781" s="6" t="s">
        <v>3060</v>
      </c>
      <c r="J781" s="6" t="s">
        <v>3061</v>
      </c>
      <c r="K781" s="5"/>
      <c r="L781" s="4" t="s">
        <v>51</v>
      </c>
      <c r="M781" s="8" t="s">
        <v>79</v>
      </c>
      <c r="N781" s="9" t="s">
        <v>3046</v>
      </c>
      <c r="O781" s="5"/>
      <c r="P781" s="5"/>
      <c r="Q781" s="6" t="s">
        <v>30</v>
      </c>
      <c r="R781" s="4" t="s">
        <v>31</v>
      </c>
      <c r="S781" s="7" t="s">
        <v>32</v>
      </c>
      <c r="T781" s="5"/>
    </row>
    <row r="782" customFormat="false" ht="43.5" hidden="false" customHeight="true" outlineLevel="0" collapsed="false">
      <c r="A782" s="4" t="n">
        <v>781</v>
      </c>
      <c r="B782" s="6" t="s">
        <v>1787</v>
      </c>
      <c r="C782" s="6" t="s">
        <v>3015</v>
      </c>
      <c r="D782" s="6" t="s">
        <v>3016</v>
      </c>
      <c r="E782" s="7" t="s">
        <v>21</v>
      </c>
      <c r="F782" s="6" t="s">
        <v>1082</v>
      </c>
      <c r="G782" s="6" t="s">
        <v>3062</v>
      </c>
      <c r="H782" s="6" t="s">
        <v>3063</v>
      </c>
      <c r="I782" s="6" t="s">
        <v>3064</v>
      </c>
      <c r="J782" s="6" t="s">
        <v>3065</v>
      </c>
      <c r="K782" s="5"/>
      <c r="L782" s="4" t="s">
        <v>44</v>
      </c>
      <c r="M782" s="8" t="s">
        <v>79</v>
      </c>
      <c r="N782" s="9" t="s">
        <v>3022</v>
      </c>
      <c r="O782" s="5"/>
      <c r="P782" s="5"/>
      <c r="Q782" s="6" t="s">
        <v>30</v>
      </c>
      <c r="R782" s="4" t="s">
        <v>31</v>
      </c>
      <c r="S782" s="7" t="s">
        <v>32</v>
      </c>
      <c r="T782" s="5"/>
    </row>
    <row r="783" customFormat="false" ht="43.5" hidden="false" customHeight="true" outlineLevel="0" collapsed="false">
      <c r="A783" s="4" t="n">
        <v>782</v>
      </c>
      <c r="B783" s="6" t="s">
        <v>1787</v>
      </c>
      <c r="C783" s="6" t="s">
        <v>3015</v>
      </c>
      <c r="D783" s="6" t="s">
        <v>3016</v>
      </c>
      <c r="E783" s="7" t="s">
        <v>21</v>
      </c>
      <c r="F783" s="6" t="s">
        <v>3066</v>
      </c>
      <c r="G783" s="6" t="s">
        <v>3067</v>
      </c>
      <c r="H783" s="6" t="s">
        <v>3068</v>
      </c>
      <c r="I783" s="6" t="s">
        <v>3069</v>
      </c>
      <c r="J783" s="6" t="s">
        <v>3070</v>
      </c>
      <c r="K783" s="5"/>
      <c r="L783" s="4" t="s">
        <v>51</v>
      </c>
      <c r="M783" s="8" t="s">
        <v>79</v>
      </c>
      <c r="N783" s="9" t="s">
        <v>3022</v>
      </c>
      <c r="O783" s="5"/>
      <c r="P783" s="5"/>
      <c r="Q783" s="6" t="s">
        <v>30</v>
      </c>
      <c r="R783" s="4" t="s">
        <v>31</v>
      </c>
      <c r="S783" s="7" t="s">
        <v>32</v>
      </c>
      <c r="T783" s="5"/>
    </row>
    <row r="784" customFormat="false" ht="29.25" hidden="false" customHeight="true" outlineLevel="0" collapsed="false">
      <c r="A784" s="4" t="n">
        <v>783</v>
      </c>
      <c r="B784" s="6" t="s">
        <v>1787</v>
      </c>
      <c r="C784" s="6" t="s">
        <v>3015</v>
      </c>
      <c r="D784" s="6" t="s">
        <v>3016</v>
      </c>
      <c r="E784" s="7" t="s">
        <v>21</v>
      </c>
      <c r="F784" s="6" t="s">
        <v>3071</v>
      </c>
      <c r="G784" s="6" t="s">
        <v>3031</v>
      </c>
      <c r="H784" s="6" t="s">
        <v>3039</v>
      </c>
      <c r="I784" s="6" t="s">
        <v>2628</v>
      </c>
      <c r="J784" s="6" t="s">
        <v>3072</v>
      </c>
      <c r="K784" s="5"/>
      <c r="L784" s="4" t="s">
        <v>62</v>
      </c>
      <c r="M784" s="8" t="s">
        <v>79</v>
      </c>
      <c r="N784" s="9" t="s">
        <v>3022</v>
      </c>
      <c r="O784" s="5"/>
      <c r="P784" s="5"/>
      <c r="Q784" s="6" t="s">
        <v>30</v>
      </c>
      <c r="R784" s="4" t="s">
        <v>31</v>
      </c>
      <c r="S784" s="7" t="s">
        <v>32</v>
      </c>
      <c r="T784" s="5"/>
    </row>
    <row r="785" customFormat="false" ht="15" hidden="false" customHeight="true" outlineLevel="0" collapsed="false">
      <c r="A785" s="4" t="n">
        <v>784</v>
      </c>
      <c r="B785" s="6" t="s">
        <v>1787</v>
      </c>
      <c r="C785" s="6" t="s">
        <v>3015</v>
      </c>
      <c r="D785" s="6" t="s">
        <v>3016</v>
      </c>
      <c r="E785" s="7" t="s">
        <v>21</v>
      </c>
      <c r="F785" s="6" t="s">
        <v>3073</v>
      </c>
      <c r="G785" s="6" t="s">
        <v>3074</v>
      </c>
      <c r="H785" s="6" t="s">
        <v>3075</v>
      </c>
      <c r="I785" s="6" t="s">
        <v>3076</v>
      </c>
      <c r="J785" s="6" t="s">
        <v>3077</v>
      </c>
      <c r="K785" s="5"/>
      <c r="L785" s="4" t="s">
        <v>44</v>
      </c>
      <c r="M785" s="8" t="s">
        <v>129</v>
      </c>
      <c r="N785" s="9" t="s">
        <v>3022</v>
      </c>
      <c r="O785" s="5"/>
      <c r="P785" s="5"/>
      <c r="Q785" s="6" t="s">
        <v>30</v>
      </c>
      <c r="R785" s="4" t="s">
        <v>31</v>
      </c>
      <c r="S785" s="7" t="s">
        <v>32</v>
      </c>
      <c r="T785" s="5"/>
    </row>
    <row r="786" customFormat="false" ht="43.5" hidden="false" customHeight="true" outlineLevel="0" collapsed="false">
      <c r="A786" s="4" t="n">
        <v>785</v>
      </c>
      <c r="B786" s="6" t="s">
        <v>1787</v>
      </c>
      <c r="C786" s="6" t="s">
        <v>3015</v>
      </c>
      <c r="D786" s="6" t="s">
        <v>3016</v>
      </c>
      <c r="E786" s="7" t="s">
        <v>21</v>
      </c>
      <c r="F786" s="6" t="s">
        <v>3078</v>
      </c>
      <c r="G786" s="5" t="s">
        <v>3079</v>
      </c>
      <c r="H786" s="6" t="s">
        <v>3080</v>
      </c>
      <c r="I786" s="6" t="s">
        <v>3081</v>
      </c>
      <c r="J786" s="6" t="s">
        <v>3082</v>
      </c>
      <c r="K786" s="5"/>
      <c r="L786" s="4" t="s">
        <v>62</v>
      </c>
      <c r="M786" s="8" t="s">
        <v>79</v>
      </c>
      <c r="N786" s="9" t="s">
        <v>3046</v>
      </c>
      <c r="O786" s="5"/>
      <c r="P786" s="5"/>
      <c r="Q786" s="6" t="s">
        <v>30</v>
      </c>
      <c r="R786" s="4" t="s">
        <v>31</v>
      </c>
      <c r="S786" s="7" t="s">
        <v>32</v>
      </c>
      <c r="T786" s="5"/>
    </row>
    <row r="787" customFormat="false" ht="15" hidden="false" customHeight="true" outlineLevel="0" collapsed="false">
      <c r="A787" s="4" t="n">
        <v>786</v>
      </c>
      <c r="B787" s="6" t="s">
        <v>1787</v>
      </c>
      <c r="C787" s="6" t="s">
        <v>3015</v>
      </c>
      <c r="D787" s="6" t="s">
        <v>3016</v>
      </c>
      <c r="E787" s="7" t="s">
        <v>21</v>
      </c>
      <c r="F787" s="6" t="s">
        <v>3083</v>
      </c>
      <c r="G787" s="5" t="s">
        <v>3084</v>
      </c>
      <c r="H787" s="5" t="s">
        <v>3085</v>
      </c>
      <c r="I787" s="5" t="s">
        <v>3086</v>
      </c>
      <c r="J787" s="5" t="s">
        <v>3087</v>
      </c>
      <c r="K787" s="5"/>
      <c r="L787" s="4" t="s">
        <v>44</v>
      </c>
      <c r="M787" s="8" t="s">
        <v>129</v>
      </c>
      <c r="N787" s="9" t="s">
        <v>3022</v>
      </c>
      <c r="O787" s="5"/>
      <c r="P787" s="5"/>
      <c r="Q787" s="6" t="s">
        <v>30</v>
      </c>
      <c r="R787" s="4" t="s">
        <v>31</v>
      </c>
      <c r="S787" s="7" t="s">
        <v>32</v>
      </c>
      <c r="T787" s="5"/>
    </row>
    <row r="788" customFormat="false" ht="15" hidden="false" customHeight="true" outlineLevel="0" collapsed="false">
      <c r="A788" s="4" t="n">
        <v>787</v>
      </c>
      <c r="B788" s="6" t="s">
        <v>1787</v>
      </c>
      <c r="C788" s="6" t="s">
        <v>3015</v>
      </c>
      <c r="D788" s="6" t="s">
        <v>3016</v>
      </c>
      <c r="E788" s="7" t="s">
        <v>21</v>
      </c>
      <c r="F788" s="6" t="s">
        <v>3088</v>
      </c>
      <c r="G788" s="5" t="s">
        <v>3084</v>
      </c>
      <c r="H788" s="5" t="s">
        <v>3085</v>
      </c>
      <c r="I788" s="5" t="s">
        <v>3086</v>
      </c>
      <c r="J788" s="5" t="s">
        <v>3087</v>
      </c>
      <c r="K788" s="5"/>
      <c r="L788" s="4" t="s">
        <v>51</v>
      </c>
      <c r="M788" s="8" t="s">
        <v>129</v>
      </c>
      <c r="N788" s="9" t="s">
        <v>3022</v>
      </c>
      <c r="O788" s="5"/>
      <c r="P788" s="5"/>
      <c r="Q788" s="6" t="s">
        <v>30</v>
      </c>
      <c r="R788" s="4" t="s">
        <v>31</v>
      </c>
      <c r="S788" s="7" t="s">
        <v>32</v>
      </c>
      <c r="T788" s="5"/>
    </row>
    <row r="789" customFormat="false" ht="15" hidden="false" customHeight="true" outlineLevel="0" collapsed="false">
      <c r="A789" s="4" t="n">
        <v>788</v>
      </c>
      <c r="B789" s="6" t="s">
        <v>1787</v>
      </c>
      <c r="C789" s="6" t="s">
        <v>3015</v>
      </c>
      <c r="D789" s="6" t="s">
        <v>3016</v>
      </c>
      <c r="E789" s="7" t="s">
        <v>21</v>
      </c>
      <c r="F789" s="6" t="s">
        <v>3089</v>
      </c>
      <c r="G789" s="5" t="s">
        <v>3090</v>
      </c>
      <c r="H789" s="5" t="s">
        <v>3091</v>
      </c>
      <c r="I789" s="5" t="s">
        <v>3092</v>
      </c>
      <c r="J789" s="5" t="s">
        <v>3093</v>
      </c>
      <c r="K789" s="5"/>
      <c r="L789" s="4" t="s">
        <v>51</v>
      </c>
      <c r="M789" s="8" t="s">
        <v>129</v>
      </c>
      <c r="N789" s="9" t="s">
        <v>3022</v>
      </c>
      <c r="O789" s="5"/>
      <c r="P789" s="5"/>
      <c r="Q789" s="6" t="s">
        <v>30</v>
      </c>
      <c r="R789" s="4" t="s">
        <v>31</v>
      </c>
      <c r="S789" s="7" t="s">
        <v>32</v>
      </c>
      <c r="T789" s="5"/>
    </row>
    <row r="790" customFormat="false" ht="15" hidden="false" customHeight="true" outlineLevel="0" collapsed="false">
      <c r="A790" s="4" t="n">
        <v>789</v>
      </c>
      <c r="B790" s="6" t="s">
        <v>1787</v>
      </c>
      <c r="C790" s="6" t="s">
        <v>3015</v>
      </c>
      <c r="D790" s="6" t="s">
        <v>3016</v>
      </c>
      <c r="E790" s="7" t="s">
        <v>21</v>
      </c>
      <c r="F790" s="6" t="s">
        <v>3094</v>
      </c>
      <c r="G790" s="5" t="s">
        <v>3095</v>
      </c>
      <c r="H790" s="5" t="s">
        <v>3096</v>
      </c>
      <c r="I790" s="6" t="s">
        <v>3097</v>
      </c>
      <c r="J790" s="6" t="s">
        <v>3098</v>
      </c>
      <c r="K790" s="5"/>
      <c r="L790" s="4" t="s">
        <v>62</v>
      </c>
      <c r="M790" s="8" t="s">
        <v>79</v>
      </c>
      <c r="N790" s="9" t="s">
        <v>3022</v>
      </c>
      <c r="O790" s="5"/>
      <c r="P790" s="5"/>
      <c r="Q790" s="6" t="s">
        <v>30</v>
      </c>
      <c r="R790" s="4" t="s">
        <v>31</v>
      </c>
      <c r="S790" s="7" t="s">
        <v>32</v>
      </c>
      <c r="T790" s="5"/>
    </row>
    <row r="791" customFormat="false" ht="15" hidden="false" customHeight="true" outlineLevel="0" collapsed="false">
      <c r="A791" s="4" t="n">
        <v>790</v>
      </c>
      <c r="B791" s="6" t="s">
        <v>1787</v>
      </c>
      <c r="C791" s="6" t="s">
        <v>3015</v>
      </c>
      <c r="D791" s="6" t="s">
        <v>3016</v>
      </c>
      <c r="E791" s="7" t="s">
        <v>21</v>
      </c>
      <c r="F791" s="6" t="s">
        <v>3099</v>
      </c>
      <c r="G791" s="6" t="s">
        <v>3100</v>
      </c>
      <c r="H791" s="6" t="s">
        <v>3101</v>
      </c>
      <c r="I791" s="6" t="s">
        <v>3102</v>
      </c>
      <c r="J791" s="6" t="s">
        <v>78</v>
      </c>
      <c r="K791" s="5"/>
      <c r="L791" s="4" t="s">
        <v>62</v>
      </c>
      <c r="M791" s="8" t="s">
        <v>79</v>
      </c>
      <c r="N791" s="9" t="s">
        <v>3022</v>
      </c>
      <c r="O791" s="5"/>
      <c r="P791" s="5"/>
      <c r="Q791" s="6" t="s">
        <v>30</v>
      </c>
      <c r="R791" s="4" t="s">
        <v>31</v>
      </c>
      <c r="S791" s="7" t="s">
        <v>32</v>
      </c>
      <c r="T791" s="5"/>
    </row>
    <row r="792" customFormat="false" ht="15" hidden="false" customHeight="true" outlineLevel="0" collapsed="false">
      <c r="A792" s="4" t="n">
        <v>791</v>
      </c>
      <c r="B792" s="6" t="s">
        <v>1787</v>
      </c>
      <c r="C792" s="6" t="s">
        <v>3015</v>
      </c>
      <c r="D792" s="6" t="s">
        <v>3016</v>
      </c>
      <c r="E792" s="7" t="s">
        <v>21</v>
      </c>
      <c r="F792" s="6" t="s">
        <v>3103</v>
      </c>
      <c r="G792" s="6" t="s">
        <v>3104</v>
      </c>
      <c r="H792" s="6" t="s">
        <v>3105</v>
      </c>
      <c r="I792" s="6" t="s">
        <v>3106</v>
      </c>
      <c r="J792" s="6" t="s">
        <v>1251</v>
      </c>
      <c r="K792" s="5"/>
      <c r="L792" s="4" t="s">
        <v>44</v>
      </c>
      <c r="M792" s="8" t="s">
        <v>129</v>
      </c>
      <c r="N792" s="9" t="s">
        <v>3022</v>
      </c>
      <c r="O792" s="5"/>
      <c r="P792" s="5"/>
      <c r="Q792" s="6" t="s">
        <v>30</v>
      </c>
      <c r="R792" s="4" t="s">
        <v>31</v>
      </c>
      <c r="S792" s="7" t="s">
        <v>32</v>
      </c>
      <c r="T792" s="5"/>
    </row>
    <row r="793" customFormat="false" ht="15" hidden="false" customHeight="true" outlineLevel="0" collapsed="false">
      <c r="A793" s="4" t="n">
        <v>792</v>
      </c>
      <c r="B793" s="6" t="s">
        <v>1787</v>
      </c>
      <c r="C793" s="6" t="s">
        <v>3015</v>
      </c>
      <c r="D793" s="6" t="s">
        <v>3016</v>
      </c>
      <c r="E793" s="7" t="s">
        <v>21</v>
      </c>
      <c r="F793" s="6" t="s">
        <v>3107</v>
      </c>
      <c r="G793" s="6" t="s">
        <v>3108</v>
      </c>
      <c r="H793" s="6" t="s">
        <v>3109</v>
      </c>
      <c r="I793" s="6" t="s">
        <v>3110</v>
      </c>
      <c r="J793" s="6" t="s">
        <v>3111</v>
      </c>
      <c r="K793" s="5"/>
      <c r="L793" s="4" t="s">
        <v>51</v>
      </c>
      <c r="M793" s="8" t="s">
        <v>129</v>
      </c>
      <c r="N793" s="9" t="s">
        <v>3022</v>
      </c>
      <c r="O793" s="5"/>
      <c r="P793" s="5"/>
      <c r="Q793" s="6" t="s">
        <v>30</v>
      </c>
      <c r="R793" s="4" t="s">
        <v>31</v>
      </c>
      <c r="S793" s="7" t="s">
        <v>32</v>
      </c>
      <c r="T793" s="5"/>
    </row>
    <row r="794" customFormat="false" ht="29.25" hidden="false" customHeight="true" outlineLevel="0" collapsed="false">
      <c r="A794" s="4" t="n">
        <v>793</v>
      </c>
      <c r="B794" s="6" t="s">
        <v>1787</v>
      </c>
      <c r="C794" s="6" t="s">
        <v>3015</v>
      </c>
      <c r="D794" s="6" t="s">
        <v>3016</v>
      </c>
      <c r="E794" s="7" t="s">
        <v>21</v>
      </c>
      <c r="F794" s="6" t="s">
        <v>3112</v>
      </c>
      <c r="G794" s="6" t="s">
        <v>2628</v>
      </c>
      <c r="H794" s="5" t="s">
        <v>3113</v>
      </c>
      <c r="I794" s="6" t="s">
        <v>3027</v>
      </c>
      <c r="J794" s="5" t="s">
        <v>3029</v>
      </c>
      <c r="K794" s="5"/>
      <c r="L794" s="4" t="s">
        <v>44</v>
      </c>
      <c r="M794" s="8" t="s">
        <v>79</v>
      </c>
      <c r="N794" s="9" t="s">
        <v>3022</v>
      </c>
      <c r="O794" s="5"/>
      <c r="P794" s="5"/>
      <c r="Q794" s="6" t="s">
        <v>30</v>
      </c>
      <c r="R794" s="4" t="s">
        <v>31</v>
      </c>
      <c r="S794" s="7" t="s">
        <v>32</v>
      </c>
      <c r="T794" s="5"/>
    </row>
    <row r="795" customFormat="false" ht="29.25" hidden="false" customHeight="true" outlineLevel="0" collapsed="false">
      <c r="A795" s="4" t="n">
        <v>794</v>
      </c>
      <c r="B795" s="6" t="s">
        <v>1787</v>
      </c>
      <c r="C795" s="6" t="s">
        <v>3015</v>
      </c>
      <c r="D795" s="6" t="s">
        <v>3016</v>
      </c>
      <c r="E795" s="7" t="s">
        <v>21</v>
      </c>
      <c r="F795" s="6" t="s">
        <v>3114</v>
      </c>
      <c r="G795" s="6" t="s">
        <v>3026</v>
      </c>
      <c r="H795" s="5" t="s">
        <v>3115</v>
      </c>
      <c r="I795" s="6" t="s">
        <v>3039</v>
      </c>
      <c r="J795" s="6" t="s">
        <v>2628</v>
      </c>
      <c r="K795" s="5"/>
      <c r="L795" s="4" t="s">
        <v>27</v>
      </c>
      <c r="M795" s="8" t="s">
        <v>79</v>
      </c>
      <c r="N795" s="9" t="s">
        <v>3022</v>
      </c>
      <c r="O795" s="5"/>
      <c r="P795" s="5"/>
      <c r="Q795" s="6" t="s">
        <v>30</v>
      </c>
      <c r="R795" s="4" t="s">
        <v>31</v>
      </c>
      <c r="S795" s="7" t="s">
        <v>32</v>
      </c>
      <c r="T795" s="5"/>
    </row>
    <row r="796" customFormat="false" ht="15" hidden="false" customHeight="true" outlineLevel="0" collapsed="false">
      <c r="A796" s="4" t="n">
        <v>795</v>
      </c>
      <c r="B796" s="6" t="s">
        <v>1787</v>
      </c>
      <c r="C796" s="6" t="s">
        <v>3015</v>
      </c>
      <c r="D796" s="6" t="s">
        <v>3016</v>
      </c>
      <c r="E796" s="7" t="s">
        <v>21</v>
      </c>
      <c r="F796" s="6" t="s">
        <v>3116</v>
      </c>
      <c r="G796" s="6" t="s">
        <v>3117</v>
      </c>
      <c r="H796" s="6" t="s">
        <v>3118</v>
      </c>
      <c r="I796" s="6" t="s">
        <v>3119</v>
      </c>
      <c r="J796" s="6" t="s">
        <v>3120</v>
      </c>
      <c r="K796" s="5"/>
      <c r="L796" s="4" t="s">
        <v>62</v>
      </c>
      <c r="M796" s="8" t="s">
        <v>129</v>
      </c>
      <c r="N796" s="9" t="s">
        <v>3022</v>
      </c>
      <c r="O796" s="5"/>
      <c r="P796" s="5"/>
      <c r="Q796" s="6" t="s">
        <v>30</v>
      </c>
      <c r="R796" s="4" t="s">
        <v>31</v>
      </c>
      <c r="S796" s="7" t="s">
        <v>32</v>
      </c>
      <c r="T796" s="5"/>
    </row>
    <row r="797" customFormat="false" ht="15" hidden="false" customHeight="true" outlineLevel="0" collapsed="false">
      <c r="A797" s="4" t="n">
        <v>796</v>
      </c>
      <c r="B797" s="6" t="s">
        <v>1787</v>
      </c>
      <c r="C797" s="6" t="s">
        <v>3015</v>
      </c>
      <c r="D797" s="6" t="s">
        <v>3016</v>
      </c>
      <c r="E797" s="7" t="s">
        <v>21</v>
      </c>
      <c r="F797" s="6" t="s">
        <v>3121</v>
      </c>
      <c r="G797" s="6" t="s">
        <v>3122</v>
      </c>
      <c r="H797" s="6" t="s">
        <v>3123</v>
      </c>
      <c r="I797" s="6" t="s">
        <v>3124</v>
      </c>
      <c r="J797" s="6" t="s">
        <v>302</v>
      </c>
      <c r="K797" s="5"/>
      <c r="L797" s="4" t="s">
        <v>44</v>
      </c>
      <c r="M797" s="8" t="s">
        <v>129</v>
      </c>
      <c r="N797" s="9" t="s">
        <v>3022</v>
      </c>
      <c r="O797" s="5"/>
      <c r="P797" s="5"/>
      <c r="Q797" s="6" t="s">
        <v>30</v>
      </c>
      <c r="R797" s="4" t="s">
        <v>31</v>
      </c>
      <c r="S797" s="7" t="s">
        <v>32</v>
      </c>
      <c r="T797" s="5"/>
    </row>
    <row r="798" customFormat="false" ht="15" hidden="false" customHeight="true" outlineLevel="0" collapsed="false">
      <c r="A798" s="4" t="n">
        <v>797</v>
      </c>
      <c r="B798" s="6" t="s">
        <v>1787</v>
      </c>
      <c r="C798" s="6" t="s">
        <v>3015</v>
      </c>
      <c r="D798" s="6" t="s">
        <v>3016</v>
      </c>
      <c r="E798" s="7" t="s">
        <v>21</v>
      </c>
      <c r="F798" s="5" t="s">
        <v>3125</v>
      </c>
      <c r="G798" s="6" t="s">
        <v>3026</v>
      </c>
      <c r="H798" s="6" t="s">
        <v>3126</v>
      </c>
      <c r="I798" s="6" t="s">
        <v>3039</v>
      </c>
      <c r="J798" s="6" t="s">
        <v>3127</v>
      </c>
      <c r="K798" s="5"/>
      <c r="L798" s="4" t="s">
        <v>62</v>
      </c>
      <c r="M798" s="8" t="s">
        <v>79</v>
      </c>
      <c r="N798" s="9" t="s">
        <v>3022</v>
      </c>
      <c r="O798" s="5"/>
      <c r="P798" s="5"/>
      <c r="Q798" s="6" t="s">
        <v>30</v>
      </c>
      <c r="R798" s="4" t="s">
        <v>31</v>
      </c>
      <c r="S798" s="7" t="s">
        <v>32</v>
      </c>
      <c r="T798" s="5"/>
    </row>
    <row r="799" customFormat="false" ht="15" hidden="false" customHeight="true" outlineLevel="0" collapsed="false">
      <c r="A799" s="4" t="n">
        <v>798</v>
      </c>
      <c r="B799" s="6" t="s">
        <v>1787</v>
      </c>
      <c r="C799" s="6" t="s">
        <v>3015</v>
      </c>
      <c r="D799" s="6" t="s">
        <v>3016</v>
      </c>
      <c r="E799" s="7" t="s">
        <v>21</v>
      </c>
      <c r="F799" s="6" t="s">
        <v>3128</v>
      </c>
      <c r="G799" s="6" t="s">
        <v>3129</v>
      </c>
      <c r="H799" s="6" t="s">
        <v>3130</v>
      </c>
      <c r="I799" s="6" t="s">
        <v>3131</v>
      </c>
      <c r="J799" s="6" t="s">
        <v>3132</v>
      </c>
      <c r="K799" s="5"/>
      <c r="L799" s="4" t="s">
        <v>62</v>
      </c>
      <c r="M799" s="8" t="s">
        <v>129</v>
      </c>
      <c r="N799" s="9" t="s">
        <v>3022</v>
      </c>
      <c r="O799" s="5"/>
      <c r="P799" s="5"/>
      <c r="Q799" s="6" t="s">
        <v>30</v>
      </c>
      <c r="R799" s="4" t="s">
        <v>31</v>
      </c>
      <c r="S799" s="7" t="s">
        <v>32</v>
      </c>
      <c r="T799" s="5"/>
    </row>
    <row r="800" customFormat="false" ht="15" hidden="false" customHeight="true" outlineLevel="0" collapsed="false">
      <c r="A800" s="4" t="n">
        <v>799</v>
      </c>
      <c r="B800" s="6" t="s">
        <v>1787</v>
      </c>
      <c r="C800" s="6" t="s">
        <v>3015</v>
      </c>
      <c r="D800" s="6" t="s">
        <v>3016</v>
      </c>
      <c r="E800" s="7" t="s">
        <v>21</v>
      </c>
      <c r="F800" s="6" t="s">
        <v>3133</v>
      </c>
      <c r="G800" s="6" t="s">
        <v>3134</v>
      </c>
      <c r="H800" s="6" t="s">
        <v>3135</v>
      </c>
      <c r="I800" s="6" t="s">
        <v>3136</v>
      </c>
      <c r="J800" s="6" t="s">
        <v>3098</v>
      </c>
      <c r="K800" s="5"/>
      <c r="L800" s="4" t="s">
        <v>62</v>
      </c>
      <c r="M800" s="8" t="s">
        <v>129</v>
      </c>
      <c r="N800" s="9" t="s">
        <v>3022</v>
      </c>
      <c r="O800" s="5"/>
      <c r="P800" s="5"/>
      <c r="Q800" s="6" t="s">
        <v>30</v>
      </c>
      <c r="R800" s="4" t="s">
        <v>31</v>
      </c>
      <c r="S800" s="7" t="s">
        <v>32</v>
      </c>
      <c r="T800" s="5"/>
    </row>
    <row r="801" customFormat="false" ht="15" hidden="false" customHeight="true" outlineLevel="0" collapsed="false">
      <c r="A801" s="4" t="n">
        <v>800</v>
      </c>
      <c r="B801" s="6" t="s">
        <v>1787</v>
      </c>
      <c r="C801" s="6" t="s">
        <v>3015</v>
      </c>
      <c r="D801" s="6" t="s">
        <v>3016</v>
      </c>
      <c r="E801" s="7" t="s">
        <v>21</v>
      </c>
      <c r="F801" s="6" t="s">
        <v>3137</v>
      </c>
      <c r="G801" s="5" t="s">
        <v>3138</v>
      </c>
      <c r="H801" s="5" t="s">
        <v>3139</v>
      </c>
      <c r="I801" s="6" t="s">
        <v>3140</v>
      </c>
      <c r="J801" s="6" t="s">
        <v>3098</v>
      </c>
      <c r="K801" s="5"/>
      <c r="L801" s="4" t="s">
        <v>62</v>
      </c>
      <c r="M801" s="8" t="s">
        <v>129</v>
      </c>
      <c r="N801" s="9" t="s">
        <v>3022</v>
      </c>
      <c r="O801" s="5"/>
      <c r="P801" s="5"/>
      <c r="Q801" s="6" t="s">
        <v>30</v>
      </c>
      <c r="R801" s="4" t="s">
        <v>31</v>
      </c>
      <c r="S801" s="7" t="s">
        <v>32</v>
      </c>
      <c r="T801" s="5"/>
    </row>
    <row r="802" customFormat="false" ht="15" hidden="false" customHeight="true" outlineLevel="0" collapsed="false">
      <c r="A802" s="4" t="n">
        <v>801</v>
      </c>
      <c r="B802" s="6" t="s">
        <v>1787</v>
      </c>
      <c r="C802" s="6" t="s">
        <v>3015</v>
      </c>
      <c r="D802" s="6" t="s">
        <v>3016</v>
      </c>
      <c r="E802" s="7" t="s">
        <v>21</v>
      </c>
      <c r="F802" s="6" t="s">
        <v>3141</v>
      </c>
      <c r="G802" s="6" t="s">
        <v>3142</v>
      </c>
      <c r="H802" s="6" t="s">
        <v>3143</v>
      </c>
      <c r="I802" s="6" t="s">
        <v>3144</v>
      </c>
      <c r="J802" s="6" t="s">
        <v>3145</v>
      </c>
      <c r="K802" s="5"/>
      <c r="L802" s="4" t="s">
        <v>62</v>
      </c>
      <c r="M802" s="8" t="s">
        <v>129</v>
      </c>
      <c r="N802" s="9" t="s">
        <v>3022</v>
      </c>
      <c r="O802" s="5"/>
      <c r="P802" s="5"/>
      <c r="Q802" s="6" t="s">
        <v>30</v>
      </c>
      <c r="R802" s="4" t="s">
        <v>31</v>
      </c>
      <c r="S802" s="7" t="s">
        <v>32</v>
      </c>
      <c r="T802" s="5"/>
    </row>
    <row r="803" customFormat="false" ht="15" hidden="false" customHeight="true" outlineLevel="0" collapsed="false">
      <c r="A803" s="4" t="n">
        <v>802</v>
      </c>
      <c r="B803" s="6" t="s">
        <v>1787</v>
      </c>
      <c r="C803" s="6" t="s">
        <v>3015</v>
      </c>
      <c r="D803" s="6" t="s">
        <v>3016</v>
      </c>
      <c r="E803" s="7" t="s">
        <v>21</v>
      </c>
      <c r="F803" s="6" t="s">
        <v>3146</v>
      </c>
      <c r="G803" s="6" t="s">
        <v>3147</v>
      </c>
      <c r="H803" s="6" t="s">
        <v>3148</v>
      </c>
      <c r="I803" s="6" t="s">
        <v>3149</v>
      </c>
      <c r="J803" s="6" t="s">
        <v>1251</v>
      </c>
      <c r="K803" s="5"/>
      <c r="L803" s="4" t="s">
        <v>44</v>
      </c>
      <c r="M803" s="8" t="s">
        <v>129</v>
      </c>
      <c r="N803" s="9" t="s">
        <v>3022</v>
      </c>
      <c r="O803" s="5"/>
      <c r="P803" s="5"/>
      <c r="Q803" s="6" t="s">
        <v>30</v>
      </c>
      <c r="R803" s="4" t="s">
        <v>31</v>
      </c>
      <c r="S803" s="7" t="s">
        <v>32</v>
      </c>
      <c r="T803" s="5"/>
    </row>
    <row r="804" customFormat="false" ht="15" hidden="false" customHeight="true" outlineLevel="0" collapsed="false">
      <c r="A804" s="4" t="n">
        <v>803</v>
      </c>
      <c r="B804" s="6" t="s">
        <v>1787</v>
      </c>
      <c r="C804" s="6" t="s">
        <v>3015</v>
      </c>
      <c r="D804" s="6" t="s">
        <v>3016</v>
      </c>
      <c r="E804" s="7" t="s">
        <v>21</v>
      </c>
      <c r="F804" s="6" t="s">
        <v>3150</v>
      </c>
      <c r="G804" s="6" t="s">
        <v>1955</v>
      </c>
      <c r="H804" s="6" t="s">
        <v>3151</v>
      </c>
      <c r="I804" s="6" t="s">
        <v>3152</v>
      </c>
      <c r="J804" s="6" t="s">
        <v>3098</v>
      </c>
      <c r="K804" s="5"/>
      <c r="L804" s="4" t="s">
        <v>27</v>
      </c>
      <c r="M804" s="8" t="s">
        <v>129</v>
      </c>
      <c r="N804" s="9" t="s">
        <v>3022</v>
      </c>
      <c r="O804" s="5"/>
      <c r="P804" s="5"/>
      <c r="Q804" s="6" t="s">
        <v>30</v>
      </c>
      <c r="R804" s="4" t="s">
        <v>31</v>
      </c>
      <c r="S804" s="7" t="s">
        <v>32</v>
      </c>
      <c r="T804" s="5"/>
    </row>
    <row r="805" customFormat="false" ht="15" hidden="false" customHeight="true" outlineLevel="0" collapsed="false">
      <c r="A805" s="4" t="n">
        <v>804</v>
      </c>
      <c r="B805" s="6" t="s">
        <v>1787</v>
      </c>
      <c r="C805" s="6" t="s">
        <v>3015</v>
      </c>
      <c r="D805" s="6" t="s">
        <v>3016</v>
      </c>
      <c r="E805" s="7" t="s">
        <v>21</v>
      </c>
      <c r="F805" s="6" t="s">
        <v>3153</v>
      </c>
      <c r="G805" s="6" t="s">
        <v>3154</v>
      </c>
      <c r="H805" s="6" t="s">
        <v>3155</v>
      </c>
      <c r="I805" s="6" t="s">
        <v>3156</v>
      </c>
      <c r="J805" s="6" t="s">
        <v>3098</v>
      </c>
      <c r="K805" s="5"/>
      <c r="L805" s="4" t="s">
        <v>51</v>
      </c>
      <c r="M805" s="8" t="s">
        <v>129</v>
      </c>
      <c r="N805" s="9" t="s">
        <v>3157</v>
      </c>
      <c r="O805" s="5"/>
      <c r="P805" s="5"/>
      <c r="Q805" s="6" t="s">
        <v>30</v>
      </c>
      <c r="R805" s="4" t="s">
        <v>31</v>
      </c>
      <c r="S805" s="7" t="s">
        <v>32</v>
      </c>
      <c r="T805" s="5"/>
    </row>
    <row r="806" customFormat="false" ht="15" hidden="false" customHeight="true" outlineLevel="0" collapsed="false">
      <c r="A806" s="4" t="n">
        <v>805</v>
      </c>
      <c r="B806" s="6" t="s">
        <v>1787</v>
      </c>
      <c r="C806" s="6" t="s">
        <v>3015</v>
      </c>
      <c r="D806" s="6" t="s">
        <v>3016</v>
      </c>
      <c r="E806" s="7" t="s">
        <v>21</v>
      </c>
      <c r="F806" s="6" t="s">
        <v>3158</v>
      </c>
      <c r="G806" s="6" t="s">
        <v>3159</v>
      </c>
      <c r="H806" s="6" t="s">
        <v>3160</v>
      </c>
      <c r="I806" s="6" t="s">
        <v>3161</v>
      </c>
      <c r="J806" s="6" t="s">
        <v>3162</v>
      </c>
      <c r="K806" s="5"/>
      <c r="L806" s="4" t="s">
        <v>62</v>
      </c>
      <c r="M806" s="8" t="s">
        <v>129</v>
      </c>
      <c r="N806" s="9" t="s">
        <v>3046</v>
      </c>
      <c r="O806" s="5"/>
      <c r="P806" s="5"/>
      <c r="Q806" s="6" t="s">
        <v>30</v>
      </c>
      <c r="R806" s="4" t="s">
        <v>31</v>
      </c>
      <c r="S806" s="7" t="s">
        <v>32</v>
      </c>
      <c r="T806" s="5"/>
    </row>
    <row r="807" customFormat="false" ht="15" hidden="false" customHeight="true" outlineLevel="0" collapsed="false">
      <c r="A807" s="4" t="n">
        <v>806</v>
      </c>
      <c r="B807" s="6" t="s">
        <v>1787</v>
      </c>
      <c r="C807" s="6" t="s">
        <v>3015</v>
      </c>
      <c r="D807" s="6" t="s">
        <v>3016</v>
      </c>
      <c r="E807" s="7" t="s">
        <v>21</v>
      </c>
      <c r="F807" s="6" t="s">
        <v>3163</v>
      </c>
      <c r="G807" s="6" t="s">
        <v>3164</v>
      </c>
      <c r="H807" s="6" t="s">
        <v>3165</v>
      </c>
      <c r="I807" s="6" t="s">
        <v>3166</v>
      </c>
      <c r="J807" s="6" t="s">
        <v>3167</v>
      </c>
      <c r="K807" s="5"/>
      <c r="L807" s="4" t="s">
        <v>44</v>
      </c>
      <c r="M807" s="8" t="s">
        <v>28</v>
      </c>
      <c r="N807" s="9" t="s">
        <v>3022</v>
      </c>
      <c r="O807" s="5"/>
      <c r="P807" s="5"/>
      <c r="Q807" s="6" t="s">
        <v>30</v>
      </c>
      <c r="R807" s="4" t="s">
        <v>31</v>
      </c>
      <c r="S807" s="7" t="s">
        <v>32</v>
      </c>
      <c r="T807" s="5"/>
    </row>
    <row r="808" customFormat="false" ht="15" hidden="false" customHeight="true" outlineLevel="0" collapsed="false">
      <c r="A808" s="4" t="n">
        <v>807</v>
      </c>
      <c r="B808" s="6" t="s">
        <v>1787</v>
      </c>
      <c r="C808" s="6" t="s">
        <v>3015</v>
      </c>
      <c r="D808" s="6" t="s">
        <v>3016</v>
      </c>
      <c r="E808" s="7" t="s">
        <v>21</v>
      </c>
      <c r="F808" s="6" t="s">
        <v>3168</v>
      </c>
      <c r="G808" s="6" t="s">
        <v>3169</v>
      </c>
      <c r="H808" s="6" t="s">
        <v>3170</v>
      </c>
      <c r="I808" s="6" t="s">
        <v>3171</v>
      </c>
      <c r="J808" s="6" t="s">
        <v>1251</v>
      </c>
      <c r="K808" s="5"/>
      <c r="L808" s="4" t="s">
        <v>44</v>
      </c>
      <c r="M808" s="8" t="s">
        <v>129</v>
      </c>
      <c r="N808" s="9" t="s">
        <v>3022</v>
      </c>
      <c r="O808" s="5"/>
      <c r="P808" s="5"/>
      <c r="Q808" s="6" t="s">
        <v>30</v>
      </c>
      <c r="R808" s="4" t="s">
        <v>31</v>
      </c>
      <c r="S808" s="7" t="s">
        <v>32</v>
      </c>
      <c r="T808" s="5"/>
    </row>
    <row r="809" customFormat="false" ht="29.25" hidden="false" customHeight="true" outlineLevel="0" collapsed="false">
      <c r="A809" s="4" t="n">
        <v>808</v>
      </c>
      <c r="B809" s="6" t="s">
        <v>1787</v>
      </c>
      <c r="C809" s="6" t="s">
        <v>3015</v>
      </c>
      <c r="D809" s="6" t="s">
        <v>3016</v>
      </c>
      <c r="E809" s="7" t="s">
        <v>21</v>
      </c>
      <c r="F809" s="6" t="s">
        <v>3172</v>
      </c>
      <c r="G809" s="6" t="s">
        <v>2848</v>
      </c>
      <c r="H809" s="6" t="s">
        <v>2849</v>
      </c>
      <c r="I809" s="6" t="s">
        <v>3173</v>
      </c>
      <c r="J809" s="6" t="s">
        <v>3098</v>
      </c>
      <c r="K809" s="5"/>
      <c r="L809" s="4" t="s">
        <v>62</v>
      </c>
      <c r="M809" s="8" t="s">
        <v>129</v>
      </c>
      <c r="N809" s="9" t="s">
        <v>3022</v>
      </c>
      <c r="O809" s="5"/>
      <c r="P809" s="5"/>
      <c r="Q809" s="6" t="s">
        <v>30</v>
      </c>
      <c r="R809" s="4" t="s">
        <v>31</v>
      </c>
      <c r="S809" s="7" t="s">
        <v>32</v>
      </c>
      <c r="T809" s="5"/>
    </row>
    <row r="810" customFormat="false" ht="29.25" hidden="false" customHeight="true" outlineLevel="0" collapsed="false">
      <c r="A810" s="4" t="n">
        <v>809</v>
      </c>
      <c r="B810" s="6" t="s">
        <v>1787</v>
      </c>
      <c r="C810" s="6" t="s">
        <v>3015</v>
      </c>
      <c r="D810" s="6" t="s">
        <v>3016</v>
      </c>
      <c r="E810" s="7" t="s">
        <v>21</v>
      </c>
      <c r="F810" s="6" t="s">
        <v>3174</v>
      </c>
      <c r="G810" s="6" t="s">
        <v>3039</v>
      </c>
      <c r="H810" s="6" t="s">
        <v>2628</v>
      </c>
      <c r="I810" s="6" t="s">
        <v>3072</v>
      </c>
      <c r="J810" s="6" t="s">
        <v>3127</v>
      </c>
      <c r="K810" s="5"/>
      <c r="L810" s="4" t="s">
        <v>62</v>
      </c>
      <c r="M810" s="8" t="s">
        <v>79</v>
      </c>
      <c r="N810" s="9" t="s">
        <v>3022</v>
      </c>
      <c r="O810" s="5"/>
      <c r="P810" s="5"/>
      <c r="Q810" s="6" t="s">
        <v>30</v>
      </c>
      <c r="R810" s="4" t="s">
        <v>31</v>
      </c>
      <c r="S810" s="7" t="s">
        <v>32</v>
      </c>
      <c r="T810" s="5"/>
    </row>
    <row r="811" customFormat="false" ht="29.25" hidden="false" customHeight="true" outlineLevel="0" collapsed="false">
      <c r="A811" s="4" t="n">
        <v>810</v>
      </c>
      <c r="B811" s="6" t="s">
        <v>1787</v>
      </c>
      <c r="C811" s="6" t="s">
        <v>3015</v>
      </c>
      <c r="D811" s="6" t="s">
        <v>3016</v>
      </c>
      <c r="E811" s="7" t="s">
        <v>21</v>
      </c>
      <c r="F811" s="6" t="s">
        <v>3175</v>
      </c>
      <c r="G811" s="6" t="s">
        <v>3039</v>
      </c>
      <c r="H811" s="5" t="s">
        <v>3115</v>
      </c>
      <c r="I811" s="6" t="s">
        <v>3127</v>
      </c>
      <c r="J811" s="6" t="s">
        <v>3072</v>
      </c>
      <c r="K811" s="5"/>
      <c r="L811" s="4" t="s">
        <v>44</v>
      </c>
      <c r="M811" s="8" t="s">
        <v>79</v>
      </c>
      <c r="N811" s="9" t="s">
        <v>3022</v>
      </c>
      <c r="O811" s="5"/>
      <c r="P811" s="5"/>
      <c r="Q811" s="6" t="s">
        <v>30</v>
      </c>
      <c r="R811" s="4" t="s">
        <v>31</v>
      </c>
      <c r="S811" s="7" t="s">
        <v>32</v>
      </c>
      <c r="T811" s="5"/>
    </row>
    <row r="812" customFormat="false" ht="15" hidden="false" customHeight="true" outlineLevel="0" collapsed="false">
      <c r="A812" s="4" t="n">
        <v>811</v>
      </c>
      <c r="B812" s="6" t="s">
        <v>1787</v>
      </c>
      <c r="C812" s="6" t="s">
        <v>3015</v>
      </c>
      <c r="D812" s="6" t="s">
        <v>3016</v>
      </c>
      <c r="E812" s="7" t="s">
        <v>21</v>
      </c>
      <c r="F812" s="6" t="s">
        <v>3176</v>
      </c>
      <c r="G812" s="6" t="s">
        <v>3117</v>
      </c>
      <c r="H812" s="6" t="s">
        <v>3118</v>
      </c>
      <c r="I812" s="6" t="s">
        <v>3119</v>
      </c>
      <c r="J812" s="6" t="s">
        <v>3120</v>
      </c>
      <c r="K812" s="5"/>
      <c r="L812" s="4" t="s">
        <v>62</v>
      </c>
      <c r="M812" s="8" t="s">
        <v>129</v>
      </c>
      <c r="N812" s="9" t="s">
        <v>3022</v>
      </c>
      <c r="O812" s="5"/>
      <c r="P812" s="5"/>
      <c r="Q812" s="6" t="s">
        <v>30</v>
      </c>
      <c r="R812" s="4" t="s">
        <v>31</v>
      </c>
      <c r="S812" s="7" t="s">
        <v>32</v>
      </c>
      <c r="T812" s="5"/>
    </row>
    <row r="813" customFormat="false" ht="43.5" hidden="false" customHeight="true" outlineLevel="0" collapsed="false">
      <c r="A813" s="4" t="n">
        <v>812</v>
      </c>
      <c r="B813" s="6" t="s">
        <v>1787</v>
      </c>
      <c r="C813" s="6" t="s">
        <v>3015</v>
      </c>
      <c r="D813" s="6" t="s">
        <v>3016</v>
      </c>
      <c r="E813" s="7" t="s">
        <v>21</v>
      </c>
      <c r="F813" s="6" t="s">
        <v>3177</v>
      </c>
      <c r="G813" s="6" t="s">
        <v>3072</v>
      </c>
      <c r="H813" s="5" t="s">
        <v>3115</v>
      </c>
      <c r="I813" s="6" t="s">
        <v>3127</v>
      </c>
      <c r="J813" s="6" t="s">
        <v>3178</v>
      </c>
      <c r="K813" s="5"/>
      <c r="L813" s="4" t="s">
        <v>44</v>
      </c>
      <c r="M813" s="8" t="s">
        <v>79</v>
      </c>
      <c r="N813" s="9" t="s">
        <v>3022</v>
      </c>
      <c r="O813" s="5"/>
      <c r="P813" s="5"/>
      <c r="Q813" s="6" t="s">
        <v>30</v>
      </c>
      <c r="R813" s="4" t="s">
        <v>31</v>
      </c>
      <c r="S813" s="7" t="s">
        <v>32</v>
      </c>
      <c r="T813" s="5"/>
    </row>
    <row r="814" customFormat="false" ht="29.25" hidden="false" customHeight="true" outlineLevel="0" collapsed="false">
      <c r="A814" s="4" t="n">
        <v>813</v>
      </c>
      <c r="B814" s="6" t="s">
        <v>1787</v>
      </c>
      <c r="C814" s="6" t="s">
        <v>3015</v>
      </c>
      <c r="D814" s="6" t="s">
        <v>3016</v>
      </c>
      <c r="E814" s="7" t="s">
        <v>21</v>
      </c>
      <c r="F814" s="6" t="s">
        <v>3179</v>
      </c>
      <c r="G814" s="6" t="s">
        <v>3039</v>
      </c>
      <c r="H814" s="5" t="s">
        <v>3115</v>
      </c>
      <c r="I814" s="6" t="s">
        <v>3127</v>
      </c>
      <c r="J814" s="6" t="s">
        <v>3178</v>
      </c>
      <c r="K814" s="5"/>
      <c r="L814" s="4" t="s">
        <v>62</v>
      </c>
      <c r="M814" s="8" t="s">
        <v>79</v>
      </c>
      <c r="N814" s="9" t="s">
        <v>3022</v>
      </c>
      <c r="O814" s="5"/>
      <c r="P814" s="5"/>
      <c r="Q814" s="6" t="s">
        <v>30</v>
      </c>
      <c r="R814" s="4" t="s">
        <v>31</v>
      </c>
      <c r="S814" s="7" t="s">
        <v>32</v>
      </c>
      <c r="T814" s="5"/>
    </row>
    <row r="815" customFormat="false" ht="15" hidden="false" customHeight="true" outlineLevel="0" collapsed="false">
      <c r="A815" s="4" t="n">
        <v>814</v>
      </c>
      <c r="B815" s="6" t="s">
        <v>1787</v>
      </c>
      <c r="C815" s="6" t="s">
        <v>3015</v>
      </c>
      <c r="D815" s="6" t="s">
        <v>3016</v>
      </c>
      <c r="E815" s="7" t="s">
        <v>21</v>
      </c>
      <c r="F815" s="6" t="s">
        <v>3180</v>
      </c>
      <c r="G815" s="6" t="s">
        <v>3129</v>
      </c>
      <c r="H815" s="6" t="s">
        <v>3130</v>
      </c>
      <c r="I815" s="6" t="s">
        <v>3131</v>
      </c>
      <c r="J815" s="6" t="s">
        <v>1251</v>
      </c>
      <c r="K815" s="5"/>
      <c r="L815" s="4" t="s">
        <v>27</v>
      </c>
      <c r="M815" s="8" t="s">
        <v>129</v>
      </c>
      <c r="N815" s="9" t="s">
        <v>3022</v>
      </c>
      <c r="O815" s="5"/>
      <c r="P815" s="5"/>
      <c r="Q815" s="6" t="s">
        <v>30</v>
      </c>
      <c r="R815" s="4" t="s">
        <v>31</v>
      </c>
      <c r="S815" s="7" t="s">
        <v>32</v>
      </c>
      <c r="T815" s="5"/>
    </row>
    <row r="816" customFormat="false" ht="29.25" hidden="false" customHeight="true" outlineLevel="0" collapsed="false">
      <c r="A816" s="4" t="n">
        <v>815</v>
      </c>
      <c r="B816" s="6" t="s">
        <v>1787</v>
      </c>
      <c r="C816" s="6" t="s">
        <v>3015</v>
      </c>
      <c r="D816" s="6" t="s">
        <v>3016</v>
      </c>
      <c r="E816" s="7" t="s">
        <v>21</v>
      </c>
      <c r="F816" s="6" t="s">
        <v>3181</v>
      </c>
      <c r="G816" s="6" t="s">
        <v>3129</v>
      </c>
      <c r="H816" s="6" t="s">
        <v>3130</v>
      </c>
      <c r="I816" s="6" t="s">
        <v>3131</v>
      </c>
      <c r="J816" s="6" t="s">
        <v>3132</v>
      </c>
      <c r="K816" s="5"/>
      <c r="L816" s="4" t="s">
        <v>44</v>
      </c>
      <c r="M816" s="8" t="s">
        <v>79</v>
      </c>
      <c r="N816" s="9" t="s">
        <v>3022</v>
      </c>
      <c r="O816" s="5"/>
      <c r="P816" s="5"/>
      <c r="Q816" s="6" t="s">
        <v>30</v>
      </c>
      <c r="R816" s="4" t="s">
        <v>31</v>
      </c>
      <c r="S816" s="7" t="s">
        <v>32</v>
      </c>
      <c r="T816" s="5"/>
    </row>
    <row r="817" customFormat="false" ht="15" hidden="false" customHeight="true" outlineLevel="0" collapsed="false">
      <c r="A817" s="4" t="n">
        <v>816</v>
      </c>
      <c r="B817" s="6" t="s">
        <v>1787</v>
      </c>
      <c r="C817" s="6" t="s">
        <v>3015</v>
      </c>
      <c r="D817" s="6" t="s">
        <v>3016</v>
      </c>
      <c r="E817" s="7" t="s">
        <v>21</v>
      </c>
      <c r="F817" s="6" t="s">
        <v>3182</v>
      </c>
      <c r="G817" s="6" t="s">
        <v>1930</v>
      </c>
      <c r="H817" s="6" t="s">
        <v>3183</v>
      </c>
      <c r="I817" s="6" t="s">
        <v>1929</v>
      </c>
      <c r="J817" s="6" t="s">
        <v>3184</v>
      </c>
      <c r="K817" s="5"/>
      <c r="L817" s="4" t="s">
        <v>27</v>
      </c>
      <c r="M817" s="8" t="s">
        <v>129</v>
      </c>
      <c r="N817" s="9" t="s">
        <v>3022</v>
      </c>
      <c r="O817" s="5"/>
      <c r="P817" s="5"/>
      <c r="Q817" s="6" t="s">
        <v>30</v>
      </c>
      <c r="R817" s="4" t="s">
        <v>31</v>
      </c>
      <c r="S817" s="7" t="s">
        <v>32</v>
      </c>
      <c r="T817" s="5"/>
    </row>
    <row r="818" customFormat="false" ht="15" hidden="false" customHeight="true" outlineLevel="0" collapsed="false">
      <c r="A818" s="4" t="n">
        <v>817</v>
      </c>
      <c r="B818" s="6" t="s">
        <v>1787</v>
      </c>
      <c r="C818" s="6" t="s">
        <v>3015</v>
      </c>
      <c r="D818" s="6" t="s">
        <v>3016</v>
      </c>
      <c r="E818" s="7" t="s">
        <v>21</v>
      </c>
      <c r="F818" s="6" t="s">
        <v>3185</v>
      </c>
      <c r="G818" s="6" t="s">
        <v>3040</v>
      </c>
      <c r="H818" s="6" t="s">
        <v>3038</v>
      </c>
      <c r="I818" s="6" t="s">
        <v>3186</v>
      </c>
      <c r="J818" s="6" t="s">
        <v>3187</v>
      </c>
      <c r="K818" s="5"/>
      <c r="L818" s="4" t="s">
        <v>27</v>
      </c>
      <c r="M818" s="8" t="s">
        <v>129</v>
      </c>
      <c r="N818" s="9" t="s">
        <v>3022</v>
      </c>
      <c r="O818" s="5"/>
      <c r="P818" s="5"/>
      <c r="Q818" s="6" t="s">
        <v>30</v>
      </c>
      <c r="R818" s="4" t="s">
        <v>31</v>
      </c>
      <c r="S818" s="7" t="s">
        <v>32</v>
      </c>
      <c r="T818" s="5"/>
    </row>
    <row r="819" customFormat="false" ht="15" hidden="false" customHeight="true" outlineLevel="0" collapsed="false">
      <c r="A819" s="4" t="n">
        <v>818</v>
      </c>
      <c r="B819" s="6" t="s">
        <v>1787</v>
      </c>
      <c r="C819" s="6" t="s">
        <v>3015</v>
      </c>
      <c r="D819" s="6" t="s">
        <v>3016</v>
      </c>
      <c r="E819" s="7" t="s">
        <v>21</v>
      </c>
      <c r="F819" s="6" t="s">
        <v>3188</v>
      </c>
      <c r="G819" s="6" t="s">
        <v>3189</v>
      </c>
      <c r="H819" s="6" t="s">
        <v>3190</v>
      </c>
      <c r="I819" s="6" t="s">
        <v>3191</v>
      </c>
      <c r="J819" s="6" t="s">
        <v>3098</v>
      </c>
      <c r="K819" s="5"/>
      <c r="L819" s="4" t="s">
        <v>62</v>
      </c>
      <c r="M819" s="8" t="s">
        <v>79</v>
      </c>
      <c r="N819" s="9" t="s">
        <v>3022</v>
      </c>
      <c r="O819" s="5"/>
      <c r="P819" s="5"/>
      <c r="Q819" s="6" t="s">
        <v>30</v>
      </c>
      <c r="R819" s="4" t="s">
        <v>31</v>
      </c>
      <c r="S819" s="7" t="s">
        <v>32</v>
      </c>
      <c r="T819" s="5"/>
    </row>
    <row r="820" customFormat="false" ht="15" hidden="false" customHeight="true" outlineLevel="0" collapsed="false">
      <c r="A820" s="4" t="n">
        <v>819</v>
      </c>
      <c r="B820" s="6" t="s">
        <v>1787</v>
      </c>
      <c r="C820" s="6" t="s">
        <v>3015</v>
      </c>
      <c r="D820" s="6" t="s">
        <v>3016</v>
      </c>
      <c r="E820" s="7" t="s">
        <v>21</v>
      </c>
      <c r="F820" s="6" t="s">
        <v>3192</v>
      </c>
      <c r="G820" s="6" t="s">
        <v>3193</v>
      </c>
      <c r="H820" s="6" t="s">
        <v>3194</v>
      </c>
      <c r="I820" s="6" t="s">
        <v>3195</v>
      </c>
      <c r="J820" s="6" t="s">
        <v>3098</v>
      </c>
      <c r="K820" s="5"/>
      <c r="L820" s="4" t="s">
        <v>27</v>
      </c>
      <c r="M820" s="8" t="s">
        <v>129</v>
      </c>
      <c r="N820" s="9" t="s">
        <v>3022</v>
      </c>
      <c r="O820" s="5"/>
      <c r="P820" s="5"/>
      <c r="Q820" s="6" t="s">
        <v>30</v>
      </c>
      <c r="R820" s="4" t="s">
        <v>31</v>
      </c>
      <c r="S820" s="7" t="s">
        <v>32</v>
      </c>
      <c r="T820" s="5"/>
    </row>
    <row r="821" customFormat="false" ht="15" hidden="false" customHeight="true" outlineLevel="0" collapsed="false">
      <c r="A821" s="4" t="n">
        <v>820</v>
      </c>
      <c r="B821" s="6" t="s">
        <v>1787</v>
      </c>
      <c r="C821" s="6" t="s">
        <v>3015</v>
      </c>
      <c r="D821" s="6" t="s">
        <v>3016</v>
      </c>
      <c r="E821" s="7" t="s">
        <v>21</v>
      </c>
      <c r="F821" s="6" t="s">
        <v>3196</v>
      </c>
      <c r="G821" s="6" t="s">
        <v>3197</v>
      </c>
      <c r="H821" s="6" t="s">
        <v>3198</v>
      </c>
      <c r="I821" s="6" t="s">
        <v>3199</v>
      </c>
      <c r="J821" s="6" t="s">
        <v>3200</v>
      </c>
      <c r="K821" s="5"/>
      <c r="L821" s="4" t="s">
        <v>44</v>
      </c>
      <c r="M821" s="8" t="s">
        <v>129</v>
      </c>
      <c r="N821" s="9" t="s">
        <v>3022</v>
      </c>
      <c r="O821" s="5"/>
      <c r="P821" s="5"/>
      <c r="Q821" s="6" t="s">
        <v>30</v>
      </c>
      <c r="R821" s="4" t="s">
        <v>31</v>
      </c>
      <c r="S821" s="7" t="s">
        <v>32</v>
      </c>
      <c r="T821" s="5"/>
    </row>
    <row r="822" customFormat="false" ht="43.5" hidden="false" customHeight="true" outlineLevel="0" collapsed="false">
      <c r="A822" s="4" t="n">
        <v>821</v>
      </c>
      <c r="B822" s="6" t="s">
        <v>1787</v>
      </c>
      <c r="C822" s="6" t="s">
        <v>3015</v>
      </c>
      <c r="D822" s="6" t="s">
        <v>3016</v>
      </c>
      <c r="E822" s="7" t="s">
        <v>21</v>
      </c>
      <c r="F822" s="6" t="s">
        <v>3201</v>
      </c>
      <c r="G822" s="6" t="s">
        <v>3202</v>
      </c>
      <c r="H822" s="6" t="s">
        <v>3203</v>
      </c>
      <c r="I822" s="6" t="s">
        <v>3204</v>
      </c>
      <c r="J822" s="6" t="s">
        <v>3205</v>
      </c>
      <c r="K822" s="5"/>
      <c r="L822" s="4" t="s">
        <v>62</v>
      </c>
      <c r="M822" s="8" t="s">
        <v>79</v>
      </c>
      <c r="N822" s="9" t="s">
        <v>3046</v>
      </c>
      <c r="O822" s="5"/>
      <c r="P822" s="5"/>
      <c r="Q822" s="6" t="s">
        <v>30</v>
      </c>
      <c r="R822" s="4" t="s">
        <v>31</v>
      </c>
      <c r="S822" s="7" t="s">
        <v>32</v>
      </c>
      <c r="T822" s="5"/>
    </row>
    <row r="823" customFormat="false" ht="29.25" hidden="false" customHeight="true" outlineLevel="0" collapsed="false">
      <c r="A823" s="4" t="n">
        <v>822</v>
      </c>
      <c r="B823" s="6" t="s">
        <v>1787</v>
      </c>
      <c r="C823" s="6" t="s">
        <v>3015</v>
      </c>
      <c r="D823" s="6" t="s">
        <v>3016</v>
      </c>
      <c r="E823" s="7" t="s">
        <v>21</v>
      </c>
      <c r="F823" s="6" t="s">
        <v>3206</v>
      </c>
      <c r="G823" s="6" t="s">
        <v>3207</v>
      </c>
      <c r="H823" s="6" t="s">
        <v>3208</v>
      </c>
      <c r="I823" s="6" t="s">
        <v>3209</v>
      </c>
      <c r="J823" s="6" t="s">
        <v>3210</v>
      </c>
      <c r="K823" s="5"/>
      <c r="L823" s="4" t="s">
        <v>27</v>
      </c>
      <c r="M823" s="8" t="s">
        <v>129</v>
      </c>
      <c r="N823" s="9" t="s">
        <v>3022</v>
      </c>
      <c r="O823" s="5"/>
      <c r="P823" s="5"/>
      <c r="Q823" s="6" t="s">
        <v>30</v>
      </c>
      <c r="R823" s="4" t="s">
        <v>31</v>
      </c>
      <c r="S823" s="7" t="s">
        <v>32</v>
      </c>
      <c r="T823" s="5"/>
    </row>
    <row r="824" customFormat="false" ht="29.25" hidden="false" customHeight="true" outlineLevel="0" collapsed="false">
      <c r="A824" s="4" t="n">
        <v>823</v>
      </c>
      <c r="B824" s="6" t="s">
        <v>1787</v>
      </c>
      <c r="C824" s="6" t="s">
        <v>3015</v>
      </c>
      <c r="D824" s="6" t="s">
        <v>3016</v>
      </c>
      <c r="E824" s="7" t="s">
        <v>21</v>
      </c>
      <c r="F824" s="6" t="s">
        <v>3211</v>
      </c>
      <c r="G824" s="6" t="s">
        <v>3212</v>
      </c>
      <c r="H824" s="6" t="s">
        <v>3213</v>
      </c>
      <c r="I824" s="6" t="s">
        <v>3214</v>
      </c>
      <c r="J824" s="6" t="s">
        <v>3215</v>
      </c>
      <c r="K824" s="5"/>
      <c r="L824" s="4" t="s">
        <v>27</v>
      </c>
      <c r="M824" s="8" t="s">
        <v>79</v>
      </c>
      <c r="N824" s="9" t="s">
        <v>3046</v>
      </c>
      <c r="O824" s="5"/>
      <c r="P824" s="5"/>
      <c r="Q824" s="6" t="s">
        <v>30</v>
      </c>
      <c r="R824" s="4" t="s">
        <v>31</v>
      </c>
      <c r="S824" s="7" t="s">
        <v>32</v>
      </c>
      <c r="T824" s="5"/>
    </row>
    <row r="825" customFormat="false" ht="57.75" hidden="false" customHeight="true" outlineLevel="0" collapsed="false">
      <c r="A825" s="4" t="n">
        <v>824</v>
      </c>
      <c r="B825" s="6" t="s">
        <v>1787</v>
      </c>
      <c r="C825" s="6" t="s">
        <v>3015</v>
      </c>
      <c r="D825" s="6" t="s">
        <v>3016</v>
      </c>
      <c r="E825" s="7" t="s">
        <v>21</v>
      </c>
      <c r="F825" s="6" t="s">
        <v>3216</v>
      </c>
      <c r="G825" s="6" t="s">
        <v>3217</v>
      </c>
      <c r="H825" s="6" t="s">
        <v>3218</v>
      </c>
      <c r="I825" s="6" t="s">
        <v>3219</v>
      </c>
      <c r="J825" s="6" t="s">
        <v>3220</v>
      </c>
      <c r="K825" s="5"/>
      <c r="L825" s="4" t="s">
        <v>27</v>
      </c>
      <c r="M825" s="8" t="s">
        <v>79</v>
      </c>
      <c r="N825" s="9" t="s">
        <v>3046</v>
      </c>
      <c r="O825" s="5"/>
      <c r="P825" s="5"/>
      <c r="Q825" s="6" t="s">
        <v>30</v>
      </c>
      <c r="R825" s="4" t="s">
        <v>31</v>
      </c>
      <c r="S825" s="7" t="s">
        <v>32</v>
      </c>
      <c r="T825" s="5"/>
    </row>
    <row r="826" customFormat="false" ht="43.5" hidden="false" customHeight="true" outlineLevel="0" collapsed="false">
      <c r="A826" s="4" t="n">
        <v>825</v>
      </c>
      <c r="B826" s="6" t="s">
        <v>1787</v>
      </c>
      <c r="C826" s="6" t="s">
        <v>3015</v>
      </c>
      <c r="D826" s="6" t="s">
        <v>3016</v>
      </c>
      <c r="E826" s="7" t="s">
        <v>21</v>
      </c>
      <c r="F826" s="6" t="s">
        <v>3221</v>
      </c>
      <c r="G826" s="6" t="s">
        <v>3222</v>
      </c>
      <c r="H826" s="6" t="s">
        <v>3223</v>
      </c>
      <c r="I826" s="6" t="s">
        <v>3224</v>
      </c>
      <c r="J826" s="6" t="s">
        <v>3225</v>
      </c>
      <c r="K826" s="5"/>
      <c r="L826" s="4" t="s">
        <v>51</v>
      </c>
      <c r="M826" s="8" t="s">
        <v>79</v>
      </c>
      <c r="N826" s="9" t="s">
        <v>3022</v>
      </c>
      <c r="O826" s="5"/>
      <c r="P826" s="5"/>
      <c r="Q826" s="6" t="s">
        <v>30</v>
      </c>
      <c r="R826" s="4" t="s">
        <v>31</v>
      </c>
      <c r="S826" s="7" t="s">
        <v>32</v>
      </c>
      <c r="T826" s="5"/>
    </row>
    <row r="827" customFormat="false" ht="43.5" hidden="false" customHeight="true" outlineLevel="0" collapsed="false">
      <c r="A827" s="4" t="n">
        <v>826</v>
      </c>
      <c r="B827" s="6" t="s">
        <v>1787</v>
      </c>
      <c r="C827" s="6" t="s">
        <v>3015</v>
      </c>
      <c r="D827" s="6" t="s">
        <v>3016</v>
      </c>
      <c r="E827" s="7" t="s">
        <v>21</v>
      </c>
      <c r="F827" s="6" t="s">
        <v>3226</v>
      </c>
      <c r="G827" s="6" t="s">
        <v>3227</v>
      </c>
      <c r="H827" s="6" t="s">
        <v>3228</v>
      </c>
      <c r="I827" s="6" t="s">
        <v>3229</v>
      </c>
      <c r="J827" s="6" t="s">
        <v>3230</v>
      </c>
      <c r="K827" s="5"/>
      <c r="L827" s="4" t="s">
        <v>62</v>
      </c>
      <c r="M827" s="8" t="s">
        <v>79</v>
      </c>
      <c r="N827" s="9" t="s">
        <v>3022</v>
      </c>
      <c r="O827" s="5"/>
      <c r="P827" s="5"/>
      <c r="Q827" s="6" t="s">
        <v>30</v>
      </c>
      <c r="R827" s="4" t="s">
        <v>31</v>
      </c>
      <c r="S827" s="7" t="s">
        <v>32</v>
      </c>
      <c r="T827" s="5"/>
    </row>
    <row r="828" customFormat="false" ht="29.25" hidden="false" customHeight="true" outlineLevel="0" collapsed="false">
      <c r="A828" s="4" t="n">
        <v>827</v>
      </c>
      <c r="B828" s="6" t="s">
        <v>1787</v>
      </c>
      <c r="C828" s="6" t="s">
        <v>3015</v>
      </c>
      <c r="D828" s="6" t="s">
        <v>3016</v>
      </c>
      <c r="E828" s="7" t="s">
        <v>21</v>
      </c>
      <c r="F828" s="6" t="s">
        <v>3231</v>
      </c>
      <c r="G828" s="6" t="s">
        <v>2629</v>
      </c>
      <c r="H828" s="6" t="s">
        <v>2627</v>
      </c>
      <c r="I828" s="6" t="s">
        <v>3187</v>
      </c>
      <c r="J828" s="6" t="s">
        <v>3025</v>
      </c>
      <c r="K828" s="5"/>
      <c r="L828" s="4" t="s">
        <v>44</v>
      </c>
      <c r="M828" s="8" t="s">
        <v>79</v>
      </c>
      <c r="N828" s="9" t="s">
        <v>3022</v>
      </c>
      <c r="O828" s="5"/>
      <c r="P828" s="5"/>
      <c r="Q828" s="6" t="s">
        <v>30</v>
      </c>
      <c r="R828" s="4" t="s">
        <v>31</v>
      </c>
      <c r="S828" s="7" t="s">
        <v>32</v>
      </c>
      <c r="T828" s="5"/>
    </row>
    <row r="829" customFormat="false" ht="57.75" hidden="false" customHeight="true" outlineLevel="0" collapsed="false">
      <c r="A829" s="4" t="n">
        <v>828</v>
      </c>
      <c r="B829" s="6" t="s">
        <v>1787</v>
      </c>
      <c r="C829" s="6" t="s">
        <v>3015</v>
      </c>
      <c r="D829" s="6" t="s">
        <v>3016</v>
      </c>
      <c r="E829" s="7" t="s">
        <v>21</v>
      </c>
      <c r="F829" s="6" t="s">
        <v>3232</v>
      </c>
      <c r="G829" s="6" t="s">
        <v>3233</v>
      </c>
      <c r="H829" s="6" t="s">
        <v>3234</v>
      </c>
      <c r="I829" s="6" t="s">
        <v>3235</v>
      </c>
      <c r="J829" s="6" t="s">
        <v>3236</v>
      </c>
      <c r="K829" s="5"/>
      <c r="L829" s="4" t="s">
        <v>44</v>
      </c>
      <c r="M829" s="8" t="s">
        <v>28</v>
      </c>
      <c r="N829" s="9" t="s">
        <v>3022</v>
      </c>
      <c r="O829" s="5"/>
      <c r="P829" s="5"/>
      <c r="Q829" s="6" t="s">
        <v>30</v>
      </c>
      <c r="R829" s="4" t="s">
        <v>31</v>
      </c>
      <c r="S829" s="7" t="s">
        <v>32</v>
      </c>
      <c r="T829" s="5"/>
    </row>
    <row r="830" customFormat="false" ht="72" hidden="false" customHeight="true" outlineLevel="0" collapsed="false">
      <c r="A830" s="4" t="n">
        <v>829</v>
      </c>
      <c r="B830" s="6" t="s">
        <v>1787</v>
      </c>
      <c r="C830" s="6" t="s">
        <v>3015</v>
      </c>
      <c r="D830" s="6" t="s">
        <v>3016</v>
      </c>
      <c r="E830" s="7" t="s">
        <v>21</v>
      </c>
      <c r="F830" s="6" t="s">
        <v>3237</v>
      </c>
      <c r="G830" s="6" t="s">
        <v>3238</v>
      </c>
      <c r="H830" s="6" t="s">
        <v>3239</v>
      </c>
      <c r="I830" s="6" t="s">
        <v>3240</v>
      </c>
      <c r="J830" s="6" t="s">
        <v>3241</v>
      </c>
      <c r="K830" s="5"/>
      <c r="L830" s="4" t="s">
        <v>44</v>
      </c>
      <c r="M830" s="8" t="s">
        <v>28</v>
      </c>
      <c r="N830" s="9" t="s">
        <v>3046</v>
      </c>
      <c r="O830" s="5"/>
      <c r="P830" s="5"/>
      <c r="Q830" s="6" t="s">
        <v>30</v>
      </c>
      <c r="R830" s="4" t="s">
        <v>31</v>
      </c>
      <c r="S830" s="7" t="s">
        <v>32</v>
      </c>
      <c r="T830" s="5"/>
    </row>
    <row r="831" customFormat="false" ht="43.5" hidden="false" customHeight="true" outlineLevel="0" collapsed="false">
      <c r="A831" s="4" t="n">
        <v>830</v>
      </c>
      <c r="B831" s="6" t="s">
        <v>1787</v>
      </c>
      <c r="C831" s="6" t="s">
        <v>3015</v>
      </c>
      <c r="D831" s="6" t="s">
        <v>3016</v>
      </c>
      <c r="E831" s="7" t="s">
        <v>21</v>
      </c>
      <c r="F831" s="6" t="s">
        <v>3242</v>
      </c>
      <c r="G831" s="6" t="s">
        <v>2628</v>
      </c>
      <c r="H831" s="6" t="s">
        <v>3127</v>
      </c>
      <c r="I831" s="6" t="s">
        <v>3072</v>
      </c>
      <c r="J831" s="6" t="s">
        <v>3243</v>
      </c>
      <c r="K831" s="5"/>
      <c r="L831" s="4" t="s">
        <v>27</v>
      </c>
      <c r="M831" s="8" t="s">
        <v>129</v>
      </c>
      <c r="N831" s="9" t="s">
        <v>3022</v>
      </c>
      <c r="O831" s="5"/>
      <c r="P831" s="5"/>
      <c r="Q831" s="6" t="s">
        <v>30</v>
      </c>
      <c r="R831" s="4" t="s">
        <v>31</v>
      </c>
      <c r="S831" s="7" t="s">
        <v>32</v>
      </c>
      <c r="T831" s="5"/>
    </row>
    <row r="832" customFormat="false" ht="29.25" hidden="false" customHeight="true" outlineLevel="0" collapsed="false">
      <c r="A832" s="4" t="n">
        <v>831</v>
      </c>
      <c r="B832" s="6" t="s">
        <v>1787</v>
      </c>
      <c r="C832" s="6" t="s">
        <v>3015</v>
      </c>
      <c r="D832" s="6" t="s">
        <v>3016</v>
      </c>
      <c r="E832" s="7" t="s">
        <v>21</v>
      </c>
      <c r="F832" s="6" t="s">
        <v>3244</v>
      </c>
      <c r="G832" s="6" t="s">
        <v>3245</v>
      </c>
      <c r="H832" s="6" t="s">
        <v>3246</v>
      </c>
      <c r="I832" s="6" t="s">
        <v>3247</v>
      </c>
      <c r="J832" s="6" t="s">
        <v>3248</v>
      </c>
      <c r="K832" s="5"/>
      <c r="L832" s="4" t="s">
        <v>27</v>
      </c>
      <c r="M832" s="8" t="s">
        <v>79</v>
      </c>
      <c r="N832" s="9" t="s">
        <v>3022</v>
      </c>
      <c r="O832" s="5"/>
      <c r="P832" s="5"/>
      <c r="Q832" s="6" t="s">
        <v>30</v>
      </c>
      <c r="R832" s="4" t="s">
        <v>31</v>
      </c>
      <c r="S832" s="7" t="s">
        <v>32</v>
      </c>
      <c r="T832" s="5"/>
    </row>
    <row r="833" customFormat="false" ht="15" hidden="false" customHeight="true" outlineLevel="0" collapsed="false">
      <c r="A833" s="4" t="n">
        <v>832</v>
      </c>
      <c r="B833" s="6" t="s">
        <v>1787</v>
      </c>
      <c r="C833" s="6" t="s">
        <v>3015</v>
      </c>
      <c r="D833" s="6" t="s">
        <v>3016</v>
      </c>
      <c r="E833" s="7" t="s">
        <v>21</v>
      </c>
      <c r="F833" s="6" t="s">
        <v>3249</v>
      </c>
      <c r="G833" s="6" t="s">
        <v>3072</v>
      </c>
      <c r="H833" s="5" t="s">
        <v>3029</v>
      </c>
      <c r="I833" s="6" t="s">
        <v>3039</v>
      </c>
      <c r="J833" s="6" t="s">
        <v>3178</v>
      </c>
      <c r="K833" s="5"/>
      <c r="L833" s="4" t="s">
        <v>44</v>
      </c>
      <c r="M833" s="8" t="s">
        <v>129</v>
      </c>
      <c r="N833" s="9" t="s">
        <v>3022</v>
      </c>
      <c r="O833" s="5"/>
      <c r="P833" s="5"/>
      <c r="Q833" s="6" t="s">
        <v>30</v>
      </c>
      <c r="R833" s="4" t="s">
        <v>31</v>
      </c>
      <c r="S833" s="7" t="s">
        <v>32</v>
      </c>
      <c r="T833" s="5"/>
    </row>
    <row r="834" customFormat="false" ht="15" hidden="false" customHeight="true" outlineLevel="0" collapsed="false">
      <c r="A834" s="4" t="n">
        <v>833</v>
      </c>
      <c r="B834" s="6" t="s">
        <v>1787</v>
      </c>
      <c r="C834" s="6" t="s">
        <v>3015</v>
      </c>
      <c r="D834" s="6" t="s">
        <v>3016</v>
      </c>
      <c r="E834" s="7" t="s">
        <v>21</v>
      </c>
      <c r="F834" s="6" t="s">
        <v>3250</v>
      </c>
      <c r="G834" s="6" t="s">
        <v>3251</v>
      </c>
      <c r="H834" s="6" t="s">
        <v>3252</v>
      </c>
      <c r="I834" s="6" t="s">
        <v>3253</v>
      </c>
      <c r="J834" s="6" t="s">
        <v>78</v>
      </c>
      <c r="K834" s="5"/>
      <c r="L834" s="4" t="s">
        <v>44</v>
      </c>
      <c r="M834" s="8" t="s">
        <v>79</v>
      </c>
      <c r="N834" s="9" t="s">
        <v>3022</v>
      </c>
      <c r="O834" s="5"/>
      <c r="P834" s="5"/>
      <c r="Q834" s="6" t="s">
        <v>30</v>
      </c>
      <c r="R834" s="4" t="s">
        <v>31</v>
      </c>
      <c r="S834" s="7" t="s">
        <v>32</v>
      </c>
      <c r="T834" s="5"/>
    </row>
    <row r="835" customFormat="false" ht="43.5" hidden="false" customHeight="true" outlineLevel="0" collapsed="false">
      <c r="A835" s="4" t="n">
        <v>834</v>
      </c>
      <c r="B835" s="6" t="s">
        <v>1787</v>
      </c>
      <c r="C835" s="6" t="s">
        <v>3015</v>
      </c>
      <c r="D835" s="6" t="s">
        <v>3016</v>
      </c>
      <c r="E835" s="7" t="s">
        <v>21</v>
      </c>
      <c r="F835" s="6" t="s">
        <v>3254</v>
      </c>
      <c r="G835" s="6" t="s">
        <v>3072</v>
      </c>
      <c r="H835" s="6" t="s">
        <v>3127</v>
      </c>
      <c r="I835" s="6" t="s">
        <v>3126</v>
      </c>
      <c r="J835" s="6" t="s">
        <v>3039</v>
      </c>
      <c r="K835" s="5"/>
      <c r="L835" s="4" t="s">
        <v>27</v>
      </c>
      <c r="M835" s="8" t="s">
        <v>79</v>
      </c>
      <c r="N835" s="9" t="s">
        <v>3022</v>
      </c>
      <c r="O835" s="5"/>
      <c r="P835" s="5"/>
      <c r="Q835" s="6" t="s">
        <v>30</v>
      </c>
      <c r="R835" s="4" t="s">
        <v>31</v>
      </c>
      <c r="S835" s="7" t="s">
        <v>32</v>
      </c>
      <c r="T835" s="5"/>
    </row>
    <row r="836" customFormat="false" ht="15" hidden="false" customHeight="true" outlineLevel="0" collapsed="false">
      <c r="A836" s="4" t="n">
        <v>835</v>
      </c>
      <c r="B836" s="6" t="s">
        <v>1787</v>
      </c>
      <c r="C836" s="6" t="s">
        <v>3015</v>
      </c>
      <c r="D836" s="6" t="s">
        <v>3016</v>
      </c>
      <c r="E836" s="7" t="s">
        <v>21</v>
      </c>
      <c r="F836" s="6" t="s">
        <v>3255</v>
      </c>
      <c r="G836" s="6" t="s">
        <v>3072</v>
      </c>
      <c r="H836" s="5" t="s">
        <v>3029</v>
      </c>
      <c r="I836" s="6" t="s">
        <v>3039</v>
      </c>
      <c r="J836" s="6" t="s">
        <v>3126</v>
      </c>
      <c r="K836" s="5"/>
      <c r="L836" s="4" t="s">
        <v>44</v>
      </c>
      <c r="M836" s="8" t="s">
        <v>129</v>
      </c>
      <c r="N836" s="9" t="s">
        <v>3022</v>
      </c>
      <c r="O836" s="5"/>
      <c r="P836" s="5"/>
      <c r="Q836" s="6" t="s">
        <v>30</v>
      </c>
      <c r="R836" s="4" t="s">
        <v>31</v>
      </c>
      <c r="S836" s="7" t="s">
        <v>32</v>
      </c>
      <c r="T836" s="5"/>
    </row>
    <row r="837" customFormat="false" ht="15" hidden="false" customHeight="true" outlineLevel="0" collapsed="false">
      <c r="A837" s="4" t="n">
        <v>836</v>
      </c>
      <c r="B837" s="6" t="s">
        <v>1787</v>
      </c>
      <c r="C837" s="6" t="s">
        <v>3015</v>
      </c>
      <c r="D837" s="6" t="s">
        <v>3016</v>
      </c>
      <c r="E837" s="7" t="s">
        <v>21</v>
      </c>
      <c r="F837" s="6" t="s">
        <v>3256</v>
      </c>
      <c r="G837" s="6" t="s">
        <v>2628</v>
      </c>
      <c r="H837" s="6" t="s">
        <v>2627</v>
      </c>
      <c r="I837" s="6" t="s">
        <v>3039</v>
      </c>
      <c r="J837" s="6" t="s">
        <v>3040</v>
      </c>
      <c r="K837" s="5"/>
      <c r="L837" s="4" t="s">
        <v>44</v>
      </c>
      <c r="M837" s="8" t="s">
        <v>129</v>
      </c>
      <c r="N837" s="9" t="s">
        <v>3022</v>
      </c>
      <c r="O837" s="5"/>
      <c r="P837" s="5"/>
      <c r="Q837" s="6" t="s">
        <v>30</v>
      </c>
      <c r="R837" s="4" t="s">
        <v>31</v>
      </c>
      <c r="S837" s="7" t="s">
        <v>32</v>
      </c>
      <c r="T837" s="5"/>
    </row>
    <row r="838" customFormat="false" ht="15" hidden="false" customHeight="true" outlineLevel="0" collapsed="false">
      <c r="A838" s="4" t="n">
        <v>837</v>
      </c>
      <c r="B838" s="6" t="s">
        <v>1787</v>
      </c>
      <c r="C838" s="6" t="s">
        <v>3015</v>
      </c>
      <c r="D838" s="6" t="s">
        <v>3016</v>
      </c>
      <c r="E838" s="7" t="s">
        <v>21</v>
      </c>
      <c r="F838" s="6" t="s">
        <v>3257</v>
      </c>
      <c r="G838" s="6" t="s">
        <v>2628</v>
      </c>
      <c r="H838" s="6" t="s">
        <v>2627</v>
      </c>
      <c r="I838" s="6" t="s">
        <v>3039</v>
      </c>
      <c r="J838" s="6" t="s">
        <v>3026</v>
      </c>
      <c r="K838" s="5"/>
      <c r="L838" s="4" t="s">
        <v>44</v>
      </c>
      <c r="M838" s="8" t="s">
        <v>129</v>
      </c>
      <c r="N838" s="9" t="s">
        <v>3022</v>
      </c>
      <c r="O838" s="5"/>
      <c r="P838" s="5"/>
      <c r="Q838" s="6" t="s">
        <v>30</v>
      </c>
      <c r="R838" s="4" t="s">
        <v>31</v>
      </c>
      <c r="S838" s="7" t="s">
        <v>32</v>
      </c>
      <c r="T838" s="5"/>
    </row>
    <row r="839" customFormat="false" ht="15" hidden="false" customHeight="true" outlineLevel="0" collapsed="false">
      <c r="A839" s="4" t="n">
        <v>838</v>
      </c>
      <c r="B839" s="6" t="s">
        <v>1787</v>
      </c>
      <c r="C839" s="6" t="s">
        <v>3015</v>
      </c>
      <c r="D839" s="6" t="s">
        <v>3016</v>
      </c>
      <c r="E839" s="7" t="s">
        <v>21</v>
      </c>
      <c r="F839" s="6" t="s">
        <v>3258</v>
      </c>
      <c r="G839" s="6" t="s">
        <v>3259</v>
      </c>
      <c r="H839" s="6" t="s">
        <v>3260</v>
      </c>
      <c r="I839" s="6" t="s">
        <v>3261</v>
      </c>
      <c r="J839" s="6" t="s">
        <v>3262</v>
      </c>
      <c r="K839" s="5"/>
      <c r="L839" s="4" t="s">
        <v>27</v>
      </c>
      <c r="M839" s="8" t="s">
        <v>129</v>
      </c>
      <c r="N839" s="9" t="s">
        <v>3022</v>
      </c>
      <c r="O839" s="5"/>
      <c r="P839" s="5"/>
      <c r="Q839" s="6" t="s">
        <v>30</v>
      </c>
      <c r="R839" s="4" t="s">
        <v>31</v>
      </c>
      <c r="S839" s="7" t="s">
        <v>32</v>
      </c>
      <c r="T839" s="5"/>
    </row>
    <row r="840" customFormat="false" ht="29.25" hidden="false" customHeight="true" outlineLevel="0" collapsed="false">
      <c r="A840" s="4" t="n">
        <v>839</v>
      </c>
      <c r="B840" s="6" t="s">
        <v>1787</v>
      </c>
      <c r="C840" s="6" t="s">
        <v>3015</v>
      </c>
      <c r="D840" s="6" t="s">
        <v>3016</v>
      </c>
      <c r="E840" s="7" t="s">
        <v>21</v>
      </c>
      <c r="F840" s="6" t="s">
        <v>3263</v>
      </c>
      <c r="G840" s="6" t="s">
        <v>3264</v>
      </c>
      <c r="H840" s="6" t="s">
        <v>3265</v>
      </c>
      <c r="I840" s="6" t="s">
        <v>3266</v>
      </c>
      <c r="J840" s="6" t="s">
        <v>3267</v>
      </c>
      <c r="K840" s="5"/>
      <c r="L840" s="4" t="s">
        <v>62</v>
      </c>
      <c r="M840" s="8" t="s">
        <v>79</v>
      </c>
      <c r="N840" s="9" t="s">
        <v>3022</v>
      </c>
      <c r="O840" s="5"/>
      <c r="P840" s="5"/>
      <c r="Q840" s="6" t="s">
        <v>30</v>
      </c>
      <c r="R840" s="4" t="s">
        <v>31</v>
      </c>
      <c r="S840" s="7" t="s">
        <v>32</v>
      </c>
      <c r="T840" s="5"/>
    </row>
    <row r="841" customFormat="false" ht="29.25" hidden="false" customHeight="true" outlineLevel="0" collapsed="false">
      <c r="A841" s="4" t="n">
        <v>840</v>
      </c>
      <c r="B841" s="6" t="s">
        <v>1787</v>
      </c>
      <c r="C841" s="6" t="s">
        <v>3015</v>
      </c>
      <c r="D841" s="6" t="s">
        <v>3016</v>
      </c>
      <c r="E841" s="7" t="s">
        <v>21</v>
      </c>
      <c r="F841" s="6" t="s">
        <v>3268</v>
      </c>
      <c r="G841" s="6" t="s">
        <v>3269</v>
      </c>
      <c r="H841" s="6" t="s">
        <v>3270</v>
      </c>
      <c r="I841" s="6" t="s">
        <v>3271</v>
      </c>
      <c r="J841" s="6" t="s">
        <v>3272</v>
      </c>
      <c r="K841" s="5"/>
      <c r="L841" s="4" t="s">
        <v>62</v>
      </c>
      <c r="M841" s="8" t="s">
        <v>79</v>
      </c>
      <c r="N841" s="9" t="s">
        <v>3022</v>
      </c>
      <c r="O841" s="5"/>
      <c r="P841" s="5"/>
      <c r="Q841" s="6" t="s">
        <v>30</v>
      </c>
      <c r="R841" s="4" t="s">
        <v>31</v>
      </c>
      <c r="S841" s="7" t="s">
        <v>32</v>
      </c>
      <c r="T841" s="5"/>
    </row>
    <row r="842" customFormat="false" ht="15" hidden="false" customHeight="true" outlineLevel="0" collapsed="false">
      <c r="A842" s="4" t="n">
        <v>841</v>
      </c>
      <c r="B842" s="6" t="s">
        <v>1787</v>
      </c>
      <c r="C842" s="6" t="s">
        <v>3015</v>
      </c>
      <c r="D842" s="6" t="s">
        <v>3016</v>
      </c>
      <c r="E842" s="7" t="s">
        <v>21</v>
      </c>
      <c r="F842" s="6" t="s">
        <v>3273</v>
      </c>
      <c r="G842" s="6" t="s">
        <v>3154</v>
      </c>
      <c r="H842" s="6" t="s">
        <v>3155</v>
      </c>
      <c r="I842" s="6" t="s">
        <v>3274</v>
      </c>
      <c r="J842" s="6" t="s">
        <v>3098</v>
      </c>
      <c r="K842" s="5"/>
      <c r="L842" s="4" t="s">
        <v>62</v>
      </c>
      <c r="M842" s="8" t="s">
        <v>129</v>
      </c>
      <c r="N842" s="9" t="s">
        <v>3022</v>
      </c>
      <c r="O842" s="5"/>
      <c r="P842" s="5"/>
      <c r="Q842" s="6" t="s">
        <v>30</v>
      </c>
      <c r="R842" s="4" t="s">
        <v>31</v>
      </c>
      <c r="S842" s="7" t="s">
        <v>32</v>
      </c>
      <c r="T842" s="5"/>
    </row>
    <row r="843" customFormat="false" ht="15" hidden="false" customHeight="true" outlineLevel="0" collapsed="false">
      <c r="A843" s="4" t="n">
        <v>842</v>
      </c>
      <c r="B843" s="6" t="s">
        <v>1787</v>
      </c>
      <c r="C843" s="6" t="s">
        <v>3015</v>
      </c>
      <c r="D843" s="6" t="s">
        <v>3016</v>
      </c>
      <c r="E843" s="7" t="s">
        <v>21</v>
      </c>
      <c r="F843" s="6" t="s">
        <v>3275</v>
      </c>
      <c r="G843" s="6" t="s">
        <v>3276</v>
      </c>
      <c r="H843" s="6" t="s">
        <v>3277</v>
      </c>
      <c r="I843" s="6" t="s">
        <v>3278</v>
      </c>
      <c r="J843" s="6" t="s">
        <v>3279</v>
      </c>
      <c r="K843" s="5"/>
      <c r="L843" s="4" t="s">
        <v>27</v>
      </c>
      <c r="M843" s="8" t="s">
        <v>129</v>
      </c>
      <c r="N843" s="9" t="s">
        <v>3046</v>
      </c>
      <c r="O843" s="5"/>
      <c r="P843" s="5"/>
      <c r="Q843" s="6" t="s">
        <v>30</v>
      </c>
      <c r="R843" s="4" t="s">
        <v>31</v>
      </c>
      <c r="S843" s="7" t="s">
        <v>32</v>
      </c>
      <c r="T843" s="5"/>
    </row>
    <row r="844" customFormat="false" ht="15" hidden="false" customHeight="true" outlineLevel="0" collapsed="false">
      <c r="A844" s="4" t="n">
        <v>843</v>
      </c>
      <c r="B844" s="6" t="s">
        <v>1787</v>
      </c>
      <c r="C844" s="6" t="s">
        <v>3015</v>
      </c>
      <c r="D844" s="6" t="s">
        <v>3016</v>
      </c>
      <c r="E844" s="7" t="s">
        <v>21</v>
      </c>
      <c r="F844" s="5" t="s">
        <v>3280</v>
      </c>
      <c r="G844" s="6" t="s">
        <v>3281</v>
      </c>
      <c r="H844" s="6" t="s">
        <v>3282</v>
      </c>
      <c r="I844" s="6" t="s">
        <v>3283</v>
      </c>
      <c r="J844" s="6" t="s">
        <v>3284</v>
      </c>
      <c r="K844" s="5"/>
      <c r="L844" s="4" t="s">
        <v>44</v>
      </c>
      <c r="M844" s="8" t="s">
        <v>129</v>
      </c>
      <c r="N844" s="9" t="s">
        <v>3022</v>
      </c>
      <c r="O844" s="5"/>
      <c r="P844" s="5"/>
      <c r="Q844" s="6" t="s">
        <v>30</v>
      </c>
      <c r="R844" s="4" t="s">
        <v>31</v>
      </c>
      <c r="S844" s="7" t="s">
        <v>32</v>
      </c>
      <c r="T844" s="5"/>
    </row>
    <row r="845" customFormat="false" ht="15" hidden="false" customHeight="true" outlineLevel="0" collapsed="false">
      <c r="A845" s="4" t="n">
        <v>844</v>
      </c>
      <c r="B845" s="6" t="s">
        <v>1787</v>
      </c>
      <c r="C845" s="6" t="s">
        <v>3015</v>
      </c>
      <c r="D845" s="6" t="s">
        <v>3016</v>
      </c>
      <c r="E845" s="7" t="s">
        <v>21</v>
      </c>
      <c r="F845" s="6" t="s">
        <v>3285</v>
      </c>
      <c r="G845" s="6" t="s">
        <v>3110</v>
      </c>
      <c r="H845" s="6" t="s">
        <v>3286</v>
      </c>
      <c r="I845" s="6" t="s">
        <v>3287</v>
      </c>
      <c r="J845" s="6" t="s">
        <v>3098</v>
      </c>
      <c r="K845" s="5"/>
      <c r="L845" s="4" t="s">
        <v>62</v>
      </c>
      <c r="M845" s="8" t="s">
        <v>129</v>
      </c>
      <c r="N845" s="9" t="s">
        <v>3046</v>
      </c>
      <c r="O845" s="5"/>
      <c r="P845" s="5"/>
      <c r="Q845" s="6" t="s">
        <v>30</v>
      </c>
      <c r="R845" s="4" t="s">
        <v>31</v>
      </c>
      <c r="S845" s="7" t="s">
        <v>32</v>
      </c>
      <c r="T845" s="5"/>
    </row>
    <row r="846" customFormat="false" ht="15" hidden="false" customHeight="true" outlineLevel="0" collapsed="false">
      <c r="A846" s="4" t="n">
        <v>845</v>
      </c>
      <c r="B846" s="6" t="s">
        <v>1787</v>
      </c>
      <c r="C846" s="6" t="s">
        <v>3015</v>
      </c>
      <c r="D846" s="6" t="s">
        <v>3016</v>
      </c>
      <c r="E846" s="7" t="s">
        <v>21</v>
      </c>
      <c r="F846" s="6" t="s">
        <v>3288</v>
      </c>
      <c r="G846" s="5" t="s">
        <v>3289</v>
      </c>
      <c r="H846" s="5" t="s">
        <v>3290</v>
      </c>
      <c r="I846" s="5" t="s">
        <v>3291</v>
      </c>
      <c r="J846" s="5" t="s">
        <v>3292</v>
      </c>
      <c r="K846" s="5"/>
      <c r="L846" s="4" t="s">
        <v>62</v>
      </c>
      <c r="M846" s="8" t="s">
        <v>129</v>
      </c>
      <c r="N846" s="9" t="s">
        <v>3022</v>
      </c>
      <c r="O846" s="5"/>
      <c r="P846" s="5"/>
      <c r="Q846" s="6" t="s">
        <v>30</v>
      </c>
      <c r="R846" s="4" t="s">
        <v>31</v>
      </c>
      <c r="S846" s="7" t="s">
        <v>32</v>
      </c>
      <c r="T846" s="5"/>
    </row>
    <row r="847" customFormat="false" ht="29.25" hidden="false" customHeight="true" outlineLevel="0" collapsed="false">
      <c r="A847" s="4" t="n">
        <v>846</v>
      </c>
      <c r="B847" s="6" t="s">
        <v>1787</v>
      </c>
      <c r="C847" s="6" t="s">
        <v>3015</v>
      </c>
      <c r="D847" s="6" t="s">
        <v>3016</v>
      </c>
      <c r="E847" s="7" t="s">
        <v>21</v>
      </c>
      <c r="F847" s="6" t="s">
        <v>3293</v>
      </c>
      <c r="G847" s="5" t="s">
        <v>3294</v>
      </c>
      <c r="H847" s="5" t="s">
        <v>3295</v>
      </c>
      <c r="I847" s="5" t="s">
        <v>3296</v>
      </c>
      <c r="J847" s="6" t="s">
        <v>302</v>
      </c>
      <c r="K847" s="5"/>
      <c r="L847" s="4" t="s">
        <v>51</v>
      </c>
      <c r="M847" s="8" t="s">
        <v>79</v>
      </c>
      <c r="N847" s="9" t="s">
        <v>3022</v>
      </c>
      <c r="O847" s="5"/>
      <c r="P847" s="5"/>
      <c r="Q847" s="6" t="s">
        <v>30</v>
      </c>
      <c r="R847" s="4" t="s">
        <v>31</v>
      </c>
      <c r="S847" s="7" t="s">
        <v>32</v>
      </c>
      <c r="T847" s="5"/>
    </row>
    <row r="848" customFormat="false" ht="15" hidden="false" customHeight="true" outlineLevel="0" collapsed="false">
      <c r="A848" s="4" t="n">
        <v>847</v>
      </c>
      <c r="B848" s="6" t="s">
        <v>1787</v>
      </c>
      <c r="C848" s="6" t="s">
        <v>3015</v>
      </c>
      <c r="D848" s="6" t="s">
        <v>3016</v>
      </c>
      <c r="E848" s="7" t="s">
        <v>21</v>
      </c>
      <c r="F848" s="6" t="s">
        <v>3297</v>
      </c>
      <c r="G848" s="6" t="s">
        <v>3117</v>
      </c>
      <c r="H848" s="6" t="s">
        <v>3118</v>
      </c>
      <c r="I848" s="6" t="s">
        <v>3119</v>
      </c>
      <c r="J848" s="6" t="s">
        <v>3120</v>
      </c>
      <c r="K848" s="5"/>
      <c r="L848" s="4" t="s">
        <v>27</v>
      </c>
      <c r="M848" s="8" t="s">
        <v>129</v>
      </c>
      <c r="N848" s="9" t="s">
        <v>3022</v>
      </c>
      <c r="O848" s="5"/>
      <c r="P848" s="5"/>
      <c r="Q848" s="6" t="s">
        <v>30</v>
      </c>
      <c r="R848" s="4" t="s">
        <v>31</v>
      </c>
      <c r="S848" s="7" t="s">
        <v>32</v>
      </c>
      <c r="T848" s="5"/>
    </row>
    <row r="849" customFormat="false" ht="15" hidden="false" customHeight="true" outlineLevel="0" collapsed="false">
      <c r="A849" s="4" t="n">
        <v>848</v>
      </c>
      <c r="B849" s="6" t="s">
        <v>1787</v>
      </c>
      <c r="C849" s="6" t="s">
        <v>3015</v>
      </c>
      <c r="D849" s="6" t="s">
        <v>3016</v>
      </c>
      <c r="E849" s="7" t="s">
        <v>21</v>
      </c>
      <c r="F849" s="6" t="s">
        <v>3298</v>
      </c>
      <c r="G849" s="6" t="s">
        <v>3117</v>
      </c>
      <c r="H849" s="6" t="s">
        <v>3118</v>
      </c>
      <c r="I849" s="6" t="s">
        <v>3119</v>
      </c>
      <c r="J849" s="6" t="s">
        <v>3120</v>
      </c>
      <c r="K849" s="5"/>
      <c r="L849" s="4" t="s">
        <v>51</v>
      </c>
      <c r="M849" s="8" t="s">
        <v>129</v>
      </c>
      <c r="N849" s="9" t="s">
        <v>3022</v>
      </c>
      <c r="O849" s="5"/>
      <c r="P849" s="5"/>
      <c r="Q849" s="6" t="s">
        <v>30</v>
      </c>
      <c r="R849" s="4" t="s">
        <v>31</v>
      </c>
      <c r="S849" s="7" t="s">
        <v>32</v>
      </c>
      <c r="T849" s="5"/>
    </row>
    <row r="850" customFormat="false" ht="15" hidden="false" customHeight="true" outlineLevel="0" collapsed="false">
      <c r="A850" s="4" t="n">
        <v>849</v>
      </c>
      <c r="B850" s="6" t="s">
        <v>1787</v>
      </c>
      <c r="C850" s="6" t="s">
        <v>3015</v>
      </c>
      <c r="D850" s="6" t="s">
        <v>3016</v>
      </c>
      <c r="E850" s="7" t="s">
        <v>21</v>
      </c>
      <c r="F850" s="6" t="s">
        <v>3299</v>
      </c>
      <c r="G850" s="5" t="s">
        <v>3029</v>
      </c>
      <c r="H850" s="6" t="s">
        <v>3178</v>
      </c>
      <c r="I850" s="6" t="s">
        <v>3025</v>
      </c>
      <c r="J850" s="6" t="s">
        <v>3186</v>
      </c>
      <c r="K850" s="5"/>
      <c r="L850" s="4" t="s">
        <v>62</v>
      </c>
      <c r="M850" s="8" t="s">
        <v>129</v>
      </c>
      <c r="N850" s="9" t="s">
        <v>3022</v>
      </c>
      <c r="O850" s="5"/>
      <c r="P850" s="5"/>
      <c r="Q850" s="6" t="s">
        <v>30</v>
      </c>
      <c r="R850" s="4" t="s">
        <v>31</v>
      </c>
      <c r="S850" s="7" t="s">
        <v>32</v>
      </c>
      <c r="T850" s="5"/>
    </row>
    <row r="851" customFormat="false" ht="29.25" hidden="false" customHeight="true" outlineLevel="0" collapsed="false">
      <c r="A851" s="4" t="n">
        <v>850</v>
      </c>
      <c r="B851" s="6" t="s">
        <v>1787</v>
      </c>
      <c r="C851" s="6" t="s">
        <v>3015</v>
      </c>
      <c r="D851" s="6" t="s">
        <v>3016</v>
      </c>
      <c r="E851" s="7" t="s">
        <v>21</v>
      </c>
      <c r="F851" s="6" t="s">
        <v>3300</v>
      </c>
      <c r="G851" s="6" t="s">
        <v>3072</v>
      </c>
      <c r="H851" s="5" t="s">
        <v>3115</v>
      </c>
      <c r="I851" s="6" t="s">
        <v>3127</v>
      </c>
      <c r="J851" s="6" t="s">
        <v>3178</v>
      </c>
      <c r="K851" s="5"/>
      <c r="L851" s="4" t="s">
        <v>62</v>
      </c>
      <c r="M851" s="8" t="s">
        <v>79</v>
      </c>
      <c r="N851" s="9" t="s">
        <v>3022</v>
      </c>
      <c r="O851" s="5"/>
      <c r="P851" s="5"/>
      <c r="Q851" s="6" t="s">
        <v>30</v>
      </c>
      <c r="R851" s="4" t="s">
        <v>31</v>
      </c>
      <c r="S851" s="7" t="s">
        <v>32</v>
      </c>
      <c r="T851" s="5"/>
    </row>
    <row r="852" customFormat="false" ht="15" hidden="false" customHeight="true" outlineLevel="0" collapsed="false">
      <c r="A852" s="4" t="n">
        <v>851</v>
      </c>
      <c r="B852" s="6" t="s">
        <v>1787</v>
      </c>
      <c r="C852" s="6" t="s">
        <v>3015</v>
      </c>
      <c r="D852" s="6" t="s">
        <v>3016</v>
      </c>
      <c r="E852" s="7" t="s">
        <v>21</v>
      </c>
      <c r="F852" s="6" t="s">
        <v>3301</v>
      </c>
      <c r="G852" s="6" t="s">
        <v>3302</v>
      </c>
      <c r="H852" s="6" t="s">
        <v>3303</v>
      </c>
      <c r="I852" s="6" t="s">
        <v>3304</v>
      </c>
      <c r="J852" s="6" t="s">
        <v>1251</v>
      </c>
      <c r="K852" s="5"/>
      <c r="L852" s="4" t="s">
        <v>44</v>
      </c>
      <c r="M852" s="8" t="s">
        <v>129</v>
      </c>
      <c r="N852" s="9" t="s">
        <v>3022</v>
      </c>
      <c r="O852" s="5"/>
      <c r="P852" s="5"/>
      <c r="Q852" s="6" t="s">
        <v>30</v>
      </c>
      <c r="R852" s="4" t="s">
        <v>31</v>
      </c>
      <c r="S852" s="7" t="s">
        <v>32</v>
      </c>
      <c r="T852" s="5"/>
    </row>
    <row r="853" customFormat="false" ht="15" hidden="false" customHeight="true" outlineLevel="0" collapsed="false">
      <c r="A853" s="4" t="n">
        <v>852</v>
      </c>
      <c r="B853" s="6" t="s">
        <v>1787</v>
      </c>
      <c r="C853" s="6" t="s">
        <v>3015</v>
      </c>
      <c r="D853" s="6" t="s">
        <v>3016</v>
      </c>
      <c r="E853" s="7" t="s">
        <v>21</v>
      </c>
      <c r="F853" s="6" t="s">
        <v>3305</v>
      </c>
      <c r="G853" s="6" t="s">
        <v>3129</v>
      </c>
      <c r="H853" s="6" t="s">
        <v>3130</v>
      </c>
      <c r="I853" s="6" t="s">
        <v>3131</v>
      </c>
      <c r="J853" s="6" t="s">
        <v>3132</v>
      </c>
      <c r="K853" s="5"/>
      <c r="L853" s="4" t="s">
        <v>27</v>
      </c>
      <c r="M853" s="8" t="s">
        <v>129</v>
      </c>
      <c r="N853" s="9" t="s">
        <v>3022</v>
      </c>
      <c r="O853" s="5"/>
      <c r="P853" s="5"/>
      <c r="Q853" s="6" t="s">
        <v>30</v>
      </c>
      <c r="R853" s="4" t="s">
        <v>31</v>
      </c>
      <c r="S853" s="7" t="s">
        <v>32</v>
      </c>
      <c r="T853" s="5"/>
    </row>
    <row r="854" customFormat="false" ht="15" hidden="false" customHeight="true" outlineLevel="0" collapsed="false">
      <c r="A854" s="4" t="n">
        <v>853</v>
      </c>
      <c r="B854" s="6" t="s">
        <v>1787</v>
      </c>
      <c r="C854" s="6" t="s">
        <v>3015</v>
      </c>
      <c r="D854" s="6" t="s">
        <v>3016</v>
      </c>
      <c r="E854" s="7" t="s">
        <v>21</v>
      </c>
      <c r="F854" s="6" t="s">
        <v>3306</v>
      </c>
      <c r="G854" s="6" t="s">
        <v>3129</v>
      </c>
      <c r="H854" s="6" t="s">
        <v>3130</v>
      </c>
      <c r="I854" s="6" t="s">
        <v>3131</v>
      </c>
      <c r="J854" s="6" t="s">
        <v>3132</v>
      </c>
      <c r="K854" s="5"/>
      <c r="L854" s="4" t="s">
        <v>27</v>
      </c>
      <c r="M854" s="8" t="s">
        <v>129</v>
      </c>
      <c r="N854" s="9" t="s">
        <v>3022</v>
      </c>
      <c r="O854" s="5"/>
      <c r="P854" s="5"/>
      <c r="Q854" s="6" t="s">
        <v>30</v>
      </c>
      <c r="R854" s="4" t="s">
        <v>31</v>
      </c>
      <c r="S854" s="7" t="s">
        <v>32</v>
      </c>
      <c r="T854" s="5"/>
    </row>
    <row r="855" customFormat="false" ht="15" hidden="false" customHeight="true" outlineLevel="0" collapsed="false">
      <c r="A855" s="4" t="n">
        <v>854</v>
      </c>
      <c r="B855" s="6" t="s">
        <v>1787</v>
      </c>
      <c r="C855" s="6" t="s">
        <v>3015</v>
      </c>
      <c r="D855" s="6" t="s">
        <v>3016</v>
      </c>
      <c r="E855" s="7" t="s">
        <v>21</v>
      </c>
      <c r="F855" s="6" t="s">
        <v>3307</v>
      </c>
      <c r="G855" s="6" t="s">
        <v>3135</v>
      </c>
      <c r="H855" s="6" t="s">
        <v>3136</v>
      </c>
      <c r="I855" s="6" t="s">
        <v>3134</v>
      </c>
      <c r="J855" s="6" t="s">
        <v>1251</v>
      </c>
      <c r="K855" s="5"/>
      <c r="L855" s="4" t="s">
        <v>44</v>
      </c>
      <c r="M855" s="8" t="s">
        <v>129</v>
      </c>
      <c r="N855" s="9" t="s">
        <v>3022</v>
      </c>
      <c r="O855" s="5"/>
      <c r="P855" s="5"/>
      <c r="Q855" s="6" t="s">
        <v>30</v>
      </c>
      <c r="R855" s="4" t="s">
        <v>31</v>
      </c>
      <c r="S855" s="7" t="s">
        <v>32</v>
      </c>
      <c r="T855" s="5"/>
    </row>
    <row r="856" customFormat="false" ht="15" hidden="false" customHeight="true" outlineLevel="0" collapsed="false">
      <c r="A856" s="4" t="n">
        <v>855</v>
      </c>
      <c r="B856" s="6" t="s">
        <v>1787</v>
      </c>
      <c r="C856" s="6" t="s">
        <v>3015</v>
      </c>
      <c r="D856" s="6" t="s">
        <v>3016</v>
      </c>
      <c r="E856" s="7" t="s">
        <v>21</v>
      </c>
      <c r="F856" s="6" t="s">
        <v>3308</v>
      </c>
      <c r="G856" s="6" t="s">
        <v>3309</v>
      </c>
      <c r="H856" s="6" t="s">
        <v>3148</v>
      </c>
      <c r="I856" s="6" t="s">
        <v>3310</v>
      </c>
      <c r="J856" s="6" t="s">
        <v>78</v>
      </c>
      <c r="K856" s="5"/>
      <c r="L856" s="4" t="s">
        <v>44</v>
      </c>
      <c r="M856" s="8" t="s">
        <v>129</v>
      </c>
      <c r="N856" s="9" t="s">
        <v>3022</v>
      </c>
      <c r="O856" s="5"/>
      <c r="P856" s="5"/>
      <c r="Q856" s="6" t="s">
        <v>30</v>
      </c>
      <c r="R856" s="4" t="s">
        <v>31</v>
      </c>
      <c r="S856" s="7" t="s">
        <v>32</v>
      </c>
      <c r="T856" s="5"/>
    </row>
    <row r="857" customFormat="false" ht="15" hidden="false" customHeight="true" outlineLevel="0" collapsed="false">
      <c r="A857" s="4" t="n">
        <v>856</v>
      </c>
      <c r="B857" s="6" t="s">
        <v>1787</v>
      </c>
      <c r="C857" s="6" t="s">
        <v>3015</v>
      </c>
      <c r="D857" s="6" t="s">
        <v>3016</v>
      </c>
      <c r="E857" s="7" t="s">
        <v>21</v>
      </c>
      <c r="F857" s="6" t="s">
        <v>3311</v>
      </c>
      <c r="G857" s="6" t="s">
        <v>2627</v>
      </c>
      <c r="H857" s="6" t="s">
        <v>3026</v>
      </c>
      <c r="I857" s="6" t="s">
        <v>2628</v>
      </c>
      <c r="J857" s="6" t="s">
        <v>3127</v>
      </c>
      <c r="K857" s="5"/>
      <c r="L857" s="4" t="s">
        <v>27</v>
      </c>
      <c r="M857" s="8" t="s">
        <v>79</v>
      </c>
      <c r="N857" s="9" t="s">
        <v>3022</v>
      </c>
      <c r="O857" s="5"/>
      <c r="P857" s="5"/>
      <c r="Q857" s="6" t="s">
        <v>30</v>
      </c>
      <c r="R857" s="4" t="s">
        <v>31</v>
      </c>
      <c r="S857" s="7" t="s">
        <v>32</v>
      </c>
      <c r="T857" s="5"/>
    </row>
    <row r="858" customFormat="false" ht="15" hidden="false" customHeight="true" outlineLevel="0" collapsed="false">
      <c r="A858" s="4" t="n">
        <v>857</v>
      </c>
      <c r="B858" s="6" t="s">
        <v>1787</v>
      </c>
      <c r="C858" s="6" t="s">
        <v>3015</v>
      </c>
      <c r="D858" s="6" t="s">
        <v>3016</v>
      </c>
      <c r="E858" s="7" t="s">
        <v>21</v>
      </c>
      <c r="F858" s="6" t="s">
        <v>3312</v>
      </c>
      <c r="G858" s="5" t="s">
        <v>3313</v>
      </c>
      <c r="H858" s="5" t="s">
        <v>3314</v>
      </c>
      <c r="I858" s="5" t="s">
        <v>3315</v>
      </c>
      <c r="J858" s="5" t="s">
        <v>3316</v>
      </c>
      <c r="K858" s="5"/>
      <c r="L858" s="4" t="s">
        <v>27</v>
      </c>
      <c r="M858" s="8" t="s">
        <v>79</v>
      </c>
      <c r="N858" s="9" t="s">
        <v>3022</v>
      </c>
      <c r="O858" s="5"/>
      <c r="P858" s="5"/>
      <c r="Q858" s="6" t="s">
        <v>30</v>
      </c>
      <c r="R858" s="4" t="s">
        <v>31</v>
      </c>
      <c r="S858" s="7" t="s">
        <v>32</v>
      </c>
      <c r="T858" s="5"/>
    </row>
    <row r="859" customFormat="false" ht="15" hidden="false" customHeight="true" outlineLevel="0" collapsed="false">
      <c r="A859" s="4" t="n">
        <v>858</v>
      </c>
      <c r="B859" s="6" t="s">
        <v>1787</v>
      </c>
      <c r="C859" s="6" t="s">
        <v>3015</v>
      </c>
      <c r="D859" s="6" t="s">
        <v>3016</v>
      </c>
      <c r="E859" s="7" t="s">
        <v>21</v>
      </c>
      <c r="F859" s="6" t="s">
        <v>3317</v>
      </c>
      <c r="G859" s="6" t="s">
        <v>2848</v>
      </c>
      <c r="H859" s="6" t="s">
        <v>2849</v>
      </c>
      <c r="I859" s="6" t="s">
        <v>3318</v>
      </c>
      <c r="J859" s="6" t="s">
        <v>3319</v>
      </c>
      <c r="K859" s="5"/>
      <c r="L859" s="4" t="s">
        <v>44</v>
      </c>
      <c r="M859" s="8" t="s">
        <v>129</v>
      </c>
      <c r="N859" s="9" t="s">
        <v>3022</v>
      </c>
      <c r="O859" s="5"/>
      <c r="P859" s="5"/>
      <c r="Q859" s="6" t="s">
        <v>30</v>
      </c>
      <c r="R859" s="4" t="s">
        <v>31</v>
      </c>
      <c r="S859" s="7" t="s">
        <v>32</v>
      </c>
      <c r="T859" s="5"/>
    </row>
    <row r="860" customFormat="false" ht="15" hidden="false" customHeight="true" outlineLevel="0" collapsed="false">
      <c r="A860" s="4" t="n">
        <v>859</v>
      </c>
      <c r="B860" s="6" t="s">
        <v>1787</v>
      </c>
      <c r="C860" s="6" t="s">
        <v>3015</v>
      </c>
      <c r="D860" s="6" t="s">
        <v>3016</v>
      </c>
      <c r="E860" s="7" t="s">
        <v>21</v>
      </c>
      <c r="F860" s="6" t="s">
        <v>3320</v>
      </c>
      <c r="G860" s="6" t="s">
        <v>2629</v>
      </c>
      <c r="H860" s="6" t="s">
        <v>3040</v>
      </c>
      <c r="I860" s="6" t="s">
        <v>3025</v>
      </c>
      <c r="J860" s="6" t="s">
        <v>3027</v>
      </c>
      <c r="K860" s="5"/>
      <c r="L860" s="4" t="s">
        <v>27</v>
      </c>
      <c r="M860" s="8" t="s">
        <v>129</v>
      </c>
      <c r="N860" s="9" t="s">
        <v>3022</v>
      </c>
      <c r="O860" s="5"/>
      <c r="P860" s="5"/>
      <c r="Q860" s="6" t="s">
        <v>30</v>
      </c>
      <c r="R860" s="4" t="s">
        <v>31</v>
      </c>
      <c r="S860" s="7" t="s">
        <v>32</v>
      </c>
      <c r="T860" s="5"/>
    </row>
    <row r="861" customFormat="false" ht="15" hidden="false" customHeight="true" outlineLevel="0" collapsed="false">
      <c r="A861" s="4" t="n">
        <v>860</v>
      </c>
      <c r="B861" s="6" t="s">
        <v>1787</v>
      </c>
      <c r="C861" s="6" t="s">
        <v>3015</v>
      </c>
      <c r="D861" s="6" t="s">
        <v>3016</v>
      </c>
      <c r="E861" s="7" t="s">
        <v>21</v>
      </c>
      <c r="F861" s="6" t="s">
        <v>3321</v>
      </c>
      <c r="G861" s="6" t="s">
        <v>3072</v>
      </c>
      <c r="H861" s="6" t="s">
        <v>3127</v>
      </c>
      <c r="I861" s="6" t="s">
        <v>3039</v>
      </c>
      <c r="J861" s="6" t="s">
        <v>3178</v>
      </c>
      <c r="K861" s="5"/>
      <c r="L861" s="4" t="s">
        <v>44</v>
      </c>
      <c r="M861" s="8" t="s">
        <v>79</v>
      </c>
      <c r="N861" s="9" t="s">
        <v>3022</v>
      </c>
      <c r="O861" s="5"/>
      <c r="P861" s="5"/>
      <c r="Q861" s="6" t="s">
        <v>30</v>
      </c>
      <c r="R861" s="4" t="s">
        <v>31</v>
      </c>
      <c r="S861" s="7" t="s">
        <v>32</v>
      </c>
      <c r="T861" s="5"/>
    </row>
    <row r="862" customFormat="false" ht="15" hidden="false" customHeight="true" outlineLevel="0" collapsed="false">
      <c r="A862" s="4" t="n">
        <v>861</v>
      </c>
      <c r="B862" s="6" t="s">
        <v>1787</v>
      </c>
      <c r="C862" s="6" t="s">
        <v>3015</v>
      </c>
      <c r="D862" s="6" t="s">
        <v>3016</v>
      </c>
      <c r="E862" s="7" t="s">
        <v>21</v>
      </c>
      <c r="F862" s="6" t="s">
        <v>3322</v>
      </c>
      <c r="G862" s="6" t="s">
        <v>3323</v>
      </c>
      <c r="H862" s="6" t="s">
        <v>3324</v>
      </c>
      <c r="I862" s="6" t="s">
        <v>3325</v>
      </c>
      <c r="J862" s="6" t="s">
        <v>3326</v>
      </c>
      <c r="K862" s="5"/>
      <c r="L862" s="4" t="s">
        <v>44</v>
      </c>
      <c r="M862" s="8" t="s">
        <v>129</v>
      </c>
      <c r="N862" s="9" t="s">
        <v>3022</v>
      </c>
      <c r="O862" s="5"/>
      <c r="P862" s="5"/>
      <c r="Q862" s="6" t="s">
        <v>30</v>
      </c>
      <c r="R862" s="4" t="s">
        <v>31</v>
      </c>
      <c r="S862" s="7" t="s">
        <v>32</v>
      </c>
      <c r="T862" s="5"/>
    </row>
    <row r="863" customFormat="false" ht="15" hidden="false" customHeight="true" outlineLevel="0" collapsed="false">
      <c r="A863" s="4" t="n">
        <v>862</v>
      </c>
      <c r="B863" s="6" t="s">
        <v>1787</v>
      </c>
      <c r="C863" s="6" t="s">
        <v>3015</v>
      </c>
      <c r="D863" s="6" t="s">
        <v>3016</v>
      </c>
      <c r="E863" s="7" t="s">
        <v>21</v>
      </c>
      <c r="F863" s="6" t="s">
        <v>3327</v>
      </c>
      <c r="G863" s="6" t="s">
        <v>3328</v>
      </c>
      <c r="H863" s="6" t="s">
        <v>3025</v>
      </c>
      <c r="I863" s="6" t="s">
        <v>3040</v>
      </c>
      <c r="J863" s="6" t="s">
        <v>3329</v>
      </c>
      <c r="K863" s="5"/>
      <c r="L863" s="4" t="s">
        <v>44</v>
      </c>
      <c r="M863" s="8" t="s">
        <v>79</v>
      </c>
      <c r="N863" s="9" t="s">
        <v>3022</v>
      </c>
      <c r="O863" s="5"/>
      <c r="P863" s="5"/>
      <c r="Q863" s="6" t="s">
        <v>30</v>
      </c>
      <c r="R863" s="4" t="s">
        <v>31</v>
      </c>
      <c r="S863" s="7" t="s">
        <v>32</v>
      </c>
      <c r="T863" s="5"/>
    </row>
    <row r="864" customFormat="false" ht="15" hidden="false" customHeight="true" outlineLevel="0" collapsed="false">
      <c r="A864" s="4" t="n">
        <v>863</v>
      </c>
      <c r="B864" s="6" t="s">
        <v>1787</v>
      </c>
      <c r="C864" s="6" t="s">
        <v>3015</v>
      </c>
      <c r="D864" s="6" t="s">
        <v>3016</v>
      </c>
      <c r="E864" s="7" t="s">
        <v>21</v>
      </c>
      <c r="F864" s="6" t="s">
        <v>3330</v>
      </c>
      <c r="G864" s="6" t="s">
        <v>3331</v>
      </c>
      <c r="H864" s="6" t="s">
        <v>3332</v>
      </c>
      <c r="I864" s="6" t="s">
        <v>3333</v>
      </c>
      <c r="J864" s="6" t="s">
        <v>78</v>
      </c>
      <c r="K864" s="5"/>
      <c r="L864" s="4" t="s">
        <v>44</v>
      </c>
      <c r="M864" s="8" t="s">
        <v>79</v>
      </c>
      <c r="N864" s="9" t="s">
        <v>3046</v>
      </c>
      <c r="O864" s="5"/>
      <c r="P864" s="5"/>
      <c r="Q864" s="6" t="s">
        <v>30</v>
      </c>
      <c r="R864" s="4" t="s">
        <v>31</v>
      </c>
      <c r="S864" s="7" t="s">
        <v>32</v>
      </c>
      <c r="T864" s="5"/>
    </row>
    <row r="865" customFormat="false" ht="15" hidden="false" customHeight="true" outlineLevel="0" collapsed="false">
      <c r="A865" s="4" t="n">
        <v>864</v>
      </c>
      <c r="B865" s="6" t="s">
        <v>1787</v>
      </c>
      <c r="C865" s="6" t="s">
        <v>3015</v>
      </c>
      <c r="D865" s="6" t="s">
        <v>3016</v>
      </c>
      <c r="E865" s="7" t="s">
        <v>21</v>
      </c>
      <c r="F865" s="6" t="s">
        <v>3334</v>
      </c>
      <c r="G865" s="6" t="s">
        <v>3027</v>
      </c>
      <c r="H865" s="6" t="s">
        <v>2629</v>
      </c>
      <c r="I865" s="6" t="s">
        <v>3040</v>
      </c>
      <c r="J865" s="6" t="s">
        <v>3187</v>
      </c>
      <c r="K865" s="5"/>
      <c r="L865" s="4" t="s">
        <v>51</v>
      </c>
      <c r="M865" s="8" t="s">
        <v>129</v>
      </c>
      <c r="N865" s="9" t="s">
        <v>3022</v>
      </c>
      <c r="O865" s="5"/>
      <c r="P865" s="5"/>
      <c r="Q865" s="6" t="s">
        <v>30</v>
      </c>
      <c r="R865" s="4" t="s">
        <v>31</v>
      </c>
      <c r="S865" s="7" t="s">
        <v>32</v>
      </c>
      <c r="T865" s="5"/>
    </row>
    <row r="866" customFormat="false" ht="15" hidden="false" customHeight="true" outlineLevel="0" collapsed="false">
      <c r="A866" s="4" t="n">
        <v>865</v>
      </c>
      <c r="B866" s="6" t="s">
        <v>1787</v>
      </c>
      <c r="C866" s="6" t="s">
        <v>3015</v>
      </c>
      <c r="D866" s="6" t="s">
        <v>3016</v>
      </c>
      <c r="E866" s="7" t="s">
        <v>21</v>
      </c>
      <c r="F866" s="6" t="s">
        <v>3335</v>
      </c>
      <c r="G866" s="6" t="s">
        <v>2629</v>
      </c>
      <c r="H866" s="6" t="s">
        <v>3040</v>
      </c>
      <c r="I866" s="6" t="s">
        <v>3187</v>
      </c>
      <c r="J866" s="6" t="s">
        <v>3024</v>
      </c>
      <c r="K866" s="5"/>
      <c r="L866" s="4" t="s">
        <v>44</v>
      </c>
      <c r="M866" s="8" t="s">
        <v>129</v>
      </c>
      <c r="N866" s="9" t="s">
        <v>3022</v>
      </c>
      <c r="O866" s="5"/>
      <c r="P866" s="5"/>
      <c r="Q866" s="6" t="s">
        <v>30</v>
      </c>
      <c r="R866" s="4" t="s">
        <v>31</v>
      </c>
      <c r="S866" s="7" t="s">
        <v>32</v>
      </c>
      <c r="T866" s="5"/>
    </row>
    <row r="867" customFormat="false" ht="15" hidden="false" customHeight="true" outlineLevel="0" collapsed="false">
      <c r="A867" s="4" t="n">
        <v>866</v>
      </c>
      <c r="B867" s="6" t="s">
        <v>1787</v>
      </c>
      <c r="C867" s="6" t="s">
        <v>3015</v>
      </c>
      <c r="D867" s="6" t="s">
        <v>3016</v>
      </c>
      <c r="E867" s="7" t="s">
        <v>21</v>
      </c>
      <c r="F867" s="6" t="s">
        <v>3336</v>
      </c>
      <c r="G867" s="6" t="s">
        <v>3027</v>
      </c>
      <c r="H867" s="6" t="s">
        <v>2629</v>
      </c>
      <c r="I867" s="6" t="s">
        <v>3186</v>
      </c>
      <c r="J867" s="6" t="s">
        <v>2627</v>
      </c>
      <c r="K867" s="5"/>
      <c r="L867" s="4" t="s">
        <v>27</v>
      </c>
      <c r="M867" s="8" t="s">
        <v>129</v>
      </c>
      <c r="N867" s="9" t="s">
        <v>3022</v>
      </c>
      <c r="O867" s="5"/>
      <c r="P867" s="5"/>
      <c r="Q867" s="6" t="s">
        <v>30</v>
      </c>
      <c r="R867" s="4" t="s">
        <v>31</v>
      </c>
      <c r="S867" s="7" t="s">
        <v>32</v>
      </c>
      <c r="T867" s="5"/>
    </row>
    <row r="868" customFormat="false" ht="15" hidden="false" customHeight="true" outlineLevel="0" collapsed="false">
      <c r="A868" s="4" t="n">
        <v>867</v>
      </c>
      <c r="B868" s="6" t="s">
        <v>1787</v>
      </c>
      <c r="C868" s="6" t="s">
        <v>3015</v>
      </c>
      <c r="D868" s="6" t="s">
        <v>3016</v>
      </c>
      <c r="E868" s="7" t="s">
        <v>21</v>
      </c>
      <c r="F868" s="6" t="s">
        <v>3320</v>
      </c>
      <c r="G868" s="6" t="s">
        <v>2629</v>
      </c>
      <c r="H868" s="6" t="s">
        <v>3040</v>
      </c>
      <c r="I868" s="6" t="s">
        <v>3025</v>
      </c>
      <c r="J868" s="6" t="s">
        <v>3337</v>
      </c>
      <c r="K868" s="5"/>
      <c r="L868" s="4" t="s">
        <v>27</v>
      </c>
      <c r="M868" s="8" t="s">
        <v>129</v>
      </c>
      <c r="N868" s="9" t="s">
        <v>3022</v>
      </c>
      <c r="O868" s="5"/>
      <c r="P868" s="5"/>
      <c r="Q868" s="6" t="s">
        <v>30</v>
      </c>
      <c r="R868" s="4" t="s">
        <v>31</v>
      </c>
      <c r="S868" s="7" t="s">
        <v>32</v>
      </c>
      <c r="T868" s="5"/>
    </row>
    <row r="869" customFormat="false" ht="15" hidden="false" customHeight="true" outlineLevel="0" collapsed="false">
      <c r="A869" s="4" t="n">
        <v>868</v>
      </c>
      <c r="B869" s="6" t="s">
        <v>1787</v>
      </c>
      <c r="C869" s="6" t="s">
        <v>3015</v>
      </c>
      <c r="D869" s="6" t="s">
        <v>3016</v>
      </c>
      <c r="E869" s="7" t="s">
        <v>21</v>
      </c>
      <c r="F869" s="6" t="s">
        <v>3338</v>
      </c>
      <c r="G869" s="6" t="s">
        <v>3040</v>
      </c>
      <c r="H869" s="6" t="s">
        <v>3024</v>
      </c>
      <c r="I869" s="6" t="s">
        <v>3039</v>
      </c>
      <c r="J869" s="6" t="s">
        <v>3027</v>
      </c>
      <c r="K869" s="5"/>
      <c r="L869" s="4" t="s">
        <v>27</v>
      </c>
      <c r="M869" s="8" t="s">
        <v>129</v>
      </c>
      <c r="N869" s="9" t="s">
        <v>3022</v>
      </c>
      <c r="O869" s="5"/>
      <c r="P869" s="5"/>
      <c r="Q869" s="6" t="s">
        <v>30</v>
      </c>
      <c r="R869" s="4" t="s">
        <v>31</v>
      </c>
      <c r="S869" s="7" t="s">
        <v>32</v>
      </c>
      <c r="T869" s="5"/>
    </row>
    <row r="870" customFormat="false" ht="15" hidden="false" customHeight="true" outlineLevel="0" collapsed="false">
      <c r="A870" s="4" t="n">
        <v>869</v>
      </c>
      <c r="B870" s="6" t="s">
        <v>1787</v>
      </c>
      <c r="C870" s="6" t="s">
        <v>3015</v>
      </c>
      <c r="D870" s="6" t="s">
        <v>3016</v>
      </c>
      <c r="E870" s="7" t="s">
        <v>21</v>
      </c>
      <c r="F870" s="6" t="s">
        <v>3339</v>
      </c>
      <c r="G870" s="6" t="s">
        <v>3072</v>
      </c>
      <c r="H870" s="6" t="s">
        <v>3026</v>
      </c>
      <c r="I870" s="6" t="s">
        <v>3039</v>
      </c>
      <c r="J870" s="6" t="s">
        <v>3040</v>
      </c>
      <c r="K870" s="5"/>
      <c r="L870" s="4" t="s">
        <v>44</v>
      </c>
      <c r="M870" s="8" t="s">
        <v>79</v>
      </c>
      <c r="N870" s="9" t="s">
        <v>3022</v>
      </c>
      <c r="O870" s="5"/>
      <c r="P870" s="5"/>
      <c r="Q870" s="6" t="s">
        <v>30</v>
      </c>
      <c r="R870" s="4" t="s">
        <v>31</v>
      </c>
      <c r="S870" s="7" t="s">
        <v>32</v>
      </c>
      <c r="T870" s="5"/>
    </row>
    <row r="871" customFormat="false" ht="29.25" hidden="false" customHeight="true" outlineLevel="0" collapsed="false">
      <c r="A871" s="4" t="n">
        <v>870</v>
      </c>
      <c r="B871" s="6" t="s">
        <v>1787</v>
      </c>
      <c r="C871" s="6" t="s">
        <v>3015</v>
      </c>
      <c r="D871" s="6" t="s">
        <v>3016</v>
      </c>
      <c r="E871" s="7" t="s">
        <v>21</v>
      </c>
      <c r="F871" s="6" t="s">
        <v>3340</v>
      </c>
      <c r="G871" s="6" t="s">
        <v>2628</v>
      </c>
      <c r="H871" s="6" t="s">
        <v>3026</v>
      </c>
      <c r="I871" s="6" t="s">
        <v>3341</v>
      </c>
      <c r="J871" s="6" t="s">
        <v>3039</v>
      </c>
      <c r="K871" s="5"/>
      <c r="L871" s="4" t="s">
        <v>62</v>
      </c>
      <c r="M871" s="8" t="s">
        <v>79</v>
      </c>
      <c r="N871" s="9" t="s">
        <v>3022</v>
      </c>
      <c r="O871" s="5"/>
      <c r="P871" s="5"/>
      <c r="Q871" s="6" t="s">
        <v>30</v>
      </c>
      <c r="R871" s="4" t="s">
        <v>31</v>
      </c>
      <c r="S871" s="7" t="s">
        <v>32</v>
      </c>
      <c r="T871" s="5"/>
    </row>
    <row r="872" customFormat="false" ht="29.25" hidden="false" customHeight="true" outlineLevel="0" collapsed="false">
      <c r="A872" s="4" t="n">
        <v>871</v>
      </c>
      <c r="B872" s="6" t="s">
        <v>1787</v>
      </c>
      <c r="C872" s="6" t="s">
        <v>3015</v>
      </c>
      <c r="D872" s="6" t="s">
        <v>3016</v>
      </c>
      <c r="E872" s="7" t="s">
        <v>21</v>
      </c>
      <c r="F872" s="6" t="s">
        <v>3342</v>
      </c>
      <c r="G872" s="6" t="s">
        <v>2626</v>
      </c>
      <c r="H872" s="6" t="s">
        <v>3025</v>
      </c>
      <c r="I872" s="6" t="s">
        <v>3072</v>
      </c>
      <c r="J872" s="6" t="s">
        <v>3040</v>
      </c>
      <c r="K872" s="5"/>
      <c r="L872" s="4" t="s">
        <v>27</v>
      </c>
      <c r="M872" s="8" t="s">
        <v>79</v>
      </c>
      <c r="N872" s="9" t="s">
        <v>3022</v>
      </c>
      <c r="O872" s="5"/>
      <c r="P872" s="5"/>
      <c r="Q872" s="6" t="s">
        <v>30</v>
      </c>
      <c r="R872" s="4" t="s">
        <v>31</v>
      </c>
      <c r="S872" s="7" t="s">
        <v>32</v>
      </c>
      <c r="T872" s="5"/>
    </row>
    <row r="873" customFormat="false" ht="15" hidden="false" customHeight="true" outlineLevel="0" collapsed="false">
      <c r="A873" s="4" t="n">
        <v>872</v>
      </c>
      <c r="B873" s="6" t="s">
        <v>1787</v>
      </c>
      <c r="C873" s="6" t="s">
        <v>3015</v>
      </c>
      <c r="D873" s="6" t="s">
        <v>3016</v>
      </c>
      <c r="E873" s="7" t="s">
        <v>21</v>
      </c>
      <c r="F873" s="6" t="s">
        <v>3343</v>
      </c>
      <c r="G873" s="6" t="s">
        <v>3344</v>
      </c>
      <c r="H873" s="6" t="s">
        <v>3345</v>
      </c>
      <c r="I873" s="6" t="s">
        <v>3346</v>
      </c>
      <c r="J873" s="6" t="s">
        <v>78</v>
      </c>
      <c r="K873" s="5"/>
      <c r="L873" s="4" t="s">
        <v>44</v>
      </c>
      <c r="M873" s="8" t="s">
        <v>79</v>
      </c>
      <c r="N873" s="9" t="s">
        <v>3022</v>
      </c>
      <c r="O873" s="5"/>
      <c r="P873" s="5"/>
      <c r="Q873" s="6" t="s">
        <v>30</v>
      </c>
      <c r="R873" s="4" t="s">
        <v>31</v>
      </c>
      <c r="S873" s="7" t="s">
        <v>32</v>
      </c>
      <c r="T873" s="5"/>
    </row>
    <row r="874" customFormat="false" ht="15" hidden="false" customHeight="true" outlineLevel="0" collapsed="false">
      <c r="A874" s="4" t="n">
        <v>873</v>
      </c>
      <c r="B874" s="6" t="s">
        <v>1787</v>
      </c>
      <c r="C874" s="6" t="s">
        <v>3015</v>
      </c>
      <c r="D874" s="6" t="s">
        <v>3016</v>
      </c>
      <c r="E874" s="7" t="s">
        <v>21</v>
      </c>
      <c r="F874" s="6" t="s">
        <v>3347</v>
      </c>
      <c r="G874" s="6" t="s">
        <v>3072</v>
      </c>
      <c r="H874" s="6" t="s">
        <v>3127</v>
      </c>
      <c r="I874" s="6" t="s">
        <v>3039</v>
      </c>
      <c r="J874" s="6" t="s">
        <v>3341</v>
      </c>
      <c r="K874" s="5"/>
      <c r="L874" s="4" t="s">
        <v>44</v>
      </c>
      <c r="M874" s="8" t="s">
        <v>129</v>
      </c>
      <c r="N874" s="9" t="s">
        <v>3022</v>
      </c>
      <c r="O874" s="5"/>
      <c r="P874" s="5"/>
      <c r="Q874" s="6" t="s">
        <v>30</v>
      </c>
      <c r="R874" s="4" t="s">
        <v>31</v>
      </c>
      <c r="S874" s="7" t="s">
        <v>32</v>
      </c>
      <c r="T874" s="5"/>
    </row>
    <row r="875" customFormat="false" ht="15" hidden="false" customHeight="true" outlineLevel="0" collapsed="false">
      <c r="A875" s="4" t="n">
        <v>874</v>
      </c>
      <c r="B875" s="6" t="s">
        <v>1787</v>
      </c>
      <c r="C875" s="6" t="s">
        <v>3015</v>
      </c>
      <c r="D875" s="6" t="s">
        <v>3016</v>
      </c>
      <c r="E875" s="7" t="s">
        <v>21</v>
      </c>
      <c r="F875" s="6" t="s">
        <v>3348</v>
      </c>
      <c r="G875" s="6" t="s">
        <v>3349</v>
      </c>
      <c r="H875" s="6" t="s">
        <v>3350</v>
      </c>
      <c r="I875" s="6" t="s">
        <v>3351</v>
      </c>
      <c r="J875" s="6" t="s">
        <v>3021</v>
      </c>
      <c r="K875" s="5"/>
      <c r="L875" s="4" t="s">
        <v>27</v>
      </c>
      <c r="M875" s="8" t="s">
        <v>129</v>
      </c>
      <c r="N875" s="9" t="s">
        <v>3022</v>
      </c>
      <c r="O875" s="5"/>
      <c r="P875" s="5"/>
      <c r="Q875" s="6" t="s">
        <v>30</v>
      </c>
      <c r="R875" s="4" t="s">
        <v>31</v>
      </c>
      <c r="S875" s="7" t="s">
        <v>32</v>
      </c>
      <c r="T875" s="5"/>
    </row>
    <row r="876" customFormat="false" ht="15" hidden="false" customHeight="true" outlineLevel="0" collapsed="false">
      <c r="A876" s="4" t="n">
        <v>875</v>
      </c>
      <c r="B876" s="6" t="s">
        <v>1787</v>
      </c>
      <c r="C876" s="6" t="s">
        <v>3015</v>
      </c>
      <c r="D876" s="6" t="s">
        <v>3016</v>
      </c>
      <c r="E876" s="7" t="s">
        <v>21</v>
      </c>
      <c r="F876" s="6" t="s">
        <v>3352</v>
      </c>
      <c r="G876" s="6" t="s">
        <v>3040</v>
      </c>
      <c r="H876" s="6" t="s">
        <v>2628</v>
      </c>
      <c r="I876" s="6" t="s">
        <v>3187</v>
      </c>
      <c r="J876" s="6" t="s">
        <v>2629</v>
      </c>
      <c r="K876" s="5"/>
      <c r="L876" s="4" t="s">
        <v>62</v>
      </c>
      <c r="M876" s="8" t="s">
        <v>129</v>
      </c>
      <c r="N876" s="9" t="s">
        <v>3022</v>
      </c>
      <c r="O876" s="5"/>
      <c r="P876" s="5"/>
      <c r="Q876" s="6" t="s">
        <v>30</v>
      </c>
      <c r="R876" s="4" t="s">
        <v>31</v>
      </c>
      <c r="S876" s="7" t="s">
        <v>32</v>
      </c>
      <c r="T876" s="5"/>
    </row>
    <row r="877" customFormat="false" ht="15" hidden="false" customHeight="true" outlineLevel="0" collapsed="false">
      <c r="A877" s="4" t="n">
        <v>876</v>
      </c>
      <c r="B877" s="6" t="s">
        <v>1787</v>
      </c>
      <c r="C877" s="6" t="s">
        <v>3015</v>
      </c>
      <c r="D877" s="6" t="s">
        <v>3016</v>
      </c>
      <c r="E877" s="7" t="s">
        <v>21</v>
      </c>
      <c r="F877" s="6" t="s">
        <v>3353</v>
      </c>
      <c r="G877" s="6" t="s">
        <v>3025</v>
      </c>
      <c r="H877" s="6" t="s">
        <v>2627</v>
      </c>
      <c r="I877" s="6" t="s">
        <v>3354</v>
      </c>
      <c r="J877" s="6" t="s">
        <v>3040</v>
      </c>
      <c r="K877" s="5"/>
      <c r="L877" s="4" t="s">
        <v>51</v>
      </c>
      <c r="M877" s="8" t="s">
        <v>129</v>
      </c>
      <c r="N877" s="9" t="s">
        <v>3022</v>
      </c>
      <c r="O877" s="5"/>
      <c r="P877" s="5"/>
      <c r="Q877" s="6" t="s">
        <v>30</v>
      </c>
      <c r="R877" s="4" t="s">
        <v>31</v>
      </c>
      <c r="S877" s="7" t="s">
        <v>32</v>
      </c>
      <c r="T877" s="5"/>
    </row>
    <row r="878" customFormat="false" ht="29.25" hidden="false" customHeight="true" outlineLevel="0" collapsed="false">
      <c r="A878" s="4" t="n">
        <v>877</v>
      </c>
      <c r="B878" s="6" t="s">
        <v>1787</v>
      </c>
      <c r="C878" s="6" t="s">
        <v>3015</v>
      </c>
      <c r="D878" s="6" t="s">
        <v>3016</v>
      </c>
      <c r="E878" s="7" t="s">
        <v>21</v>
      </c>
      <c r="F878" s="6" t="s">
        <v>3355</v>
      </c>
      <c r="G878" s="6" t="s">
        <v>3356</v>
      </c>
      <c r="H878" s="5" t="s">
        <v>3096</v>
      </c>
      <c r="I878" s="6" t="s">
        <v>3357</v>
      </c>
      <c r="J878" s="6" t="s">
        <v>3358</v>
      </c>
      <c r="K878" s="5"/>
      <c r="L878" s="4" t="s">
        <v>62</v>
      </c>
      <c r="M878" s="8" t="s">
        <v>129</v>
      </c>
      <c r="N878" s="9" t="s">
        <v>3046</v>
      </c>
      <c r="O878" s="5"/>
      <c r="P878" s="5"/>
      <c r="Q878" s="6" t="s">
        <v>30</v>
      </c>
      <c r="R878" s="4" t="s">
        <v>31</v>
      </c>
      <c r="S878" s="7" t="s">
        <v>32</v>
      </c>
      <c r="T878" s="5"/>
    </row>
    <row r="879" customFormat="false" ht="15" hidden="false" customHeight="true" outlineLevel="0" collapsed="false">
      <c r="A879" s="4" t="n">
        <v>878</v>
      </c>
      <c r="B879" s="6" t="s">
        <v>1787</v>
      </c>
      <c r="C879" s="6" t="s">
        <v>3015</v>
      </c>
      <c r="D879" s="6" t="s">
        <v>3016</v>
      </c>
      <c r="E879" s="7" t="s">
        <v>21</v>
      </c>
      <c r="F879" s="6" t="s">
        <v>3359</v>
      </c>
      <c r="G879" s="6" t="s">
        <v>3134</v>
      </c>
      <c r="H879" s="6" t="s">
        <v>3360</v>
      </c>
      <c r="I879" s="6" t="s">
        <v>3361</v>
      </c>
      <c r="J879" s="6" t="s">
        <v>3362</v>
      </c>
      <c r="K879" s="5"/>
      <c r="L879" s="4" t="s">
        <v>27</v>
      </c>
      <c r="M879" s="8" t="s">
        <v>129</v>
      </c>
      <c r="N879" s="9" t="s">
        <v>3046</v>
      </c>
      <c r="O879" s="5"/>
      <c r="P879" s="5"/>
      <c r="Q879" s="6" t="s">
        <v>30</v>
      </c>
      <c r="R879" s="4" t="s">
        <v>31</v>
      </c>
      <c r="S879" s="7" t="s">
        <v>32</v>
      </c>
      <c r="T879" s="5"/>
    </row>
    <row r="880" customFormat="false" ht="15" hidden="false" customHeight="true" outlineLevel="0" collapsed="false">
      <c r="A880" s="4" t="n">
        <v>879</v>
      </c>
      <c r="B880" s="6" t="s">
        <v>1787</v>
      </c>
      <c r="C880" s="6" t="s">
        <v>3015</v>
      </c>
      <c r="D880" s="6" t="s">
        <v>3016</v>
      </c>
      <c r="E880" s="7" t="s">
        <v>21</v>
      </c>
      <c r="F880" s="6" t="s">
        <v>3363</v>
      </c>
      <c r="G880" s="6" t="s">
        <v>2627</v>
      </c>
      <c r="H880" s="6" t="s">
        <v>2628</v>
      </c>
      <c r="I880" s="6" t="s">
        <v>3364</v>
      </c>
      <c r="J880" s="6" t="s">
        <v>3365</v>
      </c>
      <c r="K880" s="5"/>
      <c r="L880" s="4" t="s">
        <v>51</v>
      </c>
      <c r="M880" s="8" t="s">
        <v>129</v>
      </c>
      <c r="N880" s="9" t="s">
        <v>3046</v>
      </c>
      <c r="O880" s="5"/>
      <c r="P880" s="5"/>
      <c r="Q880" s="6" t="s">
        <v>30</v>
      </c>
      <c r="R880" s="4" t="s">
        <v>31</v>
      </c>
      <c r="S880" s="7" t="s">
        <v>32</v>
      </c>
      <c r="T880" s="5"/>
    </row>
    <row r="881" customFormat="false" ht="29.25" hidden="false" customHeight="true" outlineLevel="0" collapsed="false">
      <c r="A881" s="4" t="n">
        <v>880</v>
      </c>
      <c r="B881" s="6" t="s">
        <v>1787</v>
      </c>
      <c r="C881" s="6" t="s">
        <v>3015</v>
      </c>
      <c r="D881" s="6" t="s">
        <v>3016</v>
      </c>
      <c r="E881" s="7" t="s">
        <v>21</v>
      </c>
      <c r="F881" s="6" t="s">
        <v>3366</v>
      </c>
      <c r="G881" s="6" t="s">
        <v>3281</v>
      </c>
      <c r="H881" s="6" t="s">
        <v>3367</v>
      </c>
      <c r="I881" s="6" t="s">
        <v>3283</v>
      </c>
      <c r="J881" s="6" t="s">
        <v>3284</v>
      </c>
      <c r="K881" s="5"/>
      <c r="L881" s="4" t="s">
        <v>62</v>
      </c>
      <c r="M881" s="8" t="s">
        <v>28</v>
      </c>
      <c r="N881" s="9" t="s">
        <v>3022</v>
      </c>
      <c r="O881" s="5"/>
      <c r="P881" s="5"/>
      <c r="Q881" s="6" t="s">
        <v>30</v>
      </c>
      <c r="R881" s="4" t="s">
        <v>31</v>
      </c>
      <c r="S881" s="7" t="s">
        <v>32</v>
      </c>
      <c r="T881" s="5"/>
    </row>
    <row r="882" customFormat="false" ht="15" hidden="false" customHeight="true" outlineLevel="0" collapsed="false">
      <c r="A882" s="4" t="n">
        <v>881</v>
      </c>
      <c r="B882" s="6" t="s">
        <v>1787</v>
      </c>
      <c r="C882" s="6" t="s">
        <v>3015</v>
      </c>
      <c r="D882" s="6" t="s">
        <v>3016</v>
      </c>
      <c r="E882" s="7" t="s">
        <v>21</v>
      </c>
      <c r="F882" s="6" t="s">
        <v>3368</v>
      </c>
      <c r="G882" s="6" t="s">
        <v>3039</v>
      </c>
      <c r="H882" s="6" t="s">
        <v>3026</v>
      </c>
      <c r="I882" s="6" t="s">
        <v>3040</v>
      </c>
      <c r="J882" s="6" t="s">
        <v>2628</v>
      </c>
      <c r="K882" s="5"/>
      <c r="L882" s="4" t="s">
        <v>44</v>
      </c>
      <c r="M882" s="8" t="s">
        <v>129</v>
      </c>
      <c r="N882" s="9" t="s">
        <v>3022</v>
      </c>
      <c r="O882" s="5"/>
      <c r="P882" s="5"/>
      <c r="Q882" s="6" t="s">
        <v>30</v>
      </c>
      <c r="R882" s="4" t="s">
        <v>31</v>
      </c>
      <c r="S882" s="7" t="s">
        <v>32</v>
      </c>
      <c r="T882" s="5"/>
    </row>
    <row r="883" customFormat="false" ht="29.25" hidden="false" customHeight="true" outlineLevel="0" collapsed="false">
      <c r="A883" s="4" t="n">
        <v>882</v>
      </c>
      <c r="B883" s="6" t="s">
        <v>1787</v>
      </c>
      <c r="C883" s="6" t="s">
        <v>3015</v>
      </c>
      <c r="D883" s="6" t="s">
        <v>3016</v>
      </c>
      <c r="E883" s="7" t="s">
        <v>21</v>
      </c>
      <c r="F883" s="6" t="s">
        <v>3369</v>
      </c>
      <c r="G883" s="6" t="s">
        <v>3370</v>
      </c>
      <c r="H883" s="6" t="s">
        <v>3371</v>
      </c>
      <c r="I883" s="6" t="s">
        <v>3372</v>
      </c>
      <c r="J883" s="6" t="s">
        <v>3373</v>
      </c>
      <c r="K883" s="5"/>
      <c r="L883" s="4" t="s">
        <v>27</v>
      </c>
      <c r="M883" s="8" t="s">
        <v>79</v>
      </c>
      <c r="N883" s="9" t="s">
        <v>3046</v>
      </c>
      <c r="O883" s="5"/>
      <c r="P883" s="5"/>
      <c r="Q883" s="6" t="s">
        <v>30</v>
      </c>
      <c r="R883" s="4" t="s">
        <v>31</v>
      </c>
      <c r="S883" s="7" t="s">
        <v>32</v>
      </c>
      <c r="T883" s="5"/>
    </row>
    <row r="884" customFormat="false" ht="29.25" hidden="false" customHeight="true" outlineLevel="0" collapsed="false">
      <c r="A884" s="4" t="n">
        <v>883</v>
      </c>
      <c r="B884" s="6" t="s">
        <v>1787</v>
      </c>
      <c r="C884" s="6" t="s">
        <v>3015</v>
      </c>
      <c r="D884" s="6" t="s">
        <v>3016</v>
      </c>
      <c r="E884" s="7" t="s">
        <v>21</v>
      </c>
      <c r="F884" s="6" t="s">
        <v>3374</v>
      </c>
      <c r="G884" s="6" t="s">
        <v>3375</v>
      </c>
      <c r="H884" s="6" t="s">
        <v>3376</v>
      </c>
      <c r="I884" s="6" t="s">
        <v>3377</v>
      </c>
      <c r="J884" s="6" t="s">
        <v>3378</v>
      </c>
      <c r="K884" s="5"/>
      <c r="L884" s="4" t="s">
        <v>27</v>
      </c>
      <c r="M884" s="8" t="s">
        <v>79</v>
      </c>
      <c r="N884" s="9" t="s">
        <v>3379</v>
      </c>
      <c r="O884" s="5"/>
      <c r="P884" s="5"/>
      <c r="Q884" s="6" t="s">
        <v>30</v>
      </c>
      <c r="R884" s="4" t="s">
        <v>31</v>
      </c>
      <c r="S884" s="7" t="s">
        <v>32</v>
      </c>
      <c r="T884" s="5"/>
    </row>
    <row r="885" customFormat="false" ht="15" hidden="false" customHeight="true" outlineLevel="0" collapsed="false">
      <c r="A885" s="4" t="n">
        <v>884</v>
      </c>
      <c r="B885" s="6" t="s">
        <v>1787</v>
      </c>
      <c r="C885" s="6" t="s">
        <v>3015</v>
      </c>
      <c r="D885" s="6" t="s">
        <v>3016</v>
      </c>
      <c r="E885" s="7" t="s">
        <v>21</v>
      </c>
      <c r="F885" s="6" t="s">
        <v>3380</v>
      </c>
      <c r="G885" s="6" t="s">
        <v>3072</v>
      </c>
      <c r="H885" s="6" t="s">
        <v>3127</v>
      </c>
      <c r="I885" s="6" t="s">
        <v>3039</v>
      </c>
      <c r="J885" s="6" t="s">
        <v>3178</v>
      </c>
      <c r="K885" s="5"/>
      <c r="L885" s="4" t="s">
        <v>44</v>
      </c>
      <c r="M885" s="8" t="s">
        <v>79</v>
      </c>
      <c r="N885" s="9" t="s">
        <v>3022</v>
      </c>
      <c r="O885" s="5"/>
      <c r="P885" s="5"/>
      <c r="Q885" s="6" t="s">
        <v>30</v>
      </c>
      <c r="R885" s="4" t="s">
        <v>31</v>
      </c>
      <c r="S885" s="7" t="s">
        <v>32</v>
      </c>
      <c r="T885" s="5"/>
    </row>
    <row r="886" customFormat="false" ht="29.25" hidden="false" customHeight="true" outlineLevel="0" collapsed="false">
      <c r="A886" s="4" t="n">
        <v>885</v>
      </c>
      <c r="B886" s="6" t="s">
        <v>1787</v>
      </c>
      <c r="C886" s="6" t="s">
        <v>3015</v>
      </c>
      <c r="D886" s="6" t="s">
        <v>3016</v>
      </c>
      <c r="E886" s="7" t="s">
        <v>21</v>
      </c>
      <c r="F886" s="6" t="s">
        <v>3381</v>
      </c>
      <c r="G886" s="6" t="s">
        <v>3382</v>
      </c>
      <c r="H886" s="6" t="s">
        <v>3383</v>
      </c>
      <c r="I886" s="6" t="s">
        <v>3384</v>
      </c>
      <c r="J886" s="6" t="s">
        <v>3385</v>
      </c>
      <c r="K886" s="5"/>
      <c r="L886" s="4" t="s">
        <v>62</v>
      </c>
      <c r="M886" s="8" t="s">
        <v>129</v>
      </c>
      <c r="N886" s="9" t="s">
        <v>3022</v>
      </c>
      <c r="O886" s="5"/>
      <c r="P886" s="5"/>
      <c r="Q886" s="6" t="s">
        <v>30</v>
      </c>
      <c r="R886" s="4" t="s">
        <v>31</v>
      </c>
      <c r="S886" s="7" t="s">
        <v>32</v>
      </c>
      <c r="T886" s="5"/>
    </row>
    <row r="887" customFormat="false" ht="15" hidden="false" customHeight="true" outlineLevel="0" collapsed="false">
      <c r="A887" s="4" t="n">
        <v>886</v>
      </c>
      <c r="B887" s="6" t="s">
        <v>1787</v>
      </c>
      <c r="C887" s="6" t="s">
        <v>3015</v>
      </c>
      <c r="D887" s="6" t="s">
        <v>3016</v>
      </c>
      <c r="E887" s="7" t="s">
        <v>21</v>
      </c>
      <c r="F887" s="6" t="s">
        <v>3386</v>
      </c>
      <c r="G887" s="6" t="s">
        <v>3387</v>
      </c>
      <c r="H887" s="6" t="s">
        <v>3040</v>
      </c>
      <c r="I887" s="6" t="s">
        <v>3072</v>
      </c>
      <c r="J887" s="6" t="s">
        <v>3039</v>
      </c>
      <c r="K887" s="5"/>
      <c r="L887" s="4" t="s">
        <v>51</v>
      </c>
      <c r="M887" s="8" t="s">
        <v>129</v>
      </c>
      <c r="N887" s="9" t="s">
        <v>3022</v>
      </c>
      <c r="O887" s="5"/>
      <c r="P887" s="5"/>
      <c r="Q887" s="6" t="s">
        <v>30</v>
      </c>
      <c r="R887" s="4" t="s">
        <v>31</v>
      </c>
      <c r="S887" s="7" t="s">
        <v>32</v>
      </c>
      <c r="T887" s="5"/>
    </row>
    <row r="888" customFormat="false" ht="15" hidden="false" customHeight="true" outlineLevel="0" collapsed="false">
      <c r="A888" s="4" t="n">
        <v>887</v>
      </c>
      <c r="B888" s="6" t="s">
        <v>1787</v>
      </c>
      <c r="C888" s="6" t="s">
        <v>3015</v>
      </c>
      <c r="D888" s="6" t="s">
        <v>3016</v>
      </c>
      <c r="E888" s="7" t="s">
        <v>21</v>
      </c>
      <c r="F888" s="6" t="s">
        <v>3388</v>
      </c>
      <c r="G888" s="6" t="s">
        <v>3389</v>
      </c>
      <c r="H888" s="6" t="s">
        <v>3390</v>
      </c>
      <c r="I888" s="6" t="s">
        <v>3391</v>
      </c>
      <c r="J888" s="6" t="s">
        <v>3392</v>
      </c>
      <c r="K888" s="5"/>
      <c r="L888" s="4" t="s">
        <v>27</v>
      </c>
      <c r="M888" s="8" t="s">
        <v>129</v>
      </c>
      <c r="N888" s="9" t="s">
        <v>3022</v>
      </c>
      <c r="O888" s="5"/>
      <c r="P888" s="5"/>
      <c r="Q888" s="6" t="s">
        <v>30</v>
      </c>
      <c r="R888" s="4" t="s">
        <v>31</v>
      </c>
      <c r="S888" s="7" t="s">
        <v>32</v>
      </c>
      <c r="T888" s="5"/>
    </row>
    <row r="889" customFormat="false" ht="15" hidden="false" customHeight="true" outlineLevel="0" collapsed="false">
      <c r="A889" s="4" t="n">
        <v>888</v>
      </c>
      <c r="B889" s="6" t="s">
        <v>1787</v>
      </c>
      <c r="C889" s="6" t="s">
        <v>3015</v>
      </c>
      <c r="D889" s="6" t="s">
        <v>3016</v>
      </c>
      <c r="E889" s="7" t="s">
        <v>21</v>
      </c>
      <c r="F889" s="6" t="s">
        <v>3393</v>
      </c>
      <c r="G889" s="5" t="s">
        <v>3394</v>
      </c>
      <c r="H889" s="5" t="s">
        <v>3395</v>
      </c>
      <c r="I889" s="5" t="s">
        <v>3396</v>
      </c>
      <c r="J889" s="5" t="s">
        <v>3397</v>
      </c>
      <c r="K889" s="5"/>
      <c r="L889" s="4" t="s">
        <v>44</v>
      </c>
      <c r="M889" s="8" t="s">
        <v>129</v>
      </c>
      <c r="N889" s="9" t="s">
        <v>3022</v>
      </c>
      <c r="O889" s="5"/>
      <c r="P889" s="5"/>
      <c r="Q889" s="6" t="s">
        <v>30</v>
      </c>
      <c r="R889" s="4" t="s">
        <v>31</v>
      </c>
      <c r="S889" s="7" t="s">
        <v>32</v>
      </c>
      <c r="T889" s="5"/>
    </row>
    <row r="890" customFormat="false" ht="15" hidden="false" customHeight="true" outlineLevel="0" collapsed="false">
      <c r="A890" s="4" t="n">
        <v>889</v>
      </c>
      <c r="B890" s="6" t="s">
        <v>1787</v>
      </c>
      <c r="C890" s="6" t="s">
        <v>3015</v>
      </c>
      <c r="D890" s="6" t="s">
        <v>3016</v>
      </c>
      <c r="E890" s="7" t="s">
        <v>21</v>
      </c>
      <c r="F890" s="6" t="s">
        <v>3398</v>
      </c>
      <c r="G890" s="6" t="s">
        <v>3365</v>
      </c>
      <c r="H890" s="6" t="s">
        <v>3027</v>
      </c>
      <c r="I890" s="6" t="s">
        <v>3038</v>
      </c>
      <c r="J890" s="6" t="s">
        <v>3040</v>
      </c>
      <c r="K890" s="5"/>
      <c r="L890" s="4" t="s">
        <v>62</v>
      </c>
      <c r="M890" s="8" t="s">
        <v>129</v>
      </c>
      <c r="N890" s="9" t="s">
        <v>3022</v>
      </c>
      <c r="O890" s="5"/>
      <c r="P890" s="5"/>
      <c r="Q890" s="6" t="s">
        <v>30</v>
      </c>
      <c r="R890" s="4" t="s">
        <v>31</v>
      </c>
      <c r="S890" s="7" t="s">
        <v>32</v>
      </c>
      <c r="T890" s="5"/>
    </row>
    <row r="891" customFormat="false" ht="15" hidden="false" customHeight="true" outlineLevel="0" collapsed="false">
      <c r="A891" s="4" t="n">
        <v>890</v>
      </c>
      <c r="B891" s="6" t="s">
        <v>1787</v>
      </c>
      <c r="C891" s="6" t="s">
        <v>3015</v>
      </c>
      <c r="D891" s="6" t="s">
        <v>3016</v>
      </c>
      <c r="E891" s="7" t="s">
        <v>21</v>
      </c>
      <c r="F891" s="6" t="s">
        <v>3399</v>
      </c>
      <c r="G891" s="6" t="s">
        <v>3040</v>
      </c>
      <c r="H891" s="6" t="s">
        <v>3027</v>
      </c>
      <c r="I891" s="6" t="s">
        <v>2629</v>
      </c>
      <c r="J891" s="6" t="s">
        <v>3187</v>
      </c>
      <c r="K891" s="5"/>
      <c r="L891" s="4" t="s">
        <v>62</v>
      </c>
      <c r="M891" s="8" t="s">
        <v>79</v>
      </c>
      <c r="N891" s="9" t="s">
        <v>3022</v>
      </c>
      <c r="O891" s="5"/>
      <c r="P891" s="5"/>
      <c r="Q891" s="6" t="s">
        <v>30</v>
      </c>
      <c r="R891" s="4" t="s">
        <v>31</v>
      </c>
      <c r="S891" s="7" t="s">
        <v>32</v>
      </c>
      <c r="T891" s="5"/>
    </row>
    <row r="892" customFormat="false" ht="15" hidden="false" customHeight="true" outlineLevel="0" collapsed="false">
      <c r="A892" s="4" t="n">
        <v>891</v>
      </c>
      <c r="B892" s="6" t="s">
        <v>1787</v>
      </c>
      <c r="C892" s="6" t="s">
        <v>3015</v>
      </c>
      <c r="D892" s="6" t="s">
        <v>3016</v>
      </c>
      <c r="E892" s="7" t="s">
        <v>21</v>
      </c>
      <c r="F892" s="6" t="s">
        <v>3400</v>
      </c>
      <c r="G892" s="5" t="s">
        <v>3401</v>
      </c>
      <c r="H892" s="6" t="s">
        <v>3039</v>
      </c>
      <c r="I892" s="6" t="s">
        <v>3072</v>
      </c>
      <c r="J892" s="6" t="s">
        <v>3030</v>
      </c>
      <c r="K892" s="5"/>
      <c r="L892" s="4" t="s">
        <v>44</v>
      </c>
      <c r="M892" s="8" t="s">
        <v>79</v>
      </c>
      <c r="N892" s="9" t="s">
        <v>3022</v>
      </c>
      <c r="O892" s="5"/>
      <c r="P892" s="5"/>
      <c r="Q892" s="6" t="s">
        <v>30</v>
      </c>
      <c r="R892" s="4" t="s">
        <v>31</v>
      </c>
      <c r="S892" s="7" t="s">
        <v>32</v>
      </c>
      <c r="T892" s="5"/>
    </row>
    <row r="893" customFormat="false" ht="15" hidden="false" customHeight="true" outlineLevel="0" collapsed="false">
      <c r="A893" s="4" t="n">
        <v>892</v>
      </c>
      <c r="B893" s="6" t="s">
        <v>1787</v>
      </c>
      <c r="C893" s="6" t="s">
        <v>3015</v>
      </c>
      <c r="D893" s="6" t="s">
        <v>3016</v>
      </c>
      <c r="E893" s="7" t="s">
        <v>21</v>
      </c>
      <c r="F893" s="6" t="s">
        <v>3402</v>
      </c>
      <c r="G893" s="6" t="s">
        <v>3040</v>
      </c>
      <c r="H893" s="6" t="s">
        <v>3027</v>
      </c>
      <c r="I893" s="6" t="s">
        <v>2629</v>
      </c>
      <c r="J893" s="6" t="s">
        <v>3024</v>
      </c>
      <c r="K893" s="5"/>
      <c r="L893" s="4" t="s">
        <v>51</v>
      </c>
      <c r="M893" s="8" t="s">
        <v>129</v>
      </c>
      <c r="N893" s="9" t="s">
        <v>3022</v>
      </c>
      <c r="O893" s="5"/>
      <c r="P893" s="5"/>
      <c r="Q893" s="6" t="s">
        <v>30</v>
      </c>
      <c r="R893" s="4" t="s">
        <v>31</v>
      </c>
      <c r="S893" s="7" t="s">
        <v>32</v>
      </c>
      <c r="T893" s="5"/>
    </row>
    <row r="894" customFormat="false" ht="29.25" hidden="false" customHeight="true" outlineLevel="0" collapsed="false">
      <c r="A894" s="4" t="n">
        <v>893</v>
      </c>
      <c r="B894" s="6" t="s">
        <v>1787</v>
      </c>
      <c r="C894" s="6" t="s">
        <v>3015</v>
      </c>
      <c r="D894" s="6" t="s">
        <v>3016</v>
      </c>
      <c r="E894" s="7" t="s">
        <v>21</v>
      </c>
      <c r="F894" s="6" t="s">
        <v>3403</v>
      </c>
      <c r="G894" s="6" t="s">
        <v>3040</v>
      </c>
      <c r="H894" s="6" t="s">
        <v>3027</v>
      </c>
      <c r="I894" s="6" t="s">
        <v>2629</v>
      </c>
      <c r="J894" s="6" t="s">
        <v>3024</v>
      </c>
      <c r="K894" s="5"/>
      <c r="L894" s="4" t="s">
        <v>62</v>
      </c>
      <c r="M894" s="8" t="s">
        <v>79</v>
      </c>
      <c r="N894" s="9" t="s">
        <v>3022</v>
      </c>
      <c r="O894" s="5"/>
      <c r="P894" s="5"/>
      <c r="Q894" s="6" t="s">
        <v>30</v>
      </c>
      <c r="R894" s="4" t="s">
        <v>31</v>
      </c>
      <c r="S894" s="7" t="s">
        <v>32</v>
      </c>
      <c r="T894" s="5"/>
    </row>
    <row r="895" customFormat="false" ht="29.25" hidden="false" customHeight="true" outlineLevel="0" collapsed="false">
      <c r="A895" s="4" t="n">
        <v>894</v>
      </c>
      <c r="B895" s="6" t="s">
        <v>1787</v>
      </c>
      <c r="C895" s="6" t="s">
        <v>3015</v>
      </c>
      <c r="D895" s="6" t="s">
        <v>3016</v>
      </c>
      <c r="E895" s="7" t="s">
        <v>21</v>
      </c>
      <c r="F895" s="6" t="s">
        <v>3404</v>
      </c>
      <c r="G895" s="6" t="s">
        <v>3370</v>
      </c>
      <c r="H895" s="6" t="s">
        <v>3405</v>
      </c>
      <c r="I895" s="6" t="s">
        <v>3371</v>
      </c>
      <c r="J895" s="6" t="s">
        <v>3373</v>
      </c>
      <c r="K895" s="5"/>
      <c r="L895" s="4" t="s">
        <v>62</v>
      </c>
      <c r="M895" s="8" t="s">
        <v>129</v>
      </c>
      <c r="N895" s="9" t="s">
        <v>3406</v>
      </c>
      <c r="O895" s="5"/>
      <c r="P895" s="5"/>
      <c r="Q895" s="6" t="s">
        <v>30</v>
      </c>
      <c r="R895" s="4" t="s">
        <v>31</v>
      </c>
      <c r="S895" s="7" t="s">
        <v>32</v>
      </c>
      <c r="T895" s="5"/>
    </row>
    <row r="896" customFormat="false" ht="29.25" hidden="false" customHeight="true" outlineLevel="0" collapsed="false">
      <c r="A896" s="4" t="n">
        <v>895</v>
      </c>
      <c r="B896" s="6" t="s">
        <v>1787</v>
      </c>
      <c r="C896" s="6" t="s">
        <v>3015</v>
      </c>
      <c r="D896" s="6" t="s">
        <v>3016</v>
      </c>
      <c r="E896" s="7" t="s">
        <v>21</v>
      </c>
      <c r="F896" s="6" t="s">
        <v>3407</v>
      </c>
      <c r="G896" s="6" t="s">
        <v>3040</v>
      </c>
      <c r="H896" s="6" t="s">
        <v>3027</v>
      </c>
      <c r="I896" s="6" t="s">
        <v>2629</v>
      </c>
      <c r="J896" s="6" t="s">
        <v>3187</v>
      </c>
      <c r="K896" s="5"/>
      <c r="L896" s="4" t="s">
        <v>44</v>
      </c>
      <c r="M896" s="8" t="s">
        <v>79</v>
      </c>
      <c r="N896" s="9" t="s">
        <v>3022</v>
      </c>
      <c r="O896" s="5"/>
      <c r="P896" s="5"/>
      <c r="Q896" s="6" t="s">
        <v>30</v>
      </c>
      <c r="R896" s="4" t="s">
        <v>31</v>
      </c>
      <c r="S896" s="7" t="s">
        <v>32</v>
      </c>
      <c r="T896" s="5"/>
    </row>
    <row r="897" customFormat="false" ht="29.25" hidden="false" customHeight="true" outlineLevel="0" collapsed="false">
      <c r="A897" s="4" t="n">
        <v>896</v>
      </c>
      <c r="B897" s="6" t="s">
        <v>1787</v>
      </c>
      <c r="C897" s="6" t="s">
        <v>3015</v>
      </c>
      <c r="D897" s="6" t="s">
        <v>3016</v>
      </c>
      <c r="E897" s="7" t="s">
        <v>21</v>
      </c>
      <c r="F897" s="6" t="s">
        <v>3408</v>
      </c>
      <c r="G897" s="6" t="s">
        <v>3040</v>
      </c>
      <c r="H897" s="6" t="s">
        <v>3027</v>
      </c>
      <c r="I897" s="6" t="s">
        <v>2629</v>
      </c>
      <c r="J897" s="6" t="s">
        <v>3024</v>
      </c>
      <c r="K897" s="5"/>
      <c r="L897" s="4" t="s">
        <v>44</v>
      </c>
      <c r="M897" s="8" t="s">
        <v>79</v>
      </c>
      <c r="N897" s="9" t="s">
        <v>3022</v>
      </c>
      <c r="O897" s="5"/>
      <c r="P897" s="5"/>
      <c r="Q897" s="6" t="s">
        <v>30</v>
      </c>
      <c r="R897" s="4" t="s">
        <v>31</v>
      </c>
      <c r="S897" s="7" t="s">
        <v>32</v>
      </c>
      <c r="T897" s="5"/>
    </row>
    <row r="898" customFormat="false" ht="15" hidden="false" customHeight="true" outlineLevel="0" collapsed="false">
      <c r="A898" s="4" t="n">
        <v>897</v>
      </c>
      <c r="B898" s="6" t="s">
        <v>1787</v>
      </c>
      <c r="C898" s="6" t="s">
        <v>3015</v>
      </c>
      <c r="D898" s="6" t="s">
        <v>3016</v>
      </c>
      <c r="E898" s="7" t="s">
        <v>21</v>
      </c>
      <c r="F898" s="6" t="s">
        <v>3409</v>
      </c>
      <c r="G898" s="6" t="s">
        <v>3040</v>
      </c>
      <c r="H898" s="6" t="s">
        <v>3027</v>
      </c>
      <c r="I898" s="6" t="s">
        <v>3186</v>
      </c>
      <c r="J898" s="6" t="s">
        <v>3024</v>
      </c>
      <c r="K898" s="5"/>
      <c r="L898" s="4" t="s">
        <v>27</v>
      </c>
      <c r="M898" s="8" t="s">
        <v>129</v>
      </c>
      <c r="N898" s="9" t="s">
        <v>3022</v>
      </c>
      <c r="O898" s="5"/>
      <c r="P898" s="5"/>
      <c r="Q898" s="6" t="s">
        <v>30</v>
      </c>
      <c r="R898" s="4" t="s">
        <v>31</v>
      </c>
      <c r="S898" s="7" t="s">
        <v>32</v>
      </c>
      <c r="T898" s="5"/>
    </row>
    <row r="899" customFormat="false" ht="29.25" hidden="false" customHeight="true" outlineLevel="0" collapsed="false">
      <c r="A899" s="4" t="n">
        <v>898</v>
      </c>
      <c r="B899" s="6" t="s">
        <v>1787</v>
      </c>
      <c r="C899" s="6" t="s">
        <v>3015</v>
      </c>
      <c r="D899" s="6" t="s">
        <v>3016</v>
      </c>
      <c r="E899" s="7" t="s">
        <v>21</v>
      </c>
      <c r="F899" s="6" t="s">
        <v>3410</v>
      </c>
      <c r="G899" s="6" t="s">
        <v>3025</v>
      </c>
      <c r="H899" s="6" t="s">
        <v>3027</v>
      </c>
      <c r="I899" s="6" t="s">
        <v>2629</v>
      </c>
      <c r="J899" s="6" t="s">
        <v>3024</v>
      </c>
      <c r="K899" s="5"/>
      <c r="L899" s="4" t="s">
        <v>51</v>
      </c>
      <c r="M899" s="8" t="s">
        <v>79</v>
      </c>
      <c r="N899" s="9" t="s">
        <v>3022</v>
      </c>
      <c r="O899" s="5"/>
      <c r="P899" s="5"/>
      <c r="Q899" s="6" t="s">
        <v>30</v>
      </c>
      <c r="R899" s="4" t="s">
        <v>31</v>
      </c>
      <c r="S899" s="7" t="s">
        <v>32</v>
      </c>
      <c r="T899" s="5"/>
    </row>
    <row r="900" customFormat="false" ht="29.25" hidden="false" customHeight="true" outlineLevel="0" collapsed="false">
      <c r="A900" s="4" t="n">
        <v>899</v>
      </c>
      <c r="B900" s="6" t="s">
        <v>1787</v>
      </c>
      <c r="C900" s="6" t="s">
        <v>3015</v>
      </c>
      <c r="D900" s="6" t="s">
        <v>3016</v>
      </c>
      <c r="E900" s="7" t="s">
        <v>21</v>
      </c>
      <c r="F900" s="6" t="s">
        <v>3411</v>
      </c>
      <c r="G900" s="6" t="s">
        <v>2628</v>
      </c>
      <c r="H900" s="6" t="s">
        <v>3039</v>
      </c>
      <c r="I900" s="5" t="s">
        <v>3412</v>
      </c>
      <c r="J900" s="6" t="s">
        <v>3072</v>
      </c>
      <c r="K900" s="5"/>
      <c r="L900" s="4" t="s">
        <v>51</v>
      </c>
      <c r="M900" s="8" t="s">
        <v>79</v>
      </c>
      <c r="N900" s="9" t="s">
        <v>3022</v>
      </c>
      <c r="O900" s="5"/>
      <c r="P900" s="5"/>
      <c r="Q900" s="6" t="s">
        <v>30</v>
      </c>
      <c r="R900" s="4" t="s">
        <v>31</v>
      </c>
      <c r="S900" s="7" t="s">
        <v>32</v>
      </c>
      <c r="T900" s="5"/>
    </row>
    <row r="901" customFormat="false" ht="43.5" hidden="false" customHeight="true" outlineLevel="0" collapsed="false">
      <c r="A901" s="4" t="n">
        <v>900</v>
      </c>
      <c r="B901" s="6" t="s">
        <v>1787</v>
      </c>
      <c r="C901" s="6" t="s">
        <v>3015</v>
      </c>
      <c r="D901" s="6" t="s">
        <v>3016</v>
      </c>
      <c r="E901" s="7" t="s">
        <v>21</v>
      </c>
      <c r="F901" s="6" t="s">
        <v>3413</v>
      </c>
      <c r="G901" s="6" t="s">
        <v>2628</v>
      </c>
      <c r="H901" s="6" t="s">
        <v>3039</v>
      </c>
      <c r="I901" s="5" t="s">
        <v>3412</v>
      </c>
      <c r="J901" s="6" t="s">
        <v>3072</v>
      </c>
      <c r="K901" s="5"/>
      <c r="L901" s="4" t="s">
        <v>27</v>
      </c>
      <c r="M901" s="8" t="s">
        <v>28</v>
      </c>
      <c r="N901" s="9" t="s">
        <v>3022</v>
      </c>
      <c r="O901" s="5"/>
      <c r="P901" s="5"/>
      <c r="Q901" s="6" t="s">
        <v>30</v>
      </c>
      <c r="R901" s="4" t="s">
        <v>31</v>
      </c>
      <c r="S901" s="7" t="s">
        <v>32</v>
      </c>
      <c r="T901" s="5"/>
    </row>
    <row r="902" customFormat="false" ht="29.25" hidden="false" customHeight="true" outlineLevel="0" collapsed="false">
      <c r="A902" s="4" t="n">
        <v>901</v>
      </c>
      <c r="B902" s="6" t="s">
        <v>1787</v>
      </c>
      <c r="C902" s="6" t="s">
        <v>3015</v>
      </c>
      <c r="D902" s="6" t="s">
        <v>3016</v>
      </c>
      <c r="E902" s="7" t="s">
        <v>21</v>
      </c>
      <c r="F902" s="6" t="s">
        <v>3414</v>
      </c>
      <c r="G902" s="6" t="s">
        <v>2628</v>
      </c>
      <c r="H902" s="6" t="s">
        <v>3039</v>
      </c>
      <c r="I902" s="5" t="s">
        <v>3412</v>
      </c>
      <c r="J902" s="6" t="s">
        <v>3072</v>
      </c>
      <c r="K902" s="5"/>
      <c r="L902" s="4" t="s">
        <v>62</v>
      </c>
      <c r="M902" s="8" t="s">
        <v>79</v>
      </c>
      <c r="N902" s="9" t="s">
        <v>3022</v>
      </c>
      <c r="O902" s="5"/>
      <c r="P902" s="5"/>
      <c r="Q902" s="6" t="s">
        <v>30</v>
      </c>
      <c r="R902" s="4" t="s">
        <v>31</v>
      </c>
      <c r="S902" s="7" t="s">
        <v>32</v>
      </c>
      <c r="T902" s="5"/>
    </row>
    <row r="903" customFormat="false" ht="29.25" hidden="false" customHeight="true" outlineLevel="0" collapsed="false">
      <c r="A903" s="4" t="n">
        <v>902</v>
      </c>
      <c r="B903" s="6" t="s">
        <v>1787</v>
      </c>
      <c r="C903" s="6" t="s">
        <v>3015</v>
      </c>
      <c r="D903" s="6" t="s">
        <v>3016</v>
      </c>
      <c r="E903" s="7" t="s">
        <v>21</v>
      </c>
      <c r="F903" s="6" t="s">
        <v>3415</v>
      </c>
      <c r="G903" s="6" t="s">
        <v>2628</v>
      </c>
      <c r="H903" s="6" t="s">
        <v>3039</v>
      </c>
      <c r="I903" s="5" t="s">
        <v>3412</v>
      </c>
      <c r="J903" s="6" t="s">
        <v>3072</v>
      </c>
      <c r="K903" s="5"/>
      <c r="L903" s="4" t="s">
        <v>44</v>
      </c>
      <c r="M903" s="8" t="s">
        <v>79</v>
      </c>
      <c r="N903" s="9" t="s">
        <v>3022</v>
      </c>
      <c r="O903" s="5"/>
      <c r="P903" s="5"/>
      <c r="Q903" s="6" t="s">
        <v>30</v>
      </c>
      <c r="R903" s="4" t="s">
        <v>31</v>
      </c>
      <c r="S903" s="7" t="s">
        <v>32</v>
      </c>
      <c r="T903" s="5"/>
    </row>
    <row r="904" customFormat="false" ht="15" hidden="false" customHeight="true" outlineLevel="0" collapsed="false">
      <c r="A904" s="4" t="n">
        <v>903</v>
      </c>
      <c r="B904" s="6" t="s">
        <v>1787</v>
      </c>
      <c r="C904" s="6" t="s">
        <v>3015</v>
      </c>
      <c r="D904" s="6" t="s">
        <v>3016</v>
      </c>
      <c r="E904" s="7" t="s">
        <v>21</v>
      </c>
      <c r="F904" s="6" t="s">
        <v>3416</v>
      </c>
      <c r="G904" s="6" t="s">
        <v>2628</v>
      </c>
      <c r="H904" s="6" t="s">
        <v>3127</v>
      </c>
      <c r="I904" s="5" t="s">
        <v>3412</v>
      </c>
      <c r="J904" s="6" t="s">
        <v>3126</v>
      </c>
      <c r="K904" s="5"/>
      <c r="L904" s="4" t="s">
        <v>62</v>
      </c>
      <c r="M904" s="8" t="s">
        <v>129</v>
      </c>
      <c r="N904" s="9" t="s">
        <v>3022</v>
      </c>
      <c r="O904" s="5"/>
      <c r="P904" s="5"/>
      <c r="Q904" s="6" t="s">
        <v>30</v>
      </c>
      <c r="R904" s="4" t="s">
        <v>31</v>
      </c>
      <c r="S904" s="7" t="s">
        <v>32</v>
      </c>
      <c r="T904" s="5"/>
    </row>
    <row r="905" customFormat="false" ht="15" hidden="false" customHeight="true" outlineLevel="0" collapsed="false">
      <c r="A905" s="4" t="n">
        <v>904</v>
      </c>
      <c r="B905" s="6" t="s">
        <v>1787</v>
      </c>
      <c r="C905" s="6" t="s">
        <v>3015</v>
      </c>
      <c r="D905" s="6" t="s">
        <v>3016</v>
      </c>
      <c r="E905" s="7" t="s">
        <v>21</v>
      </c>
      <c r="F905" s="6" t="s">
        <v>3417</v>
      </c>
      <c r="G905" s="6" t="s">
        <v>2628</v>
      </c>
      <c r="H905" s="6" t="s">
        <v>3127</v>
      </c>
      <c r="I905" s="5" t="s">
        <v>3412</v>
      </c>
      <c r="J905" s="6" t="s">
        <v>3126</v>
      </c>
      <c r="K905" s="5"/>
      <c r="L905" s="4" t="s">
        <v>44</v>
      </c>
      <c r="M905" s="8" t="s">
        <v>79</v>
      </c>
      <c r="N905" s="9" t="s">
        <v>3022</v>
      </c>
      <c r="O905" s="5"/>
      <c r="P905" s="5"/>
      <c r="Q905" s="6" t="s">
        <v>30</v>
      </c>
      <c r="R905" s="4" t="s">
        <v>31</v>
      </c>
      <c r="S905" s="7" t="s">
        <v>32</v>
      </c>
      <c r="T905" s="5"/>
    </row>
    <row r="906" customFormat="false" ht="29.25" hidden="false" customHeight="true" outlineLevel="0" collapsed="false">
      <c r="A906" s="4" t="n">
        <v>905</v>
      </c>
      <c r="B906" s="6" t="s">
        <v>1787</v>
      </c>
      <c r="C906" s="6" t="s">
        <v>3015</v>
      </c>
      <c r="D906" s="6" t="s">
        <v>3016</v>
      </c>
      <c r="E906" s="7" t="s">
        <v>21</v>
      </c>
      <c r="F906" s="6" t="s">
        <v>3418</v>
      </c>
      <c r="G906" s="5" t="s">
        <v>3419</v>
      </c>
      <c r="H906" s="5" t="s">
        <v>3420</v>
      </c>
      <c r="I906" s="5" t="s">
        <v>3421</v>
      </c>
      <c r="J906" s="5" t="s">
        <v>2472</v>
      </c>
      <c r="K906" s="5"/>
      <c r="L906" s="4" t="s">
        <v>44</v>
      </c>
      <c r="M906" s="8" t="s">
        <v>79</v>
      </c>
      <c r="N906" s="9" t="s">
        <v>3022</v>
      </c>
      <c r="O906" s="5"/>
      <c r="P906" s="5"/>
      <c r="Q906" s="6" t="s">
        <v>30</v>
      </c>
      <c r="R906" s="4" t="s">
        <v>31</v>
      </c>
      <c r="S906" s="7" t="s">
        <v>32</v>
      </c>
      <c r="T906" s="5"/>
    </row>
    <row r="907" customFormat="false" ht="29.25" hidden="false" customHeight="true" outlineLevel="0" collapsed="false">
      <c r="A907" s="4" t="n">
        <v>906</v>
      </c>
      <c r="B907" s="6" t="s">
        <v>1787</v>
      </c>
      <c r="C907" s="6" t="s">
        <v>3015</v>
      </c>
      <c r="D907" s="6" t="s">
        <v>3016</v>
      </c>
      <c r="E907" s="7" t="s">
        <v>21</v>
      </c>
      <c r="F907" s="6" t="s">
        <v>3422</v>
      </c>
      <c r="G907" s="5" t="s">
        <v>3423</v>
      </c>
      <c r="H907" s="5" t="s">
        <v>3424</v>
      </c>
      <c r="I907" s="5" t="s">
        <v>3425</v>
      </c>
      <c r="J907" s="5" t="s">
        <v>3426</v>
      </c>
      <c r="K907" s="5"/>
      <c r="L907" s="4" t="s">
        <v>27</v>
      </c>
      <c r="M907" s="8" t="s">
        <v>28</v>
      </c>
      <c r="N907" s="9" t="s">
        <v>3022</v>
      </c>
      <c r="O907" s="5"/>
      <c r="P907" s="5"/>
      <c r="Q907" s="6" t="s">
        <v>30</v>
      </c>
      <c r="R907" s="4" t="s">
        <v>31</v>
      </c>
      <c r="S907" s="7" t="s">
        <v>32</v>
      </c>
      <c r="T907" s="5"/>
    </row>
    <row r="908" customFormat="false" ht="29.25" hidden="false" customHeight="true" outlineLevel="0" collapsed="false">
      <c r="A908" s="4" t="n">
        <v>907</v>
      </c>
      <c r="B908" s="6" t="s">
        <v>1787</v>
      </c>
      <c r="C908" s="6" t="s">
        <v>3015</v>
      </c>
      <c r="D908" s="6" t="s">
        <v>3016</v>
      </c>
      <c r="E908" s="7" t="s">
        <v>21</v>
      </c>
      <c r="F908" s="6" t="s">
        <v>3427</v>
      </c>
      <c r="G908" s="6" t="s">
        <v>2628</v>
      </c>
      <c r="H908" s="6" t="s">
        <v>3127</v>
      </c>
      <c r="I908" s="6" t="s">
        <v>3038</v>
      </c>
      <c r="J908" s="6" t="s">
        <v>3126</v>
      </c>
      <c r="K908" s="5"/>
      <c r="L908" s="4" t="s">
        <v>27</v>
      </c>
      <c r="M908" s="8" t="s">
        <v>79</v>
      </c>
      <c r="N908" s="9" t="s">
        <v>3022</v>
      </c>
      <c r="O908" s="5"/>
      <c r="P908" s="5"/>
      <c r="Q908" s="6" t="s">
        <v>30</v>
      </c>
      <c r="R908" s="4" t="s">
        <v>31</v>
      </c>
      <c r="S908" s="7" t="s">
        <v>32</v>
      </c>
      <c r="T908" s="5"/>
    </row>
    <row r="909" customFormat="false" ht="43.5" hidden="false" customHeight="true" outlineLevel="0" collapsed="false">
      <c r="A909" s="4" t="n">
        <v>908</v>
      </c>
      <c r="B909" s="6" t="s">
        <v>1787</v>
      </c>
      <c r="C909" s="6" t="s">
        <v>3015</v>
      </c>
      <c r="D909" s="6" t="s">
        <v>3016</v>
      </c>
      <c r="E909" s="7" t="s">
        <v>21</v>
      </c>
      <c r="F909" s="6" t="s">
        <v>3428</v>
      </c>
      <c r="G909" s="6" t="s">
        <v>3429</v>
      </c>
      <c r="H909" s="6" t="s">
        <v>3430</v>
      </c>
      <c r="I909" s="6" t="s">
        <v>3431</v>
      </c>
      <c r="J909" s="6" t="s">
        <v>3432</v>
      </c>
      <c r="K909" s="5"/>
      <c r="L909" s="4" t="s">
        <v>51</v>
      </c>
      <c r="M909" s="8" t="s">
        <v>79</v>
      </c>
      <c r="N909" s="9" t="s">
        <v>3022</v>
      </c>
      <c r="O909" s="5"/>
      <c r="P909" s="5"/>
      <c r="Q909" s="6" t="s">
        <v>30</v>
      </c>
      <c r="R909" s="4" t="s">
        <v>31</v>
      </c>
      <c r="S909" s="7" t="s">
        <v>32</v>
      </c>
      <c r="T909" s="5"/>
    </row>
    <row r="910" customFormat="false" ht="29.25" hidden="false" customHeight="true" outlineLevel="0" collapsed="false">
      <c r="A910" s="4" t="n">
        <v>909</v>
      </c>
      <c r="B910" s="6" t="s">
        <v>1787</v>
      </c>
      <c r="C910" s="6" t="s">
        <v>3015</v>
      </c>
      <c r="D910" s="6" t="s">
        <v>3016</v>
      </c>
      <c r="E910" s="7" t="s">
        <v>21</v>
      </c>
      <c r="F910" s="6" t="s">
        <v>3433</v>
      </c>
      <c r="G910" s="6" t="s">
        <v>3434</v>
      </c>
      <c r="H910" s="6" t="s">
        <v>3435</v>
      </c>
      <c r="I910" s="6" t="s">
        <v>3436</v>
      </c>
      <c r="J910" s="6" t="s">
        <v>3437</v>
      </c>
      <c r="K910" s="5"/>
      <c r="L910" s="4" t="s">
        <v>62</v>
      </c>
      <c r="M910" s="8" t="s">
        <v>79</v>
      </c>
      <c r="N910" s="9" t="s">
        <v>3022</v>
      </c>
      <c r="O910" s="5"/>
      <c r="P910" s="5"/>
      <c r="Q910" s="6" t="s">
        <v>30</v>
      </c>
      <c r="R910" s="4" t="s">
        <v>31</v>
      </c>
      <c r="S910" s="7" t="s">
        <v>32</v>
      </c>
      <c r="T910" s="5"/>
    </row>
    <row r="911" customFormat="false" ht="15" hidden="false" customHeight="true" outlineLevel="0" collapsed="false">
      <c r="A911" s="4" t="n">
        <v>910</v>
      </c>
      <c r="B911" s="6" t="s">
        <v>1787</v>
      </c>
      <c r="C911" s="6" t="s">
        <v>3015</v>
      </c>
      <c r="D911" s="6" t="s">
        <v>3016</v>
      </c>
      <c r="E911" s="7" t="s">
        <v>21</v>
      </c>
      <c r="F911" s="6" t="s">
        <v>3438</v>
      </c>
      <c r="G911" s="6" t="s">
        <v>3027</v>
      </c>
      <c r="H911" s="6" t="s">
        <v>3040</v>
      </c>
      <c r="I911" s="6" t="s">
        <v>2629</v>
      </c>
      <c r="J911" s="6" t="s">
        <v>3187</v>
      </c>
      <c r="K911" s="5"/>
      <c r="L911" s="4" t="s">
        <v>62</v>
      </c>
      <c r="M911" s="8" t="s">
        <v>129</v>
      </c>
      <c r="N911" s="9" t="s">
        <v>3022</v>
      </c>
      <c r="O911" s="5"/>
      <c r="P911" s="5"/>
      <c r="Q911" s="6" t="s">
        <v>30</v>
      </c>
      <c r="R911" s="4" t="s">
        <v>31</v>
      </c>
      <c r="S911" s="7" t="s">
        <v>32</v>
      </c>
      <c r="T911" s="5"/>
    </row>
    <row r="912" customFormat="false" ht="15" hidden="false" customHeight="true" outlineLevel="0" collapsed="false">
      <c r="A912" s="4" t="n">
        <v>911</v>
      </c>
      <c r="B912" s="6" t="s">
        <v>1787</v>
      </c>
      <c r="C912" s="6" t="s">
        <v>3015</v>
      </c>
      <c r="D912" s="6" t="s">
        <v>3016</v>
      </c>
      <c r="E912" s="7" t="s">
        <v>21</v>
      </c>
      <c r="F912" s="6" t="s">
        <v>3439</v>
      </c>
      <c r="G912" s="6" t="s">
        <v>3040</v>
      </c>
      <c r="H912" s="6" t="s">
        <v>1405</v>
      </c>
      <c r="I912" s="6" t="s">
        <v>3027</v>
      </c>
      <c r="J912" s="6" t="s">
        <v>3187</v>
      </c>
      <c r="K912" s="5"/>
      <c r="L912" s="4" t="s">
        <v>27</v>
      </c>
      <c r="M912" s="8" t="s">
        <v>79</v>
      </c>
      <c r="N912" s="9" t="s">
        <v>3022</v>
      </c>
      <c r="O912" s="5"/>
      <c r="P912" s="5"/>
      <c r="Q912" s="6" t="s">
        <v>30</v>
      </c>
      <c r="R912" s="4" t="s">
        <v>31</v>
      </c>
      <c r="S912" s="7" t="s">
        <v>32</v>
      </c>
      <c r="T912" s="5"/>
    </row>
    <row r="913" customFormat="false" ht="15" hidden="false" customHeight="true" outlineLevel="0" collapsed="false">
      <c r="A913" s="4" t="n">
        <v>912</v>
      </c>
      <c r="B913" s="6" t="s">
        <v>1787</v>
      </c>
      <c r="C913" s="6" t="s">
        <v>3015</v>
      </c>
      <c r="D913" s="6" t="s">
        <v>3016</v>
      </c>
      <c r="E913" s="7" t="s">
        <v>21</v>
      </c>
      <c r="F913" s="6" t="s">
        <v>3440</v>
      </c>
      <c r="G913" s="6" t="s">
        <v>3441</v>
      </c>
      <c r="H913" s="6" t="s">
        <v>3442</v>
      </c>
      <c r="I913" s="6" t="s">
        <v>3443</v>
      </c>
      <c r="J913" s="6" t="s">
        <v>3444</v>
      </c>
      <c r="K913" s="5"/>
      <c r="L913" s="4" t="s">
        <v>62</v>
      </c>
      <c r="M913" s="8" t="s">
        <v>129</v>
      </c>
      <c r="N913" s="9" t="s">
        <v>3046</v>
      </c>
      <c r="O913" s="5"/>
      <c r="P913" s="5"/>
      <c r="Q913" s="6" t="s">
        <v>30</v>
      </c>
      <c r="R913" s="4" t="s">
        <v>31</v>
      </c>
      <c r="S913" s="7" t="s">
        <v>32</v>
      </c>
      <c r="T913" s="5"/>
    </row>
    <row r="914" customFormat="false" ht="29.25" hidden="false" customHeight="true" outlineLevel="0" collapsed="false">
      <c r="A914" s="4" t="n">
        <v>913</v>
      </c>
      <c r="B914" s="6" t="s">
        <v>1787</v>
      </c>
      <c r="C914" s="6" t="s">
        <v>3015</v>
      </c>
      <c r="D914" s="6" t="s">
        <v>3016</v>
      </c>
      <c r="E914" s="7" t="s">
        <v>21</v>
      </c>
      <c r="F914" s="6" t="s">
        <v>3445</v>
      </c>
      <c r="G914" s="6" t="s">
        <v>3040</v>
      </c>
      <c r="H914" s="6" t="s">
        <v>3025</v>
      </c>
      <c r="I914" s="6" t="s">
        <v>3354</v>
      </c>
      <c r="J914" s="6" t="s">
        <v>2629</v>
      </c>
      <c r="K914" s="5"/>
      <c r="L914" s="4" t="s">
        <v>44</v>
      </c>
      <c r="M914" s="8" t="s">
        <v>79</v>
      </c>
      <c r="N914" s="9" t="s">
        <v>3446</v>
      </c>
      <c r="O914" s="5"/>
      <c r="P914" s="5"/>
      <c r="Q914" s="6" t="s">
        <v>30</v>
      </c>
      <c r="R914" s="4" t="s">
        <v>31</v>
      </c>
      <c r="S914" s="7" t="s">
        <v>32</v>
      </c>
      <c r="T914" s="5"/>
    </row>
    <row r="915" customFormat="false" ht="15" hidden="false" customHeight="true" outlineLevel="0" collapsed="false">
      <c r="A915" s="4" t="n">
        <v>914</v>
      </c>
      <c r="B915" s="6" t="s">
        <v>1787</v>
      </c>
      <c r="C915" s="6" t="s">
        <v>3015</v>
      </c>
      <c r="D915" s="6" t="s">
        <v>3016</v>
      </c>
      <c r="E915" s="7" t="s">
        <v>21</v>
      </c>
      <c r="F915" s="6" t="s">
        <v>3447</v>
      </c>
      <c r="G915" s="5" t="s">
        <v>164</v>
      </c>
      <c r="H915" s="5" t="s">
        <v>2547</v>
      </c>
      <c r="I915" s="5" t="s">
        <v>3448</v>
      </c>
      <c r="J915" s="5" t="s">
        <v>1225</v>
      </c>
      <c r="K915" s="5"/>
      <c r="L915" s="4" t="s">
        <v>44</v>
      </c>
      <c r="M915" s="8" t="s">
        <v>129</v>
      </c>
      <c r="N915" s="9" t="s">
        <v>3046</v>
      </c>
      <c r="O915" s="5"/>
      <c r="P915" s="5"/>
      <c r="Q915" s="6" t="s">
        <v>30</v>
      </c>
      <c r="R915" s="4" t="s">
        <v>31</v>
      </c>
      <c r="S915" s="7" t="s">
        <v>32</v>
      </c>
      <c r="T915" s="5"/>
    </row>
    <row r="916" customFormat="false" ht="15" hidden="false" customHeight="true" outlineLevel="0" collapsed="false">
      <c r="A916" s="4" t="n">
        <v>915</v>
      </c>
      <c r="B916" s="6" t="s">
        <v>1787</v>
      </c>
      <c r="C916" s="6" t="s">
        <v>3015</v>
      </c>
      <c r="D916" s="6" t="s">
        <v>3016</v>
      </c>
      <c r="E916" s="7" t="s">
        <v>21</v>
      </c>
      <c r="F916" s="6" t="s">
        <v>3449</v>
      </c>
      <c r="G916" s="6" t="s">
        <v>2629</v>
      </c>
      <c r="H916" s="6" t="s">
        <v>3025</v>
      </c>
      <c r="I916" s="6" t="s">
        <v>3187</v>
      </c>
      <c r="J916" s="6" t="s">
        <v>3024</v>
      </c>
      <c r="K916" s="5"/>
      <c r="L916" s="4" t="s">
        <v>62</v>
      </c>
      <c r="M916" s="8" t="s">
        <v>129</v>
      </c>
      <c r="N916" s="9" t="s">
        <v>3022</v>
      </c>
      <c r="O916" s="5"/>
      <c r="P916" s="5"/>
      <c r="Q916" s="6" t="s">
        <v>30</v>
      </c>
      <c r="R916" s="4" t="s">
        <v>31</v>
      </c>
      <c r="S916" s="7" t="s">
        <v>32</v>
      </c>
      <c r="T916" s="5"/>
    </row>
    <row r="917" customFormat="false" ht="15" hidden="false" customHeight="true" outlineLevel="0" collapsed="false">
      <c r="A917" s="4" t="n">
        <v>916</v>
      </c>
      <c r="B917" s="6" t="s">
        <v>1787</v>
      </c>
      <c r="C917" s="6" t="s">
        <v>3015</v>
      </c>
      <c r="D917" s="6" t="s">
        <v>3016</v>
      </c>
      <c r="E917" s="7" t="s">
        <v>21</v>
      </c>
      <c r="F917" s="6" t="s">
        <v>3450</v>
      </c>
      <c r="G917" s="6" t="s">
        <v>2628</v>
      </c>
      <c r="H917" s="6" t="s">
        <v>3026</v>
      </c>
      <c r="I917" s="6" t="s">
        <v>3039</v>
      </c>
      <c r="J917" s="6" t="s">
        <v>3127</v>
      </c>
      <c r="K917" s="5"/>
      <c r="L917" s="4" t="s">
        <v>51</v>
      </c>
      <c r="M917" s="8" t="s">
        <v>79</v>
      </c>
      <c r="N917" s="9" t="s">
        <v>3022</v>
      </c>
      <c r="O917" s="5"/>
      <c r="P917" s="5"/>
      <c r="Q917" s="6" t="s">
        <v>30</v>
      </c>
      <c r="R917" s="4" t="s">
        <v>31</v>
      </c>
      <c r="S917" s="7" t="s">
        <v>32</v>
      </c>
      <c r="T917" s="5"/>
    </row>
    <row r="918" customFormat="false" ht="29.25" hidden="false" customHeight="true" outlineLevel="0" collapsed="false">
      <c r="A918" s="4" t="n">
        <v>917</v>
      </c>
      <c r="B918" s="6" t="s">
        <v>1787</v>
      </c>
      <c r="C918" s="6" t="s">
        <v>3015</v>
      </c>
      <c r="D918" s="6" t="s">
        <v>3016</v>
      </c>
      <c r="E918" s="7" t="s">
        <v>21</v>
      </c>
      <c r="F918" s="6" t="s">
        <v>3451</v>
      </c>
      <c r="G918" s="6" t="s">
        <v>2628</v>
      </c>
      <c r="H918" s="6" t="s">
        <v>3026</v>
      </c>
      <c r="I918" s="6" t="s">
        <v>3341</v>
      </c>
      <c r="J918" s="6" t="s">
        <v>3039</v>
      </c>
      <c r="K918" s="5"/>
      <c r="L918" s="4" t="s">
        <v>62</v>
      </c>
      <c r="M918" s="8" t="s">
        <v>79</v>
      </c>
      <c r="N918" s="9" t="s">
        <v>3022</v>
      </c>
      <c r="O918" s="5"/>
      <c r="P918" s="5"/>
      <c r="Q918" s="6" t="s">
        <v>30</v>
      </c>
      <c r="R918" s="4" t="s">
        <v>31</v>
      </c>
      <c r="S918" s="7" t="s">
        <v>32</v>
      </c>
      <c r="T918" s="5"/>
    </row>
    <row r="919" customFormat="false" ht="29.25" hidden="false" customHeight="true" outlineLevel="0" collapsed="false">
      <c r="A919" s="4" t="n">
        <v>918</v>
      </c>
      <c r="B919" s="6" t="s">
        <v>1787</v>
      </c>
      <c r="C919" s="6" t="s">
        <v>3015</v>
      </c>
      <c r="D919" s="6" t="s">
        <v>3016</v>
      </c>
      <c r="E919" s="7" t="s">
        <v>21</v>
      </c>
      <c r="F919" s="6" t="s">
        <v>3452</v>
      </c>
      <c r="G919" s="6" t="s">
        <v>2628</v>
      </c>
      <c r="H919" s="6" t="s">
        <v>3026</v>
      </c>
      <c r="I919" s="6" t="s">
        <v>3341</v>
      </c>
      <c r="J919" s="6" t="s">
        <v>3039</v>
      </c>
      <c r="K919" s="5"/>
      <c r="L919" s="4" t="s">
        <v>44</v>
      </c>
      <c r="M919" s="8" t="s">
        <v>79</v>
      </c>
      <c r="N919" s="9" t="s">
        <v>3022</v>
      </c>
      <c r="O919" s="5"/>
      <c r="P919" s="5"/>
      <c r="Q919" s="6" t="s">
        <v>30</v>
      </c>
      <c r="R919" s="4" t="s">
        <v>31</v>
      </c>
      <c r="S919" s="7" t="s">
        <v>32</v>
      </c>
      <c r="T919" s="5"/>
    </row>
    <row r="920" customFormat="false" ht="15" hidden="false" customHeight="true" outlineLevel="0" collapsed="false">
      <c r="A920" s="4" t="n">
        <v>919</v>
      </c>
      <c r="B920" s="6" t="s">
        <v>1787</v>
      </c>
      <c r="C920" s="6" t="s">
        <v>3015</v>
      </c>
      <c r="D920" s="6" t="s">
        <v>3016</v>
      </c>
      <c r="E920" s="7" t="s">
        <v>21</v>
      </c>
      <c r="F920" s="6" t="s">
        <v>3453</v>
      </c>
      <c r="G920" s="6" t="s">
        <v>3072</v>
      </c>
      <c r="H920" s="6" t="s">
        <v>3127</v>
      </c>
      <c r="I920" s="6" t="s">
        <v>3039</v>
      </c>
      <c r="J920" s="6" t="s">
        <v>3178</v>
      </c>
      <c r="K920" s="5"/>
      <c r="L920" s="4" t="s">
        <v>44</v>
      </c>
      <c r="M920" s="8" t="s">
        <v>79</v>
      </c>
      <c r="N920" s="9" t="s">
        <v>3022</v>
      </c>
      <c r="O920" s="5"/>
      <c r="P920" s="5"/>
      <c r="Q920" s="6" t="s">
        <v>30</v>
      </c>
      <c r="R920" s="4" t="s">
        <v>31</v>
      </c>
      <c r="S920" s="7" t="s">
        <v>32</v>
      </c>
      <c r="T920" s="5"/>
    </row>
    <row r="921" customFormat="false" ht="29.25" hidden="false" customHeight="true" outlineLevel="0" collapsed="false">
      <c r="A921" s="4" t="n">
        <v>920</v>
      </c>
      <c r="B921" s="6" t="s">
        <v>1787</v>
      </c>
      <c r="C921" s="6" t="s">
        <v>3015</v>
      </c>
      <c r="D921" s="6" t="s">
        <v>3016</v>
      </c>
      <c r="E921" s="7" t="s">
        <v>21</v>
      </c>
      <c r="F921" s="6" t="s">
        <v>3454</v>
      </c>
      <c r="G921" s="6" t="s">
        <v>3072</v>
      </c>
      <c r="H921" s="6" t="s">
        <v>3127</v>
      </c>
      <c r="I921" s="6" t="s">
        <v>3039</v>
      </c>
      <c r="J921" s="6" t="s">
        <v>3455</v>
      </c>
      <c r="K921" s="5"/>
      <c r="L921" s="4" t="s">
        <v>44</v>
      </c>
      <c r="M921" s="8" t="s">
        <v>79</v>
      </c>
      <c r="N921" s="9" t="s">
        <v>3022</v>
      </c>
      <c r="O921" s="5"/>
      <c r="P921" s="5"/>
      <c r="Q921" s="6" t="s">
        <v>30</v>
      </c>
      <c r="R921" s="4" t="s">
        <v>31</v>
      </c>
      <c r="S921" s="7" t="s">
        <v>32</v>
      </c>
      <c r="T921" s="5"/>
    </row>
    <row r="922" customFormat="false" ht="15" hidden="false" customHeight="true" outlineLevel="0" collapsed="false">
      <c r="A922" s="4" t="n">
        <v>921</v>
      </c>
      <c r="B922" s="6" t="s">
        <v>1787</v>
      </c>
      <c r="C922" s="6" t="s">
        <v>3015</v>
      </c>
      <c r="D922" s="6" t="s">
        <v>3016</v>
      </c>
      <c r="E922" s="7" t="s">
        <v>21</v>
      </c>
      <c r="F922" s="6" t="s">
        <v>3456</v>
      </c>
      <c r="G922" s="6" t="s">
        <v>3129</v>
      </c>
      <c r="H922" s="6" t="s">
        <v>3130</v>
      </c>
      <c r="I922" s="6" t="s">
        <v>3131</v>
      </c>
      <c r="J922" s="6" t="s">
        <v>3132</v>
      </c>
      <c r="K922" s="5"/>
      <c r="L922" s="4" t="s">
        <v>27</v>
      </c>
      <c r="M922" s="8" t="s">
        <v>129</v>
      </c>
      <c r="N922" s="9" t="s">
        <v>3457</v>
      </c>
      <c r="O922" s="5"/>
      <c r="P922" s="5"/>
      <c r="Q922" s="6" t="s">
        <v>30</v>
      </c>
      <c r="R922" s="4" t="s">
        <v>31</v>
      </c>
      <c r="S922" s="7" t="s">
        <v>32</v>
      </c>
      <c r="T922" s="5"/>
    </row>
    <row r="923" customFormat="false" ht="15" hidden="false" customHeight="true" outlineLevel="0" collapsed="false">
      <c r="A923" s="4" t="n">
        <v>922</v>
      </c>
      <c r="B923" s="6" t="s">
        <v>1787</v>
      </c>
      <c r="C923" s="6" t="s">
        <v>3015</v>
      </c>
      <c r="D923" s="6" t="s">
        <v>3016</v>
      </c>
      <c r="E923" s="7" t="s">
        <v>21</v>
      </c>
      <c r="F923" s="6" t="s">
        <v>3458</v>
      </c>
      <c r="G923" s="6" t="s">
        <v>3459</v>
      </c>
      <c r="H923" s="6" t="s">
        <v>3460</v>
      </c>
      <c r="I923" s="6" t="s">
        <v>2469</v>
      </c>
      <c r="J923" s="6" t="s">
        <v>150</v>
      </c>
      <c r="K923" s="5"/>
      <c r="L923" s="4" t="s">
        <v>62</v>
      </c>
      <c r="M923" s="8" t="s">
        <v>79</v>
      </c>
      <c r="N923" s="9" t="s">
        <v>3446</v>
      </c>
      <c r="O923" s="5"/>
      <c r="P923" s="5"/>
      <c r="Q923" s="6" t="s">
        <v>30</v>
      </c>
      <c r="R923" s="4" t="s">
        <v>31</v>
      </c>
      <c r="S923" s="7" t="s">
        <v>32</v>
      </c>
      <c r="T923" s="5"/>
    </row>
    <row r="924" customFormat="false" ht="15" hidden="false" customHeight="true" outlineLevel="0" collapsed="false">
      <c r="A924" s="4" t="n">
        <v>923</v>
      </c>
      <c r="B924" s="6" t="s">
        <v>1787</v>
      </c>
      <c r="C924" s="6" t="s">
        <v>3015</v>
      </c>
      <c r="D924" s="6" t="s">
        <v>3016</v>
      </c>
      <c r="E924" s="7" t="s">
        <v>21</v>
      </c>
      <c r="F924" s="6" t="s">
        <v>3461</v>
      </c>
      <c r="G924" s="6" t="s">
        <v>1930</v>
      </c>
      <c r="H924" s="6" t="s">
        <v>1929</v>
      </c>
      <c r="I924" s="6" t="s">
        <v>3183</v>
      </c>
      <c r="J924" s="6" t="s">
        <v>3184</v>
      </c>
      <c r="K924" s="5"/>
      <c r="L924" s="4" t="s">
        <v>51</v>
      </c>
      <c r="M924" s="8" t="s">
        <v>129</v>
      </c>
      <c r="N924" s="9" t="s">
        <v>3022</v>
      </c>
      <c r="O924" s="5"/>
      <c r="P924" s="5"/>
      <c r="Q924" s="6" t="s">
        <v>30</v>
      </c>
      <c r="R924" s="4" t="s">
        <v>31</v>
      </c>
      <c r="S924" s="7" t="s">
        <v>32</v>
      </c>
      <c r="T924" s="5"/>
    </row>
    <row r="925" customFormat="false" ht="15" hidden="false" customHeight="true" outlineLevel="0" collapsed="false">
      <c r="A925" s="4" t="n">
        <v>924</v>
      </c>
      <c r="B925" s="6" t="s">
        <v>1787</v>
      </c>
      <c r="C925" s="6" t="s">
        <v>3015</v>
      </c>
      <c r="D925" s="6" t="s">
        <v>3016</v>
      </c>
      <c r="E925" s="7" t="s">
        <v>21</v>
      </c>
      <c r="F925" s="6" t="s">
        <v>3462</v>
      </c>
      <c r="G925" s="6" t="s">
        <v>3463</v>
      </c>
      <c r="H925" s="6" t="s">
        <v>3194</v>
      </c>
      <c r="I925" s="6" t="s">
        <v>3193</v>
      </c>
      <c r="J925" s="6" t="s">
        <v>3444</v>
      </c>
      <c r="K925" s="5"/>
      <c r="L925" s="4" t="s">
        <v>27</v>
      </c>
      <c r="M925" s="8" t="s">
        <v>129</v>
      </c>
      <c r="N925" s="9" t="s">
        <v>3022</v>
      </c>
      <c r="O925" s="5"/>
      <c r="P925" s="5"/>
      <c r="Q925" s="6" t="s">
        <v>30</v>
      </c>
      <c r="R925" s="4" t="s">
        <v>31</v>
      </c>
      <c r="S925" s="7" t="s">
        <v>32</v>
      </c>
      <c r="T925" s="5"/>
    </row>
    <row r="926" customFormat="false" ht="15" hidden="false" customHeight="true" outlineLevel="0" collapsed="false">
      <c r="A926" s="4" t="n">
        <v>925</v>
      </c>
      <c r="B926" s="6" t="s">
        <v>1787</v>
      </c>
      <c r="C926" s="6" t="s">
        <v>3015</v>
      </c>
      <c r="D926" s="6" t="s">
        <v>3016</v>
      </c>
      <c r="E926" s="7" t="s">
        <v>21</v>
      </c>
      <c r="F926" s="6" t="s">
        <v>3464</v>
      </c>
      <c r="G926" s="6" t="s">
        <v>3465</v>
      </c>
      <c r="H926" s="6" t="s">
        <v>3466</v>
      </c>
      <c r="I926" s="6" t="s">
        <v>3467</v>
      </c>
      <c r="J926" s="6" t="s">
        <v>3468</v>
      </c>
      <c r="K926" s="5"/>
      <c r="L926" s="4" t="s">
        <v>62</v>
      </c>
      <c r="M926" s="8" t="s">
        <v>129</v>
      </c>
      <c r="N926" s="9" t="s">
        <v>3022</v>
      </c>
      <c r="O926" s="5"/>
      <c r="P926" s="5"/>
      <c r="Q926" s="6" t="s">
        <v>30</v>
      </c>
      <c r="R926" s="4" t="s">
        <v>31</v>
      </c>
      <c r="S926" s="7" t="s">
        <v>32</v>
      </c>
      <c r="T926" s="5"/>
    </row>
    <row r="927" customFormat="false" ht="15" hidden="false" customHeight="true" outlineLevel="0" collapsed="false">
      <c r="A927" s="4" t="n">
        <v>926</v>
      </c>
      <c r="B927" s="6" t="s">
        <v>1787</v>
      </c>
      <c r="C927" s="6" t="s">
        <v>3015</v>
      </c>
      <c r="D927" s="6" t="s">
        <v>3016</v>
      </c>
      <c r="E927" s="7" t="s">
        <v>21</v>
      </c>
      <c r="F927" s="6" t="s">
        <v>3469</v>
      </c>
      <c r="G927" s="6" t="s">
        <v>3470</v>
      </c>
      <c r="H927" s="6" t="s">
        <v>3471</v>
      </c>
      <c r="I927" s="6" t="s">
        <v>3472</v>
      </c>
      <c r="J927" s="6" t="s">
        <v>3473</v>
      </c>
      <c r="K927" s="5"/>
      <c r="L927" s="4" t="s">
        <v>51</v>
      </c>
      <c r="M927" s="8" t="s">
        <v>129</v>
      </c>
      <c r="N927" s="9" t="s">
        <v>3022</v>
      </c>
      <c r="O927" s="5"/>
      <c r="P927" s="5"/>
      <c r="Q927" s="6" t="s">
        <v>30</v>
      </c>
      <c r="R927" s="4" t="s">
        <v>31</v>
      </c>
      <c r="S927" s="7" t="s">
        <v>32</v>
      </c>
      <c r="T927" s="5"/>
    </row>
    <row r="928" customFormat="false" ht="15" hidden="false" customHeight="true" outlineLevel="0" collapsed="false">
      <c r="A928" s="4" t="n">
        <v>927</v>
      </c>
      <c r="B928" s="6" t="s">
        <v>1787</v>
      </c>
      <c r="C928" s="6" t="s">
        <v>3015</v>
      </c>
      <c r="D928" s="6" t="s">
        <v>3016</v>
      </c>
      <c r="E928" s="7" t="s">
        <v>21</v>
      </c>
      <c r="F928" s="6" t="s">
        <v>3474</v>
      </c>
      <c r="G928" s="6" t="s">
        <v>3475</v>
      </c>
      <c r="H928" s="6" t="s">
        <v>3476</v>
      </c>
      <c r="I928" s="6" t="s">
        <v>3477</v>
      </c>
      <c r="J928" s="6" t="s">
        <v>3478</v>
      </c>
      <c r="K928" s="5"/>
      <c r="L928" s="4" t="s">
        <v>27</v>
      </c>
      <c r="M928" s="8" t="s">
        <v>79</v>
      </c>
      <c r="N928" s="9" t="s">
        <v>3022</v>
      </c>
      <c r="O928" s="5"/>
      <c r="P928" s="5"/>
      <c r="Q928" s="6" t="s">
        <v>30</v>
      </c>
      <c r="R928" s="4" t="s">
        <v>31</v>
      </c>
      <c r="S928" s="7" t="s">
        <v>32</v>
      </c>
      <c r="T928" s="5"/>
    </row>
    <row r="929" customFormat="false" ht="15" hidden="false" customHeight="true" outlineLevel="0" collapsed="false">
      <c r="A929" s="4" t="n">
        <v>928</v>
      </c>
      <c r="B929" s="6" t="s">
        <v>1787</v>
      </c>
      <c r="C929" s="6" t="s">
        <v>3015</v>
      </c>
      <c r="D929" s="6" t="s">
        <v>3016</v>
      </c>
      <c r="E929" s="7" t="s">
        <v>21</v>
      </c>
      <c r="F929" s="6" t="s">
        <v>3479</v>
      </c>
      <c r="G929" s="6" t="s">
        <v>3040</v>
      </c>
      <c r="H929" s="6" t="s">
        <v>3027</v>
      </c>
      <c r="I929" s="6" t="s">
        <v>3187</v>
      </c>
      <c r="J929" s="6" t="s">
        <v>2626</v>
      </c>
      <c r="K929" s="5"/>
      <c r="L929" s="4" t="s">
        <v>62</v>
      </c>
      <c r="M929" s="8" t="s">
        <v>79</v>
      </c>
      <c r="N929" s="9" t="s">
        <v>3022</v>
      </c>
      <c r="O929" s="5"/>
      <c r="P929" s="5"/>
      <c r="Q929" s="6" t="s">
        <v>30</v>
      </c>
      <c r="R929" s="4" t="s">
        <v>31</v>
      </c>
      <c r="S929" s="7" t="s">
        <v>32</v>
      </c>
      <c r="T929" s="5"/>
    </row>
    <row r="930" customFormat="false" ht="15" hidden="false" customHeight="true" outlineLevel="0" collapsed="false">
      <c r="A930" s="4" t="n">
        <v>929</v>
      </c>
      <c r="B930" s="6" t="s">
        <v>1787</v>
      </c>
      <c r="C930" s="6" t="s">
        <v>3015</v>
      </c>
      <c r="D930" s="6" t="s">
        <v>3016</v>
      </c>
      <c r="E930" s="7" t="s">
        <v>21</v>
      </c>
      <c r="F930" s="6" t="s">
        <v>3480</v>
      </c>
      <c r="G930" s="6" t="s">
        <v>3481</v>
      </c>
      <c r="H930" s="6" t="s">
        <v>3482</v>
      </c>
      <c r="I930" s="6" t="s">
        <v>3483</v>
      </c>
      <c r="J930" s="6" t="s">
        <v>3484</v>
      </c>
      <c r="K930" s="5"/>
      <c r="L930" s="4" t="s">
        <v>44</v>
      </c>
      <c r="M930" s="8" t="s">
        <v>129</v>
      </c>
      <c r="N930" s="9" t="s">
        <v>3022</v>
      </c>
      <c r="O930" s="5"/>
      <c r="P930" s="5"/>
      <c r="Q930" s="6" t="s">
        <v>30</v>
      </c>
      <c r="R930" s="4" t="s">
        <v>31</v>
      </c>
      <c r="S930" s="7" t="s">
        <v>32</v>
      </c>
      <c r="T930" s="5"/>
    </row>
    <row r="931" customFormat="false" ht="15" hidden="false" customHeight="true" outlineLevel="0" collapsed="false">
      <c r="A931" s="4" t="n">
        <v>930</v>
      </c>
      <c r="B931" s="6" t="s">
        <v>1787</v>
      </c>
      <c r="C931" s="6" t="s">
        <v>3015</v>
      </c>
      <c r="D931" s="6" t="s">
        <v>3016</v>
      </c>
      <c r="E931" s="7" t="s">
        <v>21</v>
      </c>
      <c r="F931" s="6" t="s">
        <v>3485</v>
      </c>
      <c r="G931" s="6" t="s">
        <v>3040</v>
      </c>
      <c r="H931" s="6" t="s">
        <v>3027</v>
      </c>
      <c r="I931" s="6" t="s">
        <v>3187</v>
      </c>
      <c r="J931" s="6" t="s">
        <v>2629</v>
      </c>
      <c r="K931" s="5"/>
      <c r="L931" s="4" t="s">
        <v>51</v>
      </c>
      <c r="M931" s="8" t="s">
        <v>129</v>
      </c>
      <c r="N931" s="9" t="s">
        <v>3022</v>
      </c>
      <c r="O931" s="5"/>
      <c r="P931" s="5"/>
      <c r="Q931" s="6" t="s">
        <v>30</v>
      </c>
      <c r="R931" s="4" t="s">
        <v>31</v>
      </c>
      <c r="S931" s="7" t="s">
        <v>32</v>
      </c>
      <c r="T931" s="5"/>
    </row>
    <row r="932" customFormat="false" ht="15" hidden="false" customHeight="true" outlineLevel="0" collapsed="false">
      <c r="A932" s="4" t="n">
        <v>931</v>
      </c>
      <c r="B932" s="6" t="s">
        <v>1787</v>
      </c>
      <c r="C932" s="6" t="s">
        <v>3015</v>
      </c>
      <c r="D932" s="6" t="s">
        <v>3016</v>
      </c>
      <c r="E932" s="7" t="s">
        <v>21</v>
      </c>
      <c r="F932" s="6" t="s">
        <v>3486</v>
      </c>
      <c r="G932" s="6" t="s">
        <v>2628</v>
      </c>
      <c r="H932" s="6" t="s">
        <v>3039</v>
      </c>
      <c r="I932" s="6" t="s">
        <v>3127</v>
      </c>
      <c r="J932" s="5" t="s">
        <v>3487</v>
      </c>
      <c r="K932" s="5"/>
      <c r="L932" s="4" t="s">
        <v>51</v>
      </c>
      <c r="M932" s="8" t="s">
        <v>129</v>
      </c>
      <c r="N932" s="9" t="s">
        <v>3022</v>
      </c>
      <c r="O932" s="5"/>
      <c r="P932" s="5"/>
      <c r="Q932" s="6" t="s">
        <v>30</v>
      </c>
      <c r="R932" s="4" t="s">
        <v>31</v>
      </c>
      <c r="S932" s="7" t="s">
        <v>32</v>
      </c>
      <c r="T932" s="5"/>
    </row>
    <row r="933" customFormat="false" ht="15" hidden="false" customHeight="true" outlineLevel="0" collapsed="false">
      <c r="A933" s="4" t="n">
        <v>932</v>
      </c>
      <c r="B933" s="6" t="s">
        <v>1787</v>
      </c>
      <c r="C933" s="6" t="s">
        <v>3015</v>
      </c>
      <c r="D933" s="6" t="s">
        <v>3016</v>
      </c>
      <c r="E933" s="7" t="s">
        <v>21</v>
      </c>
      <c r="F933" s="6" t="s">
        <v>3488</v>
      </c>
      <c r="G933" s="5" t="s">
        <v>3487</v>
      </c>
      <c r="H933" s="6" t="s">
        <v>3072</v>
      </c>
      <c r="I933" s="6" t="s">
        <v>3178</v>
      </c>
      <c r="J933" s="6" t="s">
        <v>2628</v>
      </c>
      <c r="K933" s="5"/>
      <c r="L933" s="4" t="s">
        <v>44</v>
      </c>
      <c r="M933" s="8" t="s">
        <v>129</v>
      </c>
      <c r="N933" s="9" t="s">
        <v>3022</v>
      </c>
      <c r="O933" s="5"/>
      <c r="P933" s="5"/>
      <c r="Q933" s="6" t="s">
        <v>30</v>
      </c>
      <c r="R933" s="4" t="s">
        <v>31</v>
      </c>
      <c r="S933" s="7" t="s">
        <v>32</v>
      </c>
      <c r="T933" s="5"/>
    </row>
    <row r="934" customFormat="false" ht="15" hidden="false" customHeight="true" outlineLevel="0" collapsed="false">
      <c r="A934" s="4" t="n">
        <v>933</v>
      </c>
      <c r="B934" s="6" t="s">
        <v>1787</v>
      </c>
      <c r="C934" s="6" t="s">
        <v>3015</v>
      </c>
      <c r="D934" s="6" t="s">
        <v>3016</v>
      </c>
      <c r="E934" s="7" t="s">
        <v>21</v>
      </c>
      <c r="F934" s="6" t="s">
        <v>3489</v>
      </c>
      <c r="G934" s="6" t="s">
        <v>2095</v>
      </c>
      <c r="H934" s="6" t="s">
        <v>3134</v>
      </c>
      <c r="I934" s="6" t="s">
        <v>3136</v>
      </c>
      <c r="J934" s="6" t="s">
        <v>3490</v>
      </c>
      <c r="K934" s="5"/>
      <c r="L934" s="4" t="s">
        <v>62</v>
      </c>
      <c r="M934" s="8" t="s">
        <v>129</v>
      </c>
      <c r="N934" s="9" t="s">
        <v>3022</v>
      </c>
      <c r="O934" s="5"/>
      <c r="P934" s="5"/>
      <c r="Q934" s="6" t="s">
        <v>30</v>
      </c>
      <c r="R934" s="4" t="s">
        <v>31</v>
      </c>
      <c r="S934" s="7" t="s">
        <v>32</v>
      </c>
      <c r="T934" s="5"/>
    </row>
    <row r="935" customFormat="false" ht="15" hidden="false" customHeight="true" outlineLevel="0" collapsed="false">
      <c r="A935" s="4" t="n">
        <v>934</v>
      </c>
      <c r="B935" s="6" t="s">
        <v>1787</v>
      </c>
      <c r="C935" s="6" t="s">
        <v>3015</v>
      </c>
      <c r="D935" s="6" t="s">
        <v>3016</v>
      </c>
      <c r="E935" s="7" t="s">
        <v>21</v>
      </c>
      <c r="F935" s="6" t="s">
        <v>3491</v>
      </c>
      <c r="G935" s="6" t="s">
        <v>2095</v>
      </c>
      <c r="H935" s="6" t="s">
        <v>3134</v>
      </c>
      <c r="I935" s="6" t="s">
        <v>3136</v>
      </c>
      <c r="J935" s="6" t="s">
        <v>3135</v>
      </c>
      <c r="K935" s="5"/>
      <c r="L935" s="4" t="s">
        <v>44</v>
      </c>
      <c r="M935" s="8" t="s">
        <v>129</v>
      </c>
      <c r="N935" s="9" t="s">
        <v>3022</v>
      </c>
      <c r="O935" s="5"/>
      <c r="P935" s="5"/>
      <c r="Q935" s="6" t="s">
        <v>30</v>
      </c>
      <c r="R935" s="4" t="s">
        <v>31</v>
      </c>
      <c r="S935" s="7" t="s">
        <v>32</v>
      </c>
      <c r="T935" s="5"/>
    </row>
    <row r="936" customFormat="false" ht="15" hidden="false" customHeight="true" outlineLevel="0" collapsed="false">
      <c r="A936" s="4" t="n">
        <v>935</v>
      </c>
      <c r="B936" s="6" t="s">
        <v>1787</v>
      </c>
      <c r="C936" s="6" t="s">
        <v>3015</v>
      </c>
      <c r="D936" s="6" t="s">
        <v>3016</v>
      </c>
      <c r="E936" s="7" t="s">
        <v>21</v>
      </c>
      <c r="F936" s="6" t="s">
        <v>3492</v>
      </c>
      <c r="G936" s="6" t="s">
        <v>2095</v>
      </c>
      <c r="H936" s="6" t="s">
        <v>3134</v>
      </c>
      <c r="I936" s="6" t="s">
        <v>3136</v>
      </c>
      <c r="J936" s="6" t="s">
        <v>3135</v>
      </c>
      <c r="K936" s="5"/>
      <c r="L936" s="4" t="s">
        <v>27</v>
      </c>
      <c r="M936" s="8" t="s">
        <v>129</v>
      </c>
      <c r="N936" s="9" t="s">
        <v>3022</v>
      </c>
      <c r="O936" s="5"/>
      <c r="P936" s="5"/>
      <c r="Q936" s="6" t="s">
        <v>30</v>
      </c>
      <c r="R936" s="4" t="s">
        <v>31</v>
      </c>
      <c r="S936" s="7" t="s">
        <v>32</v>
      </c>
      <c r="T936" s="5"/>
    </row>
    <row r="937" customFormat="false" ht="15" hidden="false" customHeight="true" outlineLevel="0" collapsed="false">
      <c r="A937" s="4" t="n">
        <v>936</v>
      </c>
      <c r="B937" s="6" t="s">
        <v>1787</v>
      </c>
      <c r="C937" s="6" t="s">
        <v>3015</v>
      </c>
      <c r="D937" s="6" t="s">
        <v>3016</v>
      </c>
      <c r="E937" s="7" t="s">
        <v>21</v>
      </c>
      <c r="F937" s="6" t="s">
        <v>3493</v>
      </c>
      <c r="G937" s="6" t="s">
        <v>3494</v>
      </c>
      <c r="H937" s="6" t="s">
        <v>3495</v>
      </c>
      <c r="I937" s="6" t="s">
        <v>3496</v>
      </c>
      <c r="J937" s="6" t="s">
        <v>3497</v>
      </c>
      <c r="K937" s="5"/>
      <c r="L937" s="4" t="s">
        <v>44</v>
      </c>
      <c r="M937" s="8" t="s">
        <v>79</v>
      </c>
      <c r="N937" s="9" t="s">
        <v>3022</v>
      </c>
      <c r="O937" s="5"/>
      <c r="P937" s="5"/>
      <c r="Q937" s="6" t="s">
        <v>30</v>
      </c>
      <c r="R937" s="4" t="s">
        <v>31</v>
      </c>
      <c r="S937" s="7" t="s">
        <v>32</v>
      </c>
      <c r="T937" s="5"/>
    </row>
    <row r="938" customFormat="false" ht="15" hidden="false" customHeight="true" outlineLevel="0" collapsed="false">
      <c r="A938" s="4" t="n">
        <v>937</v>
      </c>
      <c r="B938" s="6" t="s">
        <v>1787</v>
      </c>
      <c r="C938" s="6" t="s">
        <v>3015</v>
      </c>
      <c r="D938" s="6" t="s">
        <v>3016</v>
      </c>
      <c r="E938" s="7" t="s">
        <v>21</v>
      </c>
      <c r="F938" s="6" t="s">
        <v>3498</v>
      </c>
      <c r="G938" s="5" t="s">
        <v>3487</v>
      </c>
      <c r="H938" s="6" t="s">
        <v>3072</v>
      </c>
      <c r="I938" s="6" t="s">
        <v>3178</v>
      </c>
      <c r="J938" s="6" t="s">
        <v>2628</v>
      </c>
      <c r="K938" s="5"/>
      <c r="L938" s="4" t="s">
        <v>62</v>
      </c>
      <c r="M938" s="8" t="s">
        <v>129</v>
      </c>
      <c r="N938" s="9" t="s">
        <v>3022</v>
      </c>
      <c r="O938" s="5"/>
      <c r="P938" s="5"/>
      <c r="Q938" s="6" t="s">
        <v>30</v>
      </c>
      <c r="R938" s="4" t="s">
        <v>31</v>
      </c>
      <c r="S938" s="7" t="s">
        <v>32</v>
      </c>
      <c r="T938" s="5"/>
    </row>
    <row r="939" customFormat="false" ht="15" hidden="false" customHeight="true" outlineLevel="0" collapsed="false">
      <c r="A939" s="4" t="n">
        <v>938</v>
      </c>
      <c r="B939" s="6" t="s">
        <v>1787</v>
      </c>
      <c r="C939" s="6" t="s">
        <v>3015</v>
      </c>
      <c r="D939" s="6" t="s">
        <v>3016</v>
      </c>
      <c r="E939" s="7" t="s">
        <v>21</v>
      </c>
      <c r="F939" s="6" t="s">
        <v>3499</v>
      </c>
      <c r="G939" s="5" t="s">
        <v>3487</v>
      </c>
      <c r="H939" s="6" t="s">
        <v>3072</v>
      </c>
      <c r="I939" s="6" t="s">
        <v>3187</v>
      </c>
      <c r="J939" s="6" t="s">
        <v>3500</v>
      </c>
      <c r="K939" s="5"/>
      <c r="L939" s="4" t="s">
        <v>44</v>
      </c>
      <c r="M939" s="8" t="s">
        <v>129</v>
      </c>
      <c r="N939" s="9" t="s">
        <v>3022</v>
      </c>
      <c r="O939" s="5"/>
      <c r="P939" s="5"/>
      <c r="Q939" s="6" t="s">
        <v>30</v>
      </c>
      <c r="R939" s="4" t="s">
        <v>31</v>
      </c>
      <c r="S939" s="7" t="s">
        <v>32</v>
      </c>
      <c r="T939" s="5"/>
    </row>
    <row r="940" customFormat="false" ht="15" hidden="false" customHeight="true" outlineLevel="0" collapsed="false">
      <c r="A940" s="4" t="n">
        <v>939</v>
      </c>
      <c r="B940" s="6" t="s">
        <v>1787</v>
      </c>
      <c r="C940" s="6" t="s">
        <v>3015</v>
      </c>
      <c r="D940" s="6" t="s">
        <v>3016</v>
      </c>
      <c r="E940" s="7" t="s">
        <v>21</v>
      </c>
      <c r="F940" s="6" t="s">
        <v>3501</v>
      </c>
      <c r="G940" s="6" t="s">
        <v>3323</v>
      </c>
      <c r="H940" s="6" t="s">
        <v>3324</v>
      </c>
      <c r="I940" s="6" t="s">
        <v>3325</v>
      </c>
      <c r="J940" s="6" t="s">
        <v>3326</v>
      </c>
      <c r="K940" s="5"/>
      <c r="L940" s="4" t="s">
        <v>44</v>
      </c>
      <c r="M940" s="8" t="s">
        <v>129</v>
      </c>
      <c r="N940" s="9" t="s">
        <v>3022</v>
      </c>
      <c r="O940" s="5"/>
      <c r="P940" s="5"/>
      <c r="Q940" s="6" t="s">
        <v>30</v>
      </c>
      <c r="R940" s="4" t="s">
        <v>31</v>
      </c>
      <c r="S940" s="7" t="s">
        <v>32</v>
      </c>
      <c r="T940" s="5"/>
    </row>
    <row r="941" customFormat="false" ht="15" hidden="false" customHeight="true" outlineLevel="0" collapsed="false">
      <c r="A941" s="4" t="n">
        <v>940</v>
      </c>
      <c r="B941" s="6" t="s">
        <v>1787</v>
      </c>
      <c r="C941" s="6" t="s">
        <v>3015</v>
      </c>
      <c r="D941" s="6" t="s">
        <v>3016</v>
      </c>
      <c r="E941" s="7" t="s">
        <v>21</v>
      </c>
      <c r="F941" s="6" t="s">
        <v>3502</v>
      </c>
      <c r="G941" s="6" t="s">
        <v>3027</v>
      </c>
      <c r="H941" s="6" t="s">
        <v>3040</v>
      </c>
      <c r="I941" s="6" t="s">
        <v>2629</v>
      </c>
      <c r="J941" s="6" t="s">
        <v>3187</v>
      </c>
      <c r="K941" s="5"/>
      <c r="L941" s="4" t="s">
        <v>62</v>
      </c>
      <c r="M941" s="8" t="s">
        <v>129</v>
      </c>
      <c r="N941" s="9" t="s">
        <v>3022</v>
      </c>
      <c r="O941" s="5"/>
      <c r="P941" s="5"/>
      <c r="Q941" s="6" t="s">
        <v>30</v>
      </c>
      <c r="R941" s="4" t="s">
        <v>31</v>
      </c>
      <c r="S941" s="7" t="s">
        <v>32</v>
      </c>
      <c r="T941" s="5"/>
    </row>
    <row r="942" customFormat="false" ht="29.25" hidden="false" customHeight="true" outlineLevel="0" collapsed="false">
      <c r="A942" s="4" t="n">
        <v>941</v>
      </c>
      <c r="B942" s="6" t="s">
        <v>1787</v>
      </c>
      <c r="C942" s="6" t="s">
        <v>3015</v>
      </c>
      <c r="D942" s="6" t="s">
        <v>3016</v>
      </c>
      <c r="E942" s="7" t="s">
        <v>21</v>
      </c>
      <c r="F942" s="6" t="s">
        <v>3503</v>
      </c>
      <c r="G942" s="6" t="s">
        <v>3040</v>
      </c>
      <c r="H942" s="6" t="s">
        <v>3025</v>
      </c>
      <c r="I942" s="6" t="s">
        <v>3354</v>
      </c>
      <c r="J942" s="6" t="s">
        <v>2629</v>
      </c>
      <c r="K942" s="5"/>
      <c r="L942" s="4" t="s">
        <v>44</v>
      </c>
      <c r="M942" s="8" t="s">
        <v>79</v>
      </c>
      <c r="N942" s="9" t="s">
        <v>3446</v>
      </c>
      <c r="O942" s="5"/>
      <c r="P942" s="5"/>
      <c r="Q942" s="6" t="s">
        <v>30</v>
      </c>
      <c r="R942" s="4" t="s">
        <v>31</v>
      </c>
      <c r="S942" s="7" t="s">
        <v>32</v>
      </c>
      <c r="T942" s="5"/>
    </row>
    <row r="943" customFormat="false" ht="29.25" hidden="false" customHeight="true" outlineLevel="0" collapsed="false">
      <c r="A943" s="4" t="n">
        <v>942</v>
      </c>
      <c r="B943" s="6" t="s">
        <v>1787</v>
      </c>
      <c r="C943" s="6" t="s">
        <v>3015</v>
      </c>
      <c r="D943" s="6" t="s">
        <v>3016</v>
      </c>
      <c r="E943" s="7" t="s">
        <v>21</v>
      </c>
      <c r="F943" s="6" t="s">
        <v>3504</v>
      </c>
      <c r="G943" s="6" t="s">
        <v>3505</v>
      </c>
      <c r="H943" s="6" t="s">
        <v>3506</v>
      </c>
      <c r="I943" s="6" t="s">
        <v>3507</v>
      </c>
      <c r="J943" s="6" t="s">
        <v>3508</v>
      </c>
      <c r="K943" s="5"/>
      <c r="L943" s="4" t="s">
        <v>62</v>
      </c>
      <c r="M943" s="8" t="s">
        <v>79</v>
      </c>
      <c r="N943" s="9" t="s">
        <v>3022</v>
      </c>
      <c r="O943" s="5"/>
      <c r="P943" s="5"/>
      <c r="Q943" s="6" t="s">
        <v>30</v>
      </c>
      <c r="R943" s="4" t="s">
        <v>31</v>
      </c>
      <c r="S943" s="7" t="s">
        <v>32</v>
      </c>
      <c r="T943" s="5"/>
    </row>
    <row r="944" customFormat="false" ht="29.25" hidden="false" customHeight="true" outlineLevel="0" collapsed="false">
      <c r="A944" s="4" t="n">
        <v>943</v>
      </c>
      <c r="B944" s="6" t="s">
        <v>1787</v>
      </c>
      <c r="C944" s="6" t="s">
        <v>3015</v>
      </c>
      <c r="D944" s="6" t="s">
        <v>3016</v>
      </c>
      <c r="E944" s="7" t="s">
        <v>21</v>
      </c>
      <c r="F944" s="6" t="s">
        <v>3509</v>
      </c>
      <c r="G944" s="6" t="s">
        <v>3040</v>
      </c>
      <c r="H944" s="6" t="s">
        <v>3025</v>
      </c>
      <c r="I944" s="6" t="s">
        <v>3186</v>
      </c>
      <c r="J944" s="6" t="s">
        <v>2629</v>
      </c>
      <c r="K944" s="5"/>
      <c r="L944" s="4" t="s">
        <v>27</v>
      </c>
      <c r="M944" s="8" t="s">
        <v>79</v>
      </c>
      <c r="N944" s="9" t="s">
        <v>3022</v>
      </c>
      <c r="O944" s="5"/>
      <c r="P944" s="5"/>
      <c r="Q944" s="6" t="s">
        <v>30</v>
      </c>
      <c r="R944" s="4" t="s">
        <v>31</v>
      </c>
      <c r="S944" s="7" t="s">
        <v>32</v>
      </c>
      <c r="T944" s="5"/>
    </row>
    <row r="945" customFormat="false" ht="15" hidden="false" customHeight="true" outlineLevel="0" collapsed="false">
      <c r="A945" s="4" t="n">
        <v>944</v>
      </c>
      <c r="B945" s="6" t="s">
        <v>1787</v>
      </c>
      <c r="C945" s="6" t="s">
        <v>3015</v>
      </c>
      <c r="D945" s="6" t="s">
        <v>3016</v>
      </c>
      <c r="E945" s="7" t="s">
        <v>21</v>
      </c>
      <c r="F945" s="6" t="s">
        <v>3510</v>
      </c>
      <c r="G945" s="6" t="s">
        <v>2629</v>
      </c>
      <c r="H945" s="6" t="s">
        <v>3025</v>
      </c>
      <c r="I945" s="6" t="s">
        <v>3187</v>
      </c>
      <c r="J945" s="6" t="s">
        <v>3024</v>
      </c>
      <c r="K945" s="5"/>
      <c r="L945" s="4" t="s">
        <v>62</v>
      </c>
      <c r="M945" s="8" t="s">
        <v>129</v>
      </c>
      <c r="N945" s="9" t="s">
        <v>3022</v>
      </c>
      <c r="O945" s="5"/>
      <c r="P945" s="5"/>
      <c r="Q945" s="6" t="s">
        <v>30</v>
      </c>
      <c r="R945" s="4" t="s">
        <v>31</v>
      </c>
      <c r="S945" s="7" t="s">
        <v>32</v>
      </c>
      <c r="T945" s="5"/>
    </row>
    <row r="946" customFormat="false" ht="29.25" hidden="false" customHeight="true" outlineLevel="0" collapsed="false">
      <c r="A946" s="4" t="n">
        <v>945</v>
      </c>
      <c r="B946" s="6" t="s">
        <v>1787</v>
      </c>
      <c r="C946" s="6" t="s">
        <v>3015</v>
      </c>
      <c r="D946" s="6" t="s">
        <v>3016</v>
      </c>
      <c r="E946" s="7" t="s">
        <v>21</v>
      </c>
      <c r="F946" s="6" t="s">
        <v>3511</v>
      </c>
      <c r="G946" s="6" t="s">
        <v>2628</v>
      </c>
      <c r="H946" s="6" t="s">
        <v>3026</v>
      </c>
      <c r="I946" s="6" t="s">
        <v>3039</v>
      </c>
      <c r="J946" s="6" t="s">
        <v>3127</v>
      </c>
      <c r="K946" s="5"/>
      <c r="L946" s="4" t="s">
        <v>51</v>
      </c>
      <c r="M946" s="8" t="s">
        <v>79</v>
      </c>
      <c r="N946" s="9" t="s">
        <v>3022</v>
      </c>
      <c r="O946" s="5"/>
      <c r="P946" s="5"/>
      <c r="Q946" s="6" t="s">
        <v>30</v>
      </c>
      <c r="R946" s="4" t="s">
        <v>31</v>
      </c>
      <c r="S946" s="7" t="s">
        <v>32</v>
      </c>
      <c r="T946" s="5"/>
    </row>
    <row r="947" customFormat="false" ht="15" hidden="false" customHeight="true" outlineLevel="0" collapsed="false">
      <c r="A947" s="4" t="n">
        <v>946</v>
      </c>
      <c r="B947" s="6" t="s">
        <v>1787</v>
      </c>
      <c r="C947" s="6" t="s">
        <v>3015</v>
      </c>
      <c r="D947" s="6" t="s">
        <v>3016</v>
      </c>
      <c r="E947" s="7" t="s">
        <v>21</v>
      </c>
      <c r="F947" s="6" t="s">
        <v>3512</v>
      </c>
      <c r="G947" s="6" t="s">
        <v>3072</v>
      </c>
      <c r="H947" s="6" t="s">
        <v>3127</v>
      </c>
      <c r="I947" s="6" t="s">
        <v>3039</v>
      </c>
      <c r="J947" s="6" t="s">
        <v>3126</v>
      </c>
      <c r="K947" s="5"/>
      <c r="L947" s="4" t="s">
        <v>62</v>
      </c>
      <c r="M947" s="8" t="s">
        <v>129</v>
      </c>
      <c r="N947" s="9" t="s">
        <v>3022</v>
      </c>
      <c r="O947" s="5"/>
      <c r="P947" s="5"/>
      <c r="Q947" s="6" t="s">
        <v>30</v>
      </c>
      <c r="R947" s="4" t="s">
        <v>31</v>
      </c>
      <c r="S947" s="7" t="s">
        <v>32</v>
      </c>
      <c r="T947" s="5"/>
    </row>
    <row r="948" customFormat="false" ht="15" hidden="false" customHeight="true" outlineLevel="0" collapsed="false">
      <c r="A948" s="4" t="n">
        <v>947</v>
      </c>
      <c r="B948" s="6" t="s">
        <v>1787</v>
      </c>
      <c r="C948" s="6" t="s">
        <v>3015</v>
      </c>
      <c r="D948" s="6" t="s">
        <v>3016</v>
      </c>
      <c r="E948" s="7" t="s">
        <v>21</v>
      </c>
      <c r="F948" s="6" t="s">
        <v>3513</v>
      </c>
      <c r="G948" s="6" t="s">
        <v>2628</v>
      </c>
      <c r="H948" s="6" t="s">
        <v>3026</v>
      </c>
      <c r="I948" s="6" t="s">
        <v>3039</v>
      </c>
      <c r="J948" s="6" t="s">
        <v>3127</v>
      </c>
      <c r="K948" s="5"/>
      <c r="L948" s="4" t="s">
        <v>51</v>
      </c>
      <c r="M948" s="8" t="s">
        <v>79</v>
      </c>
      <c r="N948" s="9" t="s">
        <v>3022</v>
      </c>
      <c r="O948" s="5"/>
      <c r="P948" s="5"/>
      <c r="Q948" s="6" t="s">
        <v>30</v>
      </c>
      <c r="R948" s="4" t="s">
        <v>31</v>
      </c>
      <c r="S948" s="7" t="s">
        <v>32</v>
      </c>
      <c r="T948" s="5"/>
    </row>
    <row r="949" customFormat="false" ht="29.25" hidden="false" customHeight="true" outlineLevel="0" collapsed="false">
      <c r="A949" s="4" t="n">
        <v>948</v>
      </c>
      <c r="B949" s="6" t="s">
        <v>1787</v>
      </c>
      <c r="C949" s="6" t="s">
        <v>3015</v>
      </c>
      <c r="D949" s="6" t="s">
        <v>3016</v>
      </c>
      <c r="E949" s="7" t="s">
        <v>21</v>
      </c>
      <c r="F949" s="6" t="s">
        <v>3514</v>
      </c>
      <c r="G949" s="6" t="s">
        <v>3024</v>
      </c>
      <c r="H949" s="6" t="s">
        <v>3025</v>
      </c>
      <c r="I949" s="6" t="s">
        <v>3072</v>
      </c>
      <c r="J949" s="6" t="s">
        <v>3187</v>
      </c>
      <c r="K949" s="5"/>
      <c r="L949" s="4" t="s">
        <v>27</v>
      </c>
      <c r="M949" s="8" t="s">
        <v>79</v>
      </c>
      <c r="N949" s="9" t="s">
        <v>3022</v>
      </c>
      <c r="O949" s="5"/>
      <c r="P949" s="5"/>
      <c r="Q949" s="6" t="s">
        <v>30</v>
      </c>
      <c r="R949" s="4" t="s">
        <v>31</v>
      </c>
      <c r="S949" s="7" t="s">
        <v>32</v>
      </c>
      <c r="T949" s="5"/>
    </row>
    <row r="950" customFormat="false" ht="15" hidden="false" customHeight="true" outlineLevel="0" collapsed="false">
      <c r="A950" s="4" t="n">
        <v>949</v>
      </c>
      <c r="B950" s="6" t="s">
        <v>1787</v>
      </c>
      <c r="C950" s="6" t="s">
        <v>3015</v>
      </c>
      <c r="D950" s="6" t="s">
        <v>3016</v>
      </c>
      <c r="E950" s="7" t="s">
        <v>21</v>
      </c>
      <c r="F950" s="6" t="s">
        <v>3515</v>
      </c>
      <c r="G950" s="6" t="s">
        <v>3186</v>
      </c>
      <c r="H950" s="6" t="s">
        <v>3040</v>
      </c>
      <c r="I950" s="6" t="s">
        <v>3026</v>
      </c>
      <c r="J950" s="6" t="s">
        <v>3516</v>
      </c>
      <c r="K950" s="5"/>
      <c r="L950" s="4" t="s">
        <v>27</v>
      </c>
      <c r="M950" s="8" t="s">
        <v>129</v>
      </c>
      <c r="N950" s="9" t="s">
        <v>3022</v>
      </c>
      <c r="O950" s="5"/>
      <c r="P950" s="5"/>
      <c r="Q950" s="6" t="s">
        <v>30</v>
      </c>
      <c r="R950" s="4" t="s">
        <v>31</v>
      </c>
      <c r="S950" s="7" t="s">
        <v>32</v>
      </c>
      <c r="T950" s="5"/>
    </row>
    <row r="951" customFormat="false" ht="29.25" hidden="false" customHeight="true" outlineLevel="0" collapsed="false">
      <c r="A951" s="4" t="n">
        <v>950</v>
      </c>
      <c r="B951" s="6" t="s">
        <v>1787</v>
      </c>
      <c r="C951" s="6" t="s">
        <v>3015</v>
      </c>
      <c r="D951" s="6" t="s">
        <v>3016</v>
      </c>
      <c r="E951" s="7" t="s">
        <v>21</v>
      </c>
      <c r="F951" s="6" t="s">
        <v>3517</v>
      </c>
      <c r="G951" s="6" t="s">
        <v>2628</v>
      </c>
      <c r="H951" s="6" t="s">
        <v>3026</v>
      </c>
      <c r="I951" s="6" t="s">
        <v>3518</v>
      </c>
      <c r="J951" s="6" t="s">
        <v>3039</v>
      </c>
      <c r="K951" s="5"/>
      <c r="L951" s="4" t="s">
        <v>44</v>
      </c>
      <c r="M951" s="8" t="s">
        <v>79</v>
      </c>
      <c r="N951" s="9" t="s">
        <v>3022</v>
      </c>
      <c r="O951" s="5"/>
      <c r="P951" s="5"/>
      <c r="Q951" s="6" t="s">
        <v>30</v>
      </c>
      <c r="R951" s="4" t="s">
        <v>31</v>
      </c>
      <c r="S951" s="7" t="s">
        <v>32</v>
      </c>
      <c r="T951" s="5"/>
    </row>
    <row r="952" customFormat="false" ht="15" hidden="false" customHeight="true" outlineLevel="0" collapsed="false">
      <c r="A952" s="4" t="n">
        <v>951</v>
      </c>
      <c r="B952" s="6" t="s">
        <v>1787</v>
      </c>
      <c r="C952" s="6" t="s">
        <v>3015</v>
      </c>
      <c r="D952" s="6" t="s">
        <v>3016</v>
      </c>
      <c r="E952" s="7" t="s">
        <v>21</v>
      </c>
      <c r="F952" s="6" t="s">
        <v>3519</v>
      </c>
      <c r="G952" s="6" t="s">
        <v>3520</v>
      </c>
      <c r="H952" s="6" t="s">
        <v>3521</v>
      </c>
      <c r="I952" s="6" t="s">
        <v>3522</v>
      </c>
      <c r="J952" s="6" t="s">
        <v>302</v>
      </c>
      <c r="K952" s="5"/>
      <c r="L952" s="4" t="s">
        <v>27</v>
      </c>
      <c r="M952" s="8" t="s">
        <v>129</v>
      </c>
      <c r="N952" s="9" t="s">
        <v>3022</v>
      </c>
      <c r="O952" s="5"/>
      <c r="P952" s="5"/>
      <c r="Q952" s="6" t="s">
        <v>30</v>
      </c>
      <c r="R952" s="4" t="s">
        <v>31</v>
      </c>
      <c r="S952" s="7" t="s">
        <v>32</v>
      </c>
      <c r="T952" s="5"/>
    </row>
    <row r="953" customFormat="false" ht="15" hidden="false" customHeight="true" outlineLevel="0" collapsed="false">
      <c r="A953" s="4" t="n">
        <v>952</v>
      </c>
      <c r="B953" s="6" t="s">
        <v>1787</v>
      </c>
      <c r="C953" s="6" t="s">
        <v>3015</v>
      </c>
      <c r="D953" s="6" t="s">
        <v>3016</v>
      </c>
      <c r="E953" s="7" t="s">
        <v>21</v>
      </c>
      <c r="F953" s="6" t="s">
        <v>3523</v>
      </c>
      <c r="G953" s="6" t="s">
        <v>1955</v>
      </c>
      <c r="H953" s="6" t="s">
        <v>3524</v>
      </c>
      <c r="I953" s="6" t="s">
        <v>2710</v>
      </c>
      <c r="J953" s="6" t="s">
        <v>150</v>
      </c>
      <c r="K953" s="5"/>
      <c r="L953" s="4" t="s">
        <v>27</v>
      </c>
      <c r="M953" s="8" t="s">
        <v>129</v>
      </c>
      <c r="N953" s="9" t="s">
        <v>3022</v>
      </c>
      <c r="O953" s="5"/>
      <c r="P953" s="5"/>
      <c r="Q953" s="6" t="s">
        <v>30</v>
      </c>
      <c r="R953" s="4" t="s">
        <v>31</v>
      </c>
      <c r="S953" s="7" t="s">
        <v>32</v>
      </c>
      <c r="T953" s="5"/>
    </row>
    <row r="954" customFormat="false" ht="15" hidden="false" customHeight="true" outlineLevel="0" collapsed="false">
      <c r="A954" s="4" t="n">
        <v>953</v>
      </c>
      <c r="B954" s="6" t="s">
        <v>1787</v>
      </c>
      <c r="C954" s="6" t="s">
        <v>3015</v>
      </c>
      <c r="D954" s="6" t="s">
        <v>3016</v>
      </c>
      <c r="E954" s="7" t="s">
        <v>21</v>
      </c>
      <c r="F954" s="6" t="s">
        <v>3525</v>
      </c>
      <c r="G954" s="6" t="s">
        <v>3526</v>
      </c>
      <c r="H954" s="6" t="s">
        <v>3527</v>
      </c>
      <c r="I954" s="6" t="s">
        <v>3020</v>
      </c>
      <c r="J954" s="6" t="s">
        <v>3019</v>
      </c>
      <c r="K954" s="5"/>
      <c r="L954" s="4" t="s">
        <v>44</v>
      </c>
      <c r="M954" s="8" t="s">
        <v>129</v>
      </c>
      <c r="N954" s="9" t="s">
        <v>3022</v>
      </c>
      <c r="O954" s="5"/>
      <c r="P954" s="5"/>
      <c r="Q954" s="6" t="s">
        <v>30</v>
      </c>
      <c r="R954" s="4" t="s">
        <v>31</v>
      </c>
      <c r="S954" s="7" t="s">
        <v>32</v>
      </c>
      <c r="T954" s="5"/>
    </row>
    <row r="955" customFormat="false" ht="15" hidden="false" customHeight="true" outlineLevel="0" collapsed="false">
      <c r="A955" s="4" t="n">
        <v>954</v>
      </c>
      <c r="B955" s="6" t="s">
        <v>1787</v>
      </c>
      <c r="C955" s="6" t="s">
        <v>3015</v>
      </c>
      <c r="D955" s="6" t="s">
        <v>3016</v>
      </c>
      <c r="E955" s="7" t="s">
        <v>21</v>
      </c>
      <c r="F955" s="6" t="s">
        <v>3528</v>
      </c>
      <c r="G955" s="6" t="s">
        <v>3526</v>
      </c>
      <c r="H955" s="6" t="s">
        <v>3018</v>
      </c>
      <c r="I955" s="6" t="s">
        <v>3021</v>
      </c>
      <c r="J955" s="6" t="s">
        <v>3019</v>
      </c>
      <c r="K955" s="5"/>
      <c r="L955" s="4" t="s">
        <v>51</v>
      </c>
      <c r="M955" s="8" t="s">
        <v>129</v>
      </c>
      <c r="N955" s="9" t="s">
        <v>3022</v>
      </c>
      <c r="O955" s="5"/>
      <c r="P955" s="5"/>
      <c r="Q955" s="6" t="s">
        <v>30</v>
      </c>
      <c r="R955" s="4" t="s">
        <v>31</v>
      </c>
      <c r="S955" s="7" t="s">
        <v>32</v>
      </c>
      <c r="T955" s="5"/>
    </row>
    <row r="956" customFormat="false" ht="15" hidden="false" customHeight="true" outlineLevel="0" collapsed="false">
      <c r="A956" s="4" t="n">
        <v>955</v>
      </c>
      <c r="B956" s="6" t="s">
        <v>1787</v>
      </c>
      <c r="C956" s="6" t="s">
        <v>3015</v>
      </c>
      <c r="D956" s="6" t="s">
        <v>3016</v>
      </c>
      <c r="E956" s="7" t="s">
        <v>21</v>
      </c>
      <c r="F956" s="6" t="s">
        <v>3529</v>
      </c>
      <c r="G956" s="6" t="s">
        <v>2628</v>
      </c>
      <c r="H956" s="6" t="s">
        <v>3039</v>
      </c>
      <c r="I956" s="6" t="s">
        <v>3040</v>
      </c>
      <c r="J956" s="6" t="s">
        <v>3072</v>
      </c>
      <c r="K956" s="5"/>
      <c r="L956" s="4" t="s">
        <v>27</v>
      </c>
      <c r="M956" s="8" t="s">
        <v>129</v>
      </c>
      <c r="N956" s="9" t="s">
        <v>3022</v>
      </c>
      <c r="O956" s="5"/>
      <c r="P956" s="5"/>
      <c r="Q956" s="6" t="s">
        <v>30</v>
      </c>
      <c r="R956" s="4" t="s">
        <v>31</v>
      </c>
      <c r="S956" s="7" t="s">
        <v>32</v>
      </c>
      <c r="T956" s="5"/>
    </row>
    <row r="957" customFormat="false" ht="15" hidden="false" customHeight="true" outlineLevel="0" collapsed="false">
      <c r="A957" s="4" t="n">
        <v>956</v>
      </c>
      <c r="B957" s="6" t="s">
        <v>1787</v>
      </c>
      <c r="C957" s="6" t="s">
        <v>3015</v>
      </c>
      <c r="D957" s="6" t="s">
        <v>3016</v>
      </c>
      <c r="E957" s="7" t="s">
        <v>21</v>
      </c>
      <c r="F957" s="6" t="s">
        <v>3530</v>
      </c>
      <c r="G957" s="6" t="s">
        <v>3027</v>
      </c>
      <c r="H957" s="6" t="s">
        <v>3127</v>
      </c>
      <c r="I957" s="6" t="s">
        <v>3187</v>
      </c>
      <c r="J957" s="6" t="s">
        <v>3024</v>
      </c>
      <c r="K957" s="5"/>
      <c r="L957" s="4" t="s">
        <v>62</v>
      </c>
      <c r="M957" s="8" t="s">
        <v>129</v>
      </c>
      <c r="N957" s="9" t="s">
        <v>3022</v>
      </c>
      <c r="O957" s="5"/>
      <c r="P957" s="5"/>
      <c r="Q957" s="6" t="s">
        <v>30</v>
      </c>
      <c r="R957" s="4" t="s">
        <v>31</v>
      </c>
      <c r="S957" s="7" t="s">
        <v>32</v>
      </c>
      <c r="T957" s="5"/>
    </row>
    <row r="958" customFormat="false" ht="29.25" hidden="false" customHeight="true" outlineLevel="0" collapsed="false">
      <c r="A958" s="4" t="n">
        <v>957</v>
      </c>
      <c r="B958" s="6" t="s">
        <v>1787</v>
      </c>
      <c r="C958" s="6" t="s">
        <v>3015</v>
      </c>
      <c r="D958" s="6" t="s">
        <v>3016</v>
      </c>
      <c r="E958" s="7" t="s">
        <v>21</v>
      </c>
      <c r="F958" s="6" t="s">
        <v>3531</v>
      </c>
      <c r="G958" s="6" t="s">
        <v>2628</v>
      </c>
      <c r="H958" s="6" t="s">
        <v>3026</v>
      </c>
      <c r="I958" s="6" t="s">
        <v>3040</v>
      </c>
      <c r="J958" s="6" t="s">
        <v>3127</v>
      </c>
      <c r="K958" s="5"/>
      <c r="L958" s="4" t="s">
        <v>27</v>
      </c>
      <c r="M958" s="8" t="s">
        <v>28</v>
      </c>
      <c r="N958" s="9" t="s">
        <v>3022</v>
      </c>
      <c r="O958" s="5"/>
      <c r="P958" s="5"/>
      <c r="Q958" s="6" t="s">
        <v>30</v>
      </c>
      <c r="R958" s="4" t="s">
        <v>31</v>
      </c>
      <c r="S958" s="7" t="s">
        <v>32</v>
      </c>
      <c r="T958" s="5"/>
    </row>
    <row r="959" customFormat="false" ht="29.25" hidden="false" customHeight="true" outlineLevel="0" collapsed="false">
      <c r="A959" s="4" t="n">
        <v>958</v>
      </c>
      <c r="B959" s="6" t="s">
        <v>1787</v>
      </c>
      <c r="C959" s="6" t="s">
        <v>3015</v>
      </c>
      <c r="D959" s="6" t="s">
        <v>3016</v>
      </c>
      <c r="E959" s="7" t="s">
        <v>21</v>
      </c>
      <c r="F959" s="6" t="s">
        <v>3532</v>
      </c>
      <c r="G959" s="6" t="s">
        <v>3281</v>
      </c>
      <c r="H959" s="6" t="s">
        <v>3533</v>
      </c>
      <c r="I959" s="6" t="s">
        <v>3282</v>
      </c>
      <c r="J959" s="6" t="s">
        <v>3284</v>
      </c>
      <c r="K959" s="5"/>
      <c r="L959" s="4" t="s">
        <v>62</v>
      </c>
      <c r="M959" s="8" t="s">
        <v>79</v>
      </c>
      <c r="N959" s="9" t="s">
        <v>3046</v>
      </c>
      <c r="O959" s="5"/>
      <c r="P959" s="5"/>
      <c r="Q959" s="6" t="s">
        <v>30</v>
      </c>
      <c r="R959" s="4" t="s">
        <v>31</v>
      </c>
      <c r="S959" s="7" t="s">
        <v>32</v>
      </c>
      <c r="T959" s="5"/>
    </row>
    <row r="960" customFormat="false" ht="43.5" hidden="false" customHeight="true" outlineLevel="0" collapsed="false">
      <c r="A960" s="4" t="n">
        <v>959</v>
      </c>
      <c r="B960" s="6" t="s">
        <v>1787</v>
      </c>
      <c r="C960" s="6" t="s">
        <v>3015</v>
      </c>
      <c r="D960" s="6" t="s">
        <v>3016</v>
      </c>
      <c r="E960" s="7" t="s">
        <v>21</v>
      </c>
      <c r="F960" s="6" t="s">
        <v>3534</v>
      </c>
      <c r="G960" s="6" t="s">
        <v>2628</v>
      </c>
      <c r="H960" s="6" t="s">
        <v>3026</v>
      </c>
      <c r="I960" s="6" t="s">
        <v>3040</v>
      </c>
      <c r="J960" s="6" t="s">
        <v>2629</v>
      </c>
      <c r="K960" s="5"/>
      <c r="L960" s="4" t="s">
        <v>44</v>
      </c>
      <c r="M960" s="8" t="s">
        <v>28</v>
      </c>
      <c r="N960" s="9" t="s">
        <v>3022</v>
      </c>
      <c r="O960" s="5"/>
      <c r="P960" s="5"/>
      <c r="Q960" s="6" t="s">
        <v>30</v>
      </c>
      <c r="R960" s="4" t="s">
        <v>31</v>
      </c>
      <c r="S960" s="7" t="s">
        <v>32</v>
      </c>
      <c r="T960" s="5"/>
    </row>
    <row r="961" customFormat="false" ht="43.5" hidden="false" customHeight="true" outlineLevel="0" collapsed="false">
      <c r="A961" s="4" t="n">
        <v>960</v>
      </c>
      <c r="B961" s="6" t="s">
        <v>1787</v>
      </c>
      <c r="C961" s="6" t="s">
        <v>3015</v>
      </c>
      <c r="D961" s="6" t="s">
        <v>3016</v>
      </c>
      <c r="E961" s="7" t="s">
        <v>21</v>
      </c>
      <c r="F961" s="6" t="s">
        <v>3535</v>
      </c>
      <c r="G961" s="6" t="s">
        <v>3187</v>
      </c>
      <c r="H961" s="6" t="s">
        <v>3027</v>
      </c>
      <c r="I961" s="6" t="s">
        <v>3127</v>
      </c>
      <c r="J961" s="6" t="s">
        <v>3024</v>
      </c>
      <c r="K961" s="5"/>
      <c r="L961" s="4" t="s">
        <v>51</v>
      </c>
      <c r="M961" s="8" t="s">
        <v>28</v>
      </c>
      <c r="N961" s="9" t="s">
        <v>3446</v>
      </c>
      <c r="O961" s="5"/>
      <c r="P961" s="5"/>
      <c r="Q961" s="6" t="s">
        <v>30</v>
      </c>
      <c r="R961" s="4" t="s">
        <v>31</v>
      </c>
      <c r="S961" s="7" t="s">
        <v>32</v>
      </c>
      <c r="T961" s="5"/>
    </row>
    <row r="962" customFormat="false" ht="29.25" hidden="false" customHeight="true" outlineLevel="0" collapsed="false">
      <c r="A962" s="4" t="n">
        <v>961</v>
      </c>
      <c r="B962" s="6" t="s">
        <v>1787</v>
      </c>
      <c r="C962" s="6" t="s">
        <v>3015</v>
      </c>
      <c r="D962" s="6" t="s">
        <v>3016</v>
      </c>
      <c r="E962" s="7" t="s">
        <v>21</v>
      </c>
      <c r="F962" s="6" t="s">
        <v>3536</v>
      </c>
      <c r="G962" s="6" t="s">
        <v>3537</v>
      </c>
      <c r="H962" s="6" t="s">
        <v>3538</v>
      </c>
      <c r="I962" s="6" t="s">
        <v>3539</v>
      </c>
      <c r="J962" s="6" t="s">
        <v>3540</v>
      </c>
      <c r="K962" s="5"/>
      <c r="L962" s="4" t="s">
        <v>62</v>
      </c>
      <c r="M962" s="8" t="s">
        <v>79</v>
      </c>
      <c r="N962" s="9" t="s">
        <v>3022</v>
      </c>
      <c r="O962" s="5"/>
      <c r="P962" s="5"/>
      <c r="Q962" s="6" t="s">
        <v>30</v>
      </c>
      <c r="R962" s="4" t="s">
        <v>31</v>
      </c>
      <c r="S962" s="7" t="s">
        <v>32</v>
      </c>
      <c r="T962" s="5"/>
    </row>
    <row r="963" customFormat="false" ht="43.5" hidden="false" customHeight="true" outlineLevel="0" collapsed="false">
      <c r="A963" s="4" t="n">
        <v>962</v>
      </c>
      <c r="B963" s="6" t="s">
        <v>1787</v>
      </c>
      <c r="C963" s="6" t="s">
        <v>3015</v>
      </c>
      <c r="D963" s="6" t="s">
        <v>3016</v>
      </c>
      <c r="E963" s="7" t="s">
        <v>21</v>
      </c>
      <c r="F963" s="6" t="s">
        <v>3541</v>
      </c>
      <c r="G963" s="6" t="s">
        <v>3039</v>
      </c>
      <c r="H963" s="6" t="s">
        <v>2628</v>
      </c>
      <c r="I963" s="6" t="s">
        <v>3040</v>
      </c>
      <c r="J963" s="6" t="s">
        <v>3072</v>
      </c>
      <c r="K963" s="5"/>
      <c r="L963" s="4" t="s">
        <v>51</v>
      </c>
      <c r="M963" s="8" t="s">
        <v>79</v>
      </c>
      <c r="N963" s="9" t="s">
        <v>3022</v>
      </c>
      <c r="O963" s="5"/>
      <c r="P963" s="5"/>
      <c r="Q963" s="6" t="s">
        <v>30</v>
      </c>
      <c r="R963" s="4" t="s">
        <v>31</v>
      </c>
      <c r="S963" s="7" t="s">
        <v>32</v>
      </c>
      <c r="T963" s="5"/>
    </row>
    <row r="964" customFormat="false" ht="29.25" hidden="false" customHeight="true" outlineLevel="0" collapsed="false">
      <c r="A964" s="4" t="n">
        <v>963</v>
      </c>
      <c r="B964" s="6" t="s">
        <v>1787</v>
      </c>
      <c r="C964" s="6" t="s">
        <v>3015</v>
      </c>
      <c r="D964" s="6" t="s">
        <v>3016</v>
      </c>
      <c r="E964" s="7" t="s">
        <v>21</v>
      </c>
      <c r="F964" s="6" t="s">
        <v>3542</v>
      </c>
      <c r="G964" s="6" t="s">
        <v>2628</v>
      </c>
      <c r="H964" s="6" t="s">
        <v>3039</v>
      </c>
      <c r="I964" s="6" t="s">
        <v>3040</v>
      </c>
      <c r="J964" s="6" t="s">
        <v>3072</v>
      </c>
      <c r="K964" s="5"/>
      <c r="L964" s="4" t="s">
        <v>44</v>
      </c>
      <c r="M964" s="8" t="s">
        <v>79</v>
      </c>
      <c r="N964" s="9" t="s">
        <v>3022</v>
      </c>
      <c r="O964" s="5"/>
      <c r="P964" s="5"/>
      <c r="Q964" s="6" t="s">
        <v>30</v>
      </c>
      <c r="R964" s="4" t="s">
        <v>31</v>
      </c>
      <c r="S964" s="7" t="s">
        <v>32</v>
      </c>
      <c r="T964" s="5"/>
    </row>
    <row r="965" customFormat="false" ht="15" hidden="false" customHeight="true" outlineLevel="0" collapsed="false">
      <c r="A965" s="4" t="n">
        <v>964</v>
      </c>
      <c r="B965" s="6" t="s">
        <v>1787</v>
      </c>
      <c r="C965" s="6" t="s">
        <v>3015</v>
      </c>
      <c r="D965" s="6" t="s">
        <v>3016</v>
      </c>
      <c r="E965" s="7" t="s">
        <v>21</v>
      </c>
      <c r="F965" s="6" t="s">
        <v>3543</v>
      </c>
      <c r="G965" s="6" t="s">
        <v>3544</v>
      </c>
      <c r="H965" s="6" t="s">
        <v>3545</v>
      </c>
      <c r="I965" s="6" t="s">
        <v>3546</v>
      </c>
      <c r="J965" s="6" t="s">
        <v>3547</v>
      </c>
      <c r="K965" s="5"/>
      <c r="L965" s="4" t="s">
        <v>27</v>
      </c>
      <c r="M965" s="8" t="s">
        <v>129</v>
      </c>
      <c r="N965" s="9" t="s">
        <v>3022</v>
      </c>
      <c r="O965" s="5"/>
      <c r="P965" s="5"/>
      <c r="Q965" s="6" t="s">
        <v>30</v>
      </c>
      <c r="R965" s="4" t="s">
        <v>31</v>
      </c>
      <c r="S965" s="7" t="s">
        <v>32</v>
      </c>
      <c r="T965" s="5"/>
    </row>
    <row r="966" customFormat="false" ht="15" hidden="false" customHeight="true" outlineLevel="0" collapsed="false">
      <c r="A966" s="4" t="n">
        <v>965</v>
      </c>
      <c r="B966" s="6" t="s">
        <v>1787</v>
      </c>
      <c r="C966" s="6" t="s">
        <v>3015</v>
      </c>
      <c r="D966" s="6" t="s">
        <v>3016</v>
      </c>
      <c r="E966" s="7" t="s">
        <v>21</v>
      </c>
      <c r="F966" s="6" t="s">
        <v>3548</v>
      </c>
      <c r="G966" s="6" t="s">
        <v>3370</v>
      </c>
      <c r="H966" s="6" t="s">
        <v>3549</v>
      </c>
      <c r="I966" s="6" t="s">
        <v>3550</v>
      </c>
      <c r="J966" s="6" t="s">
        <v>3372</v>
      </c>
      <c r="K966" s="5"/>
      <c r="L966" s="4" t="s">
        <v>62</v>
      </c>
      <c r="M966" s="8" t="s">
        <v>129</v>
      </c>
      <c r="N966" s="9" t="s">
        <v>3046</v>
      </c>
      <c r="O966" s="5"/>
      <c r="P966" s="5"/>
      <c r="Q966" s="6" t="s">
        <v>30</v>
      </c>
      <c r="R966" s="4" t="s">
        <v>31</v>
      </c>
      <c r="S966" s="7" t="s">
        <v>32</v>
      </c>
      <c r="T966" s="5"/>
    </row>
    <row r="967" customFormat="false" ht="15" hidden="false" customHeight="true" outlineLevel="0" collapsed="false">
      <c r="A967" s="4" t="n">
        <v>966</v>
      </c>
      <c r="B967" s="6" t="s">
        <v>1787</v>
      </c>
      <c r="C967" s="6" t="s">
        <v>3015</v>
      </c>
      <c r="D967" s="6" t="s">
        <v>3016</v>
      </c>
      <c r="E967" s="7" t="s">
        <v>21</v>
      </c>
      <c r="F967" s="6" t="s">
        <v>3551</v>
      </c>
      <c r="G967" s="6" t="s">
        <v>3370</v>
      </c>
      <c r="H967" s="6" t="s">
        <v>3550</v>
      </c>
      <c r="I967" s="6" t="s">
        <v>3372</v>
      </c>
      <c r="J967" s="6" t="s">
        <v>3373</v>
      </c>
      <c r="K967" s="5"/>
      <c r="L967" s="4" t="s">
        <v>44</v>
      </c>
      <c r="M967" s="8" t="s">
        <v>129</v>
      </c>
      <c r="N967" s="9" t="s">
        <v>3046</v>
      </c>
      <c r="O967" s="5"/>
      <c r="P967" s="5"/>
      <c r="Q967" s="6" t="s">
        <v>30</v>
      </c>
      <c r="R967" s="4" t="s">
        <v>31</v>
      </c>
      <c r="S967" s="7" t="s">
        <v>32</v>
      </c>
      <c r="T967" s="5"/>
    </row>
    <row r="968" customFormat="false" ht="15" hidden="false" customHeight="true" outlineLevel="0" collapsed="false">
      <c r="A968" s="4" t="n">
        <v>967</v>
      </c>
      <c r="B968" s="6" t="s">
        <v>1787</v>
      </c>
      <c r="C968" s="6" t="s">
        <v>3015</v>
      </c>
      <c r="D968" s="6" t="s">
        <v>3016</v>
      </c>
      <c r="E968" s="7" t="s">
        <v>21</v>
      </c>
      <c r="F968" s="6" t="s">
        <v>3552</v>
      </c>
      <c r="G968" s="6" t="s">
        <v>3553</v>
      </c>
      <c r="H968" s="6" t="s">
        <v>3554</v>
      </c>
      <c r="I968" s="6" t="s">
        <v>3443</v>
      </c>
      <c r="J968" s="6" t="s">
        <v>3444</v>
      </c>
      <c r="K968" s="5"/>
      <c r="L968" s="4" t="s">
        <v>51</v>
      </c>
      <c r="M968" s="8" t="s">
        <v>129</v>
      </c>
      <c r="N968" s="9" t="s">
        <v>3046</v>
      </c>
      <c r="O968" s="5"/>
      <c r="P968" s="5"/>
      <c r="Q968" s="6" t="s">
        <v>30</v>
      </c>
      <c r="R968" s="4" t="s">
        <v>31</v>
      </c>
      <c r="S968" s="7" t="s">
        <v>32</v>
      </c>
      <c r="T968" s="5"/>
    </row>
    <row r="969" customFormat="false" ht="15" hidden="false" customHeight="true" outlineLevel="0" collapsed="false">
      <c r="A969" s="4" t="n">
        <v>968</v>
      </c>
      <c r="B969" s="6" t="s">
        <v>1787</v>
      </c>
      <c r="C969" s="6" t="s">
        <v>3015</v>
      </c>
      <c r="D969" s="6" t="s">
        <v>3016</v>
      </c>
      <c r="E969" s="7" t="s">
        <v>21</v>
      </c>
      <c r="F969" s="6" t="s">
        <v>3555</v>
      </c>
      <c r="G969" s="6" t="s">
        <v>2848</v>
      </c>
      <c r="H969" s="6" t="s">
        <v>2849</v>
      </c>
      <c r="I969" s="6" t="s">
        <v>3556</v>
      </c>
      <c r="J969" s="6" t="s">
        <v>3319</v>
      </c>
      <c r="K969" s="5"/>
      <c r="L969" s="4" t="s">
        <v>44</v>
      </c>
      <c r="M969" s="8" t="s">
        <v>129</v>
      </c>
      <c r="N969" s="9" t="s">
        <v>3022</v>
      </c>
      <c r="O969" s="5"/>
      <c r="P969" s="5"/>
      <c r="Q969" s="6" t="s">
        <v>30</v>
      </c>
      <c r="R969" s="4" t="s">
        <v>31</v>
      </c>
      <c r="S969" s="7" t="s">
        <v>32</v>
      </c>
      <c r="T969" s="5"/>
    </row>
    <row r="970" customFormat="false" ht="15" hidden="false" customHeight="true" outlineLevel="0" collapsed="false">
      <c r="A970" s="4" t="n">
        <v>969</v>
      </c>
      <c r="B970" s="6" t="s">
        <v>1787</v>
      </c>
      <c r="C970" s="6" t="s">
        <v>3015</v>
      </c>
      <c r="D970" s="6" t="s">
        <v>3016</v>
      </c>
      <c r="E970" s="7" t="s">
        <v>21</v>
      </c>
      <c r="F970" s="6" t="s">
        <v>3557</v>
      </c>
      <c r="G970" s="5" t="s">
        <v>176</v>
      </c>
      <c r="H970" s="5" t="s">
        <v>1235</v>
      </c>
      <c r="I970" s="5" t="s">
        <v>1224</v>
      </c>
      <c r="J970" s="5" t="s">
        <v>164</v>
      </c>
      <c r="K970" s="5"/>
      <c r="L970" s="4" t="s">
        <v>27</v>
      </c>
      <c r="M970" s="8" t="s">
        <v>129</v>
      </c>
      <c r="N970" s="9" t="s">
        <v>3379</v>
      </c>
      <c r="O970" s="5"/>
      <c r="P970" s="5"/>
      <c r="Q970" s="6" t="s">
        <v>30</v>
      </c>
      <c r="R970" s="4" t="s">
        <v>31</v>
      </c>
      <c r="S970" s="7" t="s">
        <v>32</v>
      </c>
      <c r="T970" s="5"/>
    </row>
    <row r="971" customFormat="false" ht="15" hidden="false" customHeight="true" outlineLevel="0" collapsed="false">
      <c r="A971" s="4" t="n">
        <v>970</v>
      </c>
      <c r="B971" s="6" t="s">
        <v>1787</v>
      </c>
      <c r="C971" s="6" t="s">
        <v>3015</v>
      </c>
      <c r="D971" s="6" t="s">
        <v>3016</v>
      </c>
      <c r="E971" s="7" t="s">
        <v>21</v>
      </c>
      <c r="F971" s="6" t="s">
        <v>3558</v>
      </c>
      <c r="G971" s="6" t="s">
        <v>3559</v>
      </c>
      <c r="H971" s="6" t="s">
        <v>3560</v>
      </c>
      <c r="I971" s="6" t="s">
        <v>3561</v>
      </c>
      <c r="J971" s="6" t="s">
        <v>3562</v>
      </c>
      <c r="K971" s="5"/>
      <c r="L971" s="4" t="s">
        <v>44</v>
      </c>
      <c r="M971" s="8" t="s">
        <v>79</v>
      </c>
      <c r="N971" s="9" t="s">
        <v>3022</v>
      </c>
      <c r="O971" s="5"/>
      <c r="P971" s="5"/>
      <c r="Q971" s="6" t="s">
        <v>30</v>
      </c>
      <c r="R971" s="4" t="s">
        <v>31</v>
      </c>
      <c r="S971" s="7" t="s">
        <v>32</v>
      </c>
      <c r="T971" s="5"/>
    </row>
    <row r="972" customFormat="false" ht="15" hidden="false" customHeight="true" outlineLevel="0" collapsed="false">
      <c r="A972" s="4" t="n">
        <v>971</v>
      </c>
      <c r="B972" s="6" t="s">
        <v>1787</v>
      </c>
      <c r="C972" s="6" t="s">
        <v>3015</v>
      </c>
      <c r="D972" s="6" t="s">
        <v>3016</v>
      </c>
      <c r="E972" s="7" t="s">
        <v>21</v>
      </c>
      <c r="F972" s="6" t="s">
        <v>3563</v>
      </c>
      <c r="G972" s="6" t="s">
        <v>3040</v>
      </c>
      <c r="H972" s="6" t="s">
        <v>3027</v>
      </c>
      <c r="I972" s="6" t="s">
        <v>2629</v>
      </c>
      <c r="J972" s="6" t="s">
        <v>2628</v>
      </c>
      <c r="K972" s="5"/>
      <c r="L972" s="4" t="s">
        <v>44</v>
      </c>
      <c r="M972" s="8" t="s">
        <v>79</v>
      </c>
      <c r="N972" s="9" t="s">
        <v>3022</v>
      </c>
      <c r="O972" s="5"/>
      <c r="P972" s="5"/>
      <c r="Q972" s="6" t="s">
        <v>30</v>
      </c>
      <c r="R972" s="4" t="s">
        <v>31</v>
      </c>
      <c r="S972" s="7" t="s">
        <v>32</v>
      </c>
      <c r="T972" s="5"/>
    </row>
    <row r="973" customFormat="false" ht="15" hidden="false" customHeight="true" outlineLevel="0" collapsed="false">
      <c r="A973" s="4" t="n">
        <v>972</v>
      </c>
      <c r="B973" s="6" t="s">
        <v>1787</v>
      </c>
      <c r="C973" s="6" t="s">
        <v>3015</v>
      </c>
      <c r="D973" s="6" t="s">
        <v>3016</v>
      </c>
      <c r="E973" s="7" t="s">
        <v>21</v>
      </c>
      <c r="F973" s="6" t="s">
        <v>3564</v>
      </c>
      <c r="G973" s="6" t="s">
        <v>3025</v>
      </c>
      <c r="H973" s="6" t="s">
        <v>3027</v>
      </c>
      <c r="I973" s="6" t="s">
        <v>3354</v>
      </c>
      <c r="J973" s="6" t="s">
        <v>3024</v>
      </c>
      <c r="K973" s="5"/>
      <c r="L973" s="4" t="s">
        <v>51</v>
      </c>
      <c r="M973" s="8" t="s">
        <v>79</v>
      </c>
      <c r="N973" s="9" t="s">
        <v>3022</v>
      </c>
      <c r="O973" s="5"/>
      <c r="P973" s="5"/>
      <c r="Q973" s="6" t="s">
        <v>30</v>
      </c>
      <c r="R973" s="4" t="s">
        <v>31</v>
      </c>
      <c r="S973" s="7" t="s">
        <v>32</v>
      </c>
      <c r="T973" s="5"/>
    </row>
    <row r="974" customFormat="false" ht="15" hidden="false" customHeight="true" outlineLevel="0" collapsed="false">
      <c r="A974" s="4" t="n">
        <v>973</v>
      </c>
      <c r="B974" s="6" t="s">
        <v>1787</v>
      </c>
      <c r="C974" s="6" t="s">
        <v>3015</v>
      </c>
      <c r="D974" s="6" t="s">
        <v>3016</v>
      </c>
      <c r="E974" s="7" t="s">
        <v>21</v>
      </c>
      <c r="F974" s="6" t="s">
        <v>3565</v>
      </c>
      <c r="G974" s="6" t="s">
        <v>3134</v>
      </c>
      <c r="H974" s="6" t="s">
        <v>3361</v>
      </c>
      <c r="I974" s="6" t="s">
        <v>3566</v>
      </c>
      <c r="J974" s="6" t="s">
        <v>150</v>
      </c>
      <c r="K974" s="5"/>
      <c r="L974" s="4" t="s">
        <v>27</v>
      </c>
      <c r="M974" s="8" t="s">
        <v>79</v>
      </c>
      <c r="N974" s="9" t="s">
        <v>3046</v>
      </c>
      <c r="O974" s="5"/>
      <c r="P974" s="5"/>
      <c r="Q974" s="6" t="s">
        <v>30</v>
      </c>
      <c r="R974" s="4" t="s">
        <v>31</v>
      </c>
      <c r="S974" s="7" t="s">
        <v>32</v>
      </c>
      <c r="T974" s="5"/>
    </row>
    <row r="975" customFormat="false" ht="29.25" hidden="false" customHeight="true" outlineLevel="0" collapsed="false">
      <c r="A975" s="4" t="n">
        <v>974</v>
      </c>
      <c r="B975" s="6" t="s">
        <v>1787</v>
      </c>
      <c r="C975" s="6" t="s">
        <v>3015</v>
      </c>
      <c r="D975" s="6" t="s">
        <v>3016</v>
      </c>
      <c r="E975" s="7" t="s">
        <v>21</v>
      </c>
      <c r="F975" s="6" t="s">
        <v>3567</v>
      </c>
      <c r="G975" s="6" t="s">
        <v>3024</v>
      </c>
      <c r="H975" s="6" t="s">
        <v>2628</v>
      </c>
      <c r="I975" s="6" t="s">
        <v>3039</v>
      </c>
      <c r="J975" s="6" t="s">
        <v>3568</v>
      </c>
      <c r="K975" s="5"/>
      <c r="L975" s="4" t="s">
        <v>27</v>
      </c>
      <c r="M975" s="8" t="s">
        <v>79</v>
      </c>
      <c r="N975" s="9" t="s">
        <v>3022</v>
      </c>
      <c r="O975" s="5"/>
      <c r="P975" s="5"/>
      <c r="Q975" s="6" t="s">
        <v>30</v>
      </c>
      <c r="R975" s="4" t="s">
        <v>31</v>
      </c>
      <c r="S975" s="7" t="s">
        <v>32</v>
      </c>
      <c r="T975" s="5"/>
    </row>
    <row r="976" customFormat="false" ht="15" hidden="false" customHeight="true" outlineLevel="0" collapsed="false">
      <c r="A976" s="4" t="n">
        <v>975</v>
      </c>
      <c r="B976" s="6" t="s">
        <v>1787</v>
      </c>
      <c r="C976" s="6" t="s">
        <v>3015</v>
      </c>
      <c r="D976" s="6" t="s">
        <v>3016</v>
      </c>
      <c r="E976" s="7" t="s">
        <v>21</v>
      </c>
      <c r="F976" s="6" t="s">
        <v>3569</v>
      </c>
      <c r="G976" s="6" t="s">
        <v>3570</v>
      </c>
      <c r="H976" s="5" t="s">
        <v>3571</v>
      </c>
      <c r="I976" s="6" t="s">
        <v>3127</v>
      </c>
      <c r="J976" s="6" t="s">
        <v>150</v>
      </c>
      <c r="K976" s="5"/>
      <c r="L976" s="4" t="s">
        <v>51</v>
      </c>
      <c r="M976" s="8" t="s">
        <v>129</v>
      </c>
      <c r="N976" s="9" t="s">
        <v>3022</v>
      </c>
      <c r="O976" s="5"/>
      <c r="P976" s="5"/>
      <c r="Q976" s="6" t="s">
        <v>30</v>
      </c>
      <c r="R976" s="4" t="s">
        <v>31</v>
      </c>
      <c r="S976" s="7" t="s">
        <v>32</v>
      </c>
      <c r="T976" s="5"/>
    </row>
    <row r="977" customFormat="false" ht="57.75" hidden="false" customHeight="true" outlineLevel="0" collapsed="false">
      <c r="A977" s="4" t="n">
        <v>976</v>
      </c>
      <c r="B977" s="6" t="s">
        <v>1787</v>
      </c>
      <c r="C977" s="6" t="s">
        <v>3572</v>
      </c>
      <c r="D977" s="6" t="s">
        <v>3573</v>
      </c>
      <c r="E977" s="7" t="s">
        <v>21</v>
      </c>
      <c r="F977" s="6" t="s">
        <v>3574</v>
      </c>
      <c r="G977" s="6" t="s">
        <v>3575</v>
      </c>
      <c r="H977" s="6" t="s">
        <v>3576</v>
      </c>
      <c r="I977" s="6" t="s">
        <v>3577</v>
      </c>
      <c r="J977" s="6" t="s">
        <v>3578</v>
      </c>
      <c r="K977" s="5"/>
      <c r="L977" s="4" t="s">
        <v>44</v>
      </c>
      <c r="M977" s="8" t="s">
        <v>28</v>
      </c>
      <c r="N977" s="9" t="s">
        <v>3579</v>
      </c>
      <c r="O977" s="5"/>
      <c r="P977" s="5"/>
      <c r="Q977" s="6" t="s">
        <v>30</v>
      </c>
      <c r="R977" s="4" t="s">
        <v>31</v>
      </c>
      <c r="S977" s="7" t="s">
        <v>32</v>
      </c>
      <c r="T977" s="5"/>
    </row>
    <row r="978" customFormat="false" ht="57.75" hidden="false" customHeight="true" outlineLevel="0" collapsed="false">
      <c r="A978" s="4" t="n">
        <v>977</v>
      </c>
      <c r="B978" s="6" t="s">
        <v>1787</v>
      </c>
      <c r="C978" s="6" t="s">
        <v>3572</v>
      </c>
      <c r="D978" s="6" t="s">
        <v>3573</v>
      </c>
      <c r="E978" s="7" t="s">
        <v>21</v>
      </c>
      <c r="F978" s="6" t="s">
        <v>3580</v>
      </c>
      <c r="G978" s="6" t="s">
        <v>3581</v>
      </c>
      <c r="H978" s="6" t="s">
        <v>3582</v>
      </c>
      <c r="I978" s="6" t="s">
        <v>3583</v>
      </c>
      <c r="J978" s="6" t="s">
        <v>3584</v>
      </c>
      <c r="K978" s="5"/>
      <c r="L978" s="4" t="s">
        <v>44</v>
      </c>
      <c r="M978" s="8" t="s">
        <v>28</v>
      </c>
      <c r="N978" s="9" t="s">
        <v>3585</v>
      </c>
      <c r="O978" s="5"/>
      <c r="P978" s="5"/>
      <c r="Q978" s="6" t="s">
        <v>30</v>
      </c>
      <c r="R978" s="4" t="s">
        <v>31</v>
      </c>
      <c r="S978" s="7" t="s">
        <v>32</v>
      </c>
      <c r="T978" s="5"/>
    </row>
    <row r="979" customFormat="false" ht="29.25" hidden="false" customHeight="true" outlineLevel="0" collapsed="false">
      <c r="A979" s="4" t="n">
        <v>978</v>
      </c>
      <c r="B979" s="6" t="s">
        <v>1787</v>
      </c>
      <c r="C979" s="6" t="s">
        <v>3572</v>
      </c>
      <c r="D979" s="6" t="s">
        <v>3573</v>
      </c>
      <c r="E979" s="7" t="s">
        <v>21</v>
      </c>
      <c r="F979" s="6" t="s">
        <v>3586</v>
      </c>
      <c r="G979" s="6" t="s">
        <v>3587</v>
      </c>
      <c r="H979" s="6" t="s">
        <v>3588</v>
      </c>
      <c r="I979" s="6" t="s">
        <v>3589</v>
      </c>
      <c r="J979" s="6" t="s">
        <v>3590</v>
      </c>
      <c r="K979" s="5"/>
      <c r="L979" s="4" t="s">
        <v>51</v>
      </c>
      <c r="M979" s="8" t="s">
        <v>79</v>
      </c>
      <c r="N979" s="9" t="s">
        <v>3579</v>
      </c>
      <c r="O979" s="5"/>
      <c r="P979" s="5"/>
      <c r="Q979" s="6" t="s">
        <v>30</v>
      </c>
      <c r="R979" s="4" t="s">
        <v>31</v>
      </c>
      <c r="S979" s="7" t="s">
        <v>32</v>
      </c>
      <c r="T979" s="5"/>
    </row>
    <row r="980" customFormat="false" ht="43.5" hidden="false" customHeight="true" outlineLevel="0" collapsed="false">
      <c r="A980" s="4" t="n">
        <v>979</v>
      </c>
      <c r="B980" s="6" t="s">
        <v>1787</v>
      </c>
      <c r="C980" s="6" t="s">
        <v>3572</v>
      </c>
      <c r="D980" s="6" t="s">
        <v>3573</v>
      </c>
      <c r="E980" s="7" t="s">
        <v>21</v>
      </c>
      <c r="F980" s="6" t="s">
        <v>3591</v>
      </c>
      <c r="G980" s="6" t="s">
        <v>3592</v>
      </c>
      <c r="H980" s="6" t="s">
        <v>3593</v>
      </c>
      <c r="I980" s="6" t="s">
        <v>3594</v>
      </c>
      <c r="J980" s="6" t="s">
        <v>3595</v>
      </c>
      <c r="K980" s="5"/>
      <c r="L980" s="4" t="s">
        <v>51</v>
      </c>
      <c r="M980" s="8" t="s">
        <v>28</v>
      </c>
      <c r="N980" s="9" t="s">
        <v>3579</v>
      </c>
      <c r="O980" s="5"/>
      <c r="P980" s="5"/>
      <c r="Q980" s="6" t="s">
        <v>30</v>
      </c>
      <c r="R980" s="4" t="s">
        <v>31</v>
      </c>
      <c r="S980" s="7" t="s">
        <v>32</v>
      </c>
      <c r="T980" s="5"/>
    </row>
    <row r="981" customFormat="false" ht="15" hidden="false" customHeight="true" outlineLevel="0" collapsed="false">
      <c r="A981" s="4" t="n">
        <v>980</v>
      </c>
      <c r="B981" s="6" t="s">
        <v>1787</v>
      </c>
      <c r="C981" s="6" t="s">
        <v>3572</v>
      </c>
      <c r="D981" s="6" t="s">
        <v>3573</v>
      </c>
      <c r="E981" s="7" t="s">
        <v>21</v>
      </c>
      <c r="F981" s="6" t="s">
        <v>3596</v>
      </c>
      <c r="G981" s="6" t="s">
        <v>3597</v>
      </c>
      <c r="H981" s="6" t="s">
        <v>3598</v>
      </c>
      <c r="I981" s="6" t="s">
        <v>2434</v>
      </c>
      <c r="J981" s="6" t="s">
        <v>3599</v>
      </c>
      <c r="K981" s="5"/>
      <c r="L981" s="4" t="s">
        <v>51</v>
      </c>
      <c r="M981" s="8" t="s">
        <v>129</v>
      </c>
      <c r="N981" s="9" t="s">
        <v>3579</v>
      </c>
      <c r="O981" s="5"/>
      <c r="P981" s="5"/>
      <c r="Q981" s="6" t="s">
        <v>30</v>
      </c>
      <c r="R981" s="4" t="s">
        <v>31</v>
      </c>
      <c r="S981" s="7" t="s">
        <v>32</v>
      </c>
      <c r="T981" s="5"/>
    </row>
    <row r="982" customFormat="false" ht="29.25" hidden="false" customHeight="true" outlineLevel="0" collapsed="false">
      <c r="A982" s="4" t="n">
        <v>981</v>
      </c>
      <c r="B982" s="6" t="s">
        <v>1787</v>
      </c>
      <c r="C982" s="6" t="s">
        <v>3572</v>
      </c>
      <c r="D982" s="6" t="s">
        <v>3573</v>
      </c>
      <c r="E982" s="7" t="s">
        <v>21</v>
      </c>
      <c r="F982" s="6" t="s">
        <v>3600</v>
      </c>
      <c r="G982" s="6" t="s">
        <v>3597</v>
      </c>
      <c r="H982" s="6" t="s">
        <v>3598</v>
      </c>
      <c r="I982" s="6" t="s">
        <v>2434</v>
      </c>
      <c r="J982" s="6" t="s">
        <v>3599</v>
      </c>
      <c r="K982" s="5"/>
      <c r="L982" s="4" t="s">
        <v>62</v>
      </c>
      <c r="M982" s="8" t="s">
        <v>79</v>
      </c>
      <c r="N982" s="9" t="s">
        <v>3579</v>
      </c>
      <c r="O982" s="5"/>
      <c r="P982" s="5"/>
      <c r="Q982" s="6" t="s">
        <v>30</v>
      </c>
      <c r="R982" s="4" t="s">
        <v>31</v>
      </c>
      <c r="S982" s="7" t="s">
        <v>32</v>
      </c>
      <c r="T982" s="5"/>
    </row>
    <row r="983" customFormat="false" ht="29.25" hidden="false" customHeight="true" outlineLevel="0" collapsed="false">
      <c r="A983" s="4" t="n">
        <v>982</v>
      </c>
      <c r="B983" s="6" t="s">
        <v>1787</v>
      </c>
      <c r="C983" s="6" t="s">
        <v>3572</v>
      </c>
      <c r="D983" s="6" t="s">
        <v>3573</v>
      </c>
      <c r="E983" s="7" t="s">
        <v>21</v>
      </c>
      <c r="F983" s="6" t="s">
        <v>3601</v>
      </c>
      <c r="G983" s="6" t="s">
        <v>3602</v>
      </c>
      <c r="H983" s="6" t="s">
        <v>3603</v>
      </c>
      <c r="I983" s="6" t="s">
        <v>3604</v>
      </c>
      <c r="J983" s="6" t="s">
        <v>3605</v>
      </c>
      <c r="K983" s="5"/>
      <c r="L983" s="4" t="s">
        <v>27</v>
      </c>
      <c r="M983" s="8" t="s">
        <v>129</v>
      </c>
      <c r="N983" s="9" t="s">
        <v>3579</v>
      </c>
      <c r="O983" s="5"/>
      <c r="P983" s="5"/>
      <c r="Q983" s="6" t="s">
        <v>30</v>
      </c>
      <c r="R983" s="4" t="s">
        <v>31</v>
      </c>
      <c r="S983" s="7" t="s">
        <v>32</v>
      </c>
      <c r="T983" s="5"/>
    </row>
    <row r="984" customFormat="false" ht="43.5" hidden="false" customHeight="true" outlineLevel="0" collapsed="false">
      <c r="A984" s="4" t="n">
        <v>983</v>
      </c>
      <c r="B984" s="6" t="s">
        <v>1787</v>
      </c>
      <c r="C984" s="6" t="s">
        <v>3572</v>
      </c>
      <c r="D984" s="6" t="s">
        <v>3573</v>
      </c>
      <c r="E984" s="7" t="s">
        <v>21</v>
      </c>
      <c r="F984" s="6" t="s">
        <v>3606</v>
      </c>
      <c r="G984" s="6" t="s">
        <v>3607</v>
      </c>
      <c r="H984" s="6" t="s">
        <v>3608</v>
      </c>
      <c r="I984" s="6" t="s">
        <v>3609</v>
      </c>
      <c r="J984" s="6" t="s">
        <v>3610</v>
      </c>
      <c r="K984" s="5"/>
      <c r="L984" s="4" t="s">
        <v>27</v>
      </c>
      <c r="M984" s="8" t="s">
        <v>79</v>
      </c>
      <c r="N984" s="9" t="s">
        <v>3611</v>
      </c>
      <c r="O984" s="5"/>
      <c r="P984" s="5"/>
      <c r="Q984" s="6" t="s">
        <v>30</v>
      </c>
      <c r="R984" s="4" t="s">
        <v>31</v>
      </c>
      <c r="S984" s="7" t="s">
        <v>32</v>
      </c>
      <c r="T984" s="5"/>
    </row>
    <row r="985" customFormat="false" ht="15" hidden="false" customHeight="true" outlineLevel="0" collapsed="false">
      <c r="A985" s="4" t="n">
        <v>984</v>
      </c>
      <c r="B985" s="6" t="s">
        <v>1787</v>
      </c>
      <c r="C985" s="6" t="s">
        <v>3572</v>
      </c>
      <c r="D985" s="6" t="s">
        <v>3573</v>
      </c>
      <c r="E985" s="7" t="s">
        <v>21</v>
      </c>
      <c r="F985" s="6" t="s">
        <v>3612</v>
      </c>
      <c r="G985" s="5" t="s">
        <v>3613</v>
      </c>
      <c r="H985" s="5" t="s">
        <v>3614</v>
      </c>
      <c r="I985" s="5" t="s">
        <v>3615</v>
      </c>
      <c r="J985" s="5" t="s">
        <v>3616</v>
      </c>
      <c r="K985" s="5"/>
      <c r="L985" s="4" t="s">
        <v>44</v>
      </c>
      <c r="M985" s="8" t="s">
        <v>129</v>
      </c>
      <c r="N985" s="9" t="s">
        <v>3579</v>
      </c>
      <c r="O985" s="5"/>
      <c r="P985" s="5"/>
      <c r="Q985" s="6" t="s">
        <v>30</v>
      </c>
      <c r="R985" s="4" t="s">
        <v>31</v>
      </c>
      <c r="S985" s="7" t="s">
        <v>32</v>
      </c>
      <c r="T985" s="5"/>
    </row>
    <row r="986" customFormat="false" ht="15" hidden="false" customHeight="true" outlineLevel="0" collapsed="false">
      <c r="A986" s="4" t="n">
        <v>985</v>
      </c>
      <c r="B986" s="6" t="s">
        <v>1787</v>
      </c>
      <c r="C986" s="6" t="s">
        <v>3572</v>
      </c>
      <c r="D986" s="6" t="s">
        <v>3573</v>
      </c>
      <c r="E986" s="7" t="s">
        <v>21</v>
      </c>
      <c r="F986" s="6" t="s">
        <v>3617</v>
      </c>
      <c r="G986" s="6" t="s">
        <v>3618</v>
      </c>
      <c r="H986" s="6" t="s">
        <v>3619</v>
      </c>
      <c r="I986" s="6" t="s">
        <v>3620</v>
      </c>
      <c r="J986" s="6" t="s">
        <v>78</v>
      </c>
      <c r="K986" s="5"/>
      <c r="L986" s="4" t="s">
        <v>44</v>
      </c>
      <c r="M986" s="8" t="s">
        <v>129</v>
      </c>
      <c r="N986" s="9" t="s">
        <v>3579</v>
      </c>
      <c r="O986" s="5"/>
      <c r="P986" s="5"/>
      <c r="Q986" s="6" t="s">
        <v>30</v>
      </c>
      <c r="R986" s="4" t="s">
        <v>31</v>
      </c>
      <c r="S986" s="7" t="s">
        <v>32</v>
      </c>
      <c r="T986" s="5"/>
    </row>
    <row r="987" customFormat="false" ht="29.25" hidden="false" customHeight="true" outlineLevel="0" collapsed="false">
      <c r="A987" s="4" t="n">
        <v>986</v>
      </c>
      <c r="B987" s="6" t="s">
        <v>1787</v>
      </c>
      <c r="C987" s="6" t="s">
        <v>3572</v>
      </c>
      <c r="D987" s="6" t="s">
        <v>3573</v>
      </c>
      <c r="E987" s="7" t="s">
        <v>21</v>
      </c>
      <c r="F987" s="6" t="s">
        <v>3621</v>
      </c>
      <c r="G987" s="5" t="s">
        <v>3622</v>
      </c>
      <c r="H987" s="5" t="s">
        <v>3623</v>
      </c>
      <c r="I987" s="5" t="s">
        <v>3624</v>
      </c>
      <c r="J987" s="5" t="s">
        <v>3625</v>
      </c>
      <c r="K987" s="5"/>
      <c r="L987" s="4" t="s">
        <v>62</v>
      </c>
      <c r="M987" s="8" t="s">
        <v>79</v>
      </c>
      <c r="N987" s="9" t="s">
        <v>3579</v>
      </c>
      <c r="O987" s="5"/>
      <c r="P987" s="5"/>
      <c r="Q987" s="6" t="s">
        <v>30</v>
      </c>
      <c r="R987" s="4" t="s">
        <v>31</v>
      </c>
      <c r="S987" s="7" t="s">
        <v>32</v>
      </c>
      <c r="T987" s="5"/>
    </row>
    <row r="988" customFormat="false" ht="29.25" hidden="false" customHeight="true" outlineLevel="0" collapsed="false">
      <c r="A988" s="4" t="n">
        <v>987</v>
      </c>
      <c r="B988" s="6" t="s">
        <v>1787</v>
      </c>
      <c r="C988" s="6" t="s">
        <v>3572</v>
      </c>
      <c r="D988" s="6" t="s">
        <v>3573</v>
      </c>
      <c r="E988" s="7" t="s">
        <v>21</v>
      </c>
      <c r="F988" s="6" t="s">
        <v>3626</v>
      </c>
      <c r="G988" s="6" t="s">
        <v>3627</v>
      </c>
      <c r="H988" s="6" t="s">
        <v>3628</v>
      </c>
      <c r="I988" s="6" t="s">
        <v>3629</v>
      </c>
      <c r="J988" s="6" t="s">
        <v>150</v>
      </c>
      <c r="K988" s="5"/>
      <c r="L988" s="4" t="s">
        <v>62</v>
      </c>
      <c r="M988" s="8" t="s">
        <v>79</v>
      </c>
      <c r="N988" s="9" t="s">
        <v>3579</v>
      </c>
      <c r="O988" s="5"/>
      <c r="P988" s="5"/>
      <c r="Q988" s="6" t="s">
        <v>30</v>
      </c>
      <c r="R988" s="4" t="s">
        <v>31</v>
      </c>
      <c r="S988" s="7" t="s">
        <v>32</v>
      </c>
      <c r="T988" s="5"/>
    </row>
    <row r="989" customFormat="false" ht="72" hidden="false" customHeight="true" outlineLevel="0" collapsed="false">
      <c r="A989" s="4" t="n">
        <v>988</v>
      </c>
      <c r="B989" s="6" t="s">
        <v>1787</v>
      </c>
      <c r="C989" s="6" t="s">
        <v>3572</v>
      </c>
      <c r="D989" s="6" t="s">
        <v>3573</v>
      </c>
      <c r="E989" s="7" t="s">
        <v>21</v>
      </c>
      <c r="F989" s="6" t="s">
        <v>3630</v>
      </c>
      <c r="G989" s="6" t="s">
        <v>3631</v>
      </c>
      <c r="H989" s="6" t="s">
        <v>3632</v>
      </c>
      <c r="I989" s="6" t="s">
        <v>3633</v>
      </c>
      <c r="J989" s="6" t="s">
        <v>3634</v>
      </c>
      <c r="K989" s="5"/>
      <c r="L989" s="4" t="s">
        <v>44</v>
      </c>
      <c r="M989" s="8" t="s">
        <v>28</v>
      </c>
      <c r="N989" s="9" t="s">
        <v>3635</v>
      </c>
      <c r="O989" s="5"/>
      <c r="P989" s="5"/>
      <c r="Q989" s="6" t="s">
        <v>30</v>
      </c>
      <c r="R989" s="4" t="s">
        <v>31</v>
      </c>
      <c r="S989" s="7" t="s">
        <v>32</v>
      </c>
      <c r="T989" s="5"/>
    </row>
    <row r="990" customFormat="false" ht="15" hidden="false" customHeight="true" outlineLevel="0" collapsed="false">
      <c r="A990" s="4" t="n">
        <v>989</v>
      </c>
      <c r="B990" s="6" t="s">
        <v>1787</v>
      </c>
      <c r="C990" s="6" t="s">
        <v>3572</v>
      </c>
      <c r="D990" s="6" t="s">
        <v>3573</v>
      </c>
      <c r="E990" s="7" t="s">
        <v>21</v>
      </c>
      <c r="F990" s="6" t="s">
        <v>3636</v>
      </c>
      <c r="G990" s="5" t="s">
        <v>3616</v>
      </c>
      <c r="H990" s="5" t="s">
        <v>3614</v>
      </c>
      <c r="I990" s="5" t="s">
        <v>3613</v>
      </c>
      <c r="J990" s="5" t="s">
        <v>3637</v>
      </c>
      <c r="K990" s="5"/>
      <c r="L990" s="4" t="s">
        <v>44</v>
      </c>
      <c r="M990" s="8" t="s">
        <v>129</v>
      </c>
      <c r="N990" s="9" t="s">
        <v>3579</v>
      </c>
      <c r="O990" s="5"/>
      <c r="P990" s="5"/>
      <c r="Q990" s="6" t="s">
        <v>30</v>
      </c>
      <c r="R990" s="4" t="s">
        <v>31</v>
      </c>
      <c r="S990" s="7" t="s">
        <v>32</v>
      </c>
      <c r="T990" s="5"/>
    </row>
    <row r="991" customFormat="false" ht="15" hidden="false" customHeight="true" outlineLevel="0" collapsed="false">
      <c r="A991" s="4" t="n">
        <v>990</v>
      </c>
      <c r="B991" s="6" t="s">
        <v>1787</v>
      </c>
      <c r="C991" s="6" t="s">
        <v>3572</v>
      </c>
      <c r="D991" s="6" t="s">
        <v>3573</v>
      </c>
      <c r="E991" s="7" t="s">
        <v>21</v>
      </c>
      <c r="F991" s="5" t="s">
        <v>3638</v>
      </c>
      <c r="G991" s="6" t="s">
        <v>3639</v>
      </c>
      <c r="H991" s="6" t="s">
        <v>3587</v>
      </c>
      <c r="I991" s="6" t="s">
        <v>3640</v>
      </c>
      <c r="J991" s="6" t="s">
        <v>3589</v>
      </c>
      <c r="K991" s="5"/>
      <c r="L991" s="4" t="s">
        <v>51</v>
      </c>
      <c r="M991" s="8" t="s">
        <v>129</v>
      </c>
      <c r="N991" s="9" t="s">
        <v>3579</v>
      </c>
      <c r="O991" s="5"/>
      <c r="P991" s="5"/>
      <c r="Q991" s="6" t="s">
        <v>30</v>
      </c>
      <c r="R991" s="4" t="s">
        <v>31</v>
      </c>
      <c r="S991" s="7" t="s">
        <v>32</v>
      </c>
      <c r="T991" s="5"/>
    </row>
    <row r="992" customFormat="false" ht="29.25" hidden="false" customHeight="true" outlineLevel="0" collapsed="false">
      <c r="A992" s="4" t="n">
        <v>991</v>
      </c>
      <c r="B992" s="6" t="s">
        <v>1787</v>
      </c>
      <c r="C992" s="6" t="s">
        <v>3572</v>
      </c>
      <c r="D992" s="6" t="s">
        <v>3573</v>
      </c>
      <c r="E992" s="7" t="s">
        <v>21</v>
      </c>
      <c r="F992" s="6" t="s">
        <v>3641</v>
      </c>
      <c r="G992" s="5" t="s">
        <v>2672</v>
      </c>
      <c r="H992" s="5" t="s">
        <v>3642</v>
      </c>
      <c r="I992" s="5" t="s">
        <v>3643</v>
      </c>
      <c r="J992" s="5" t="s">
        <v>3644</v>
      </c>
      <c r="K992" s="5"/>
      <c r="L992" s="4" t="s">
        <v>51</v>
      </c>
      <c r="M992" s="8" t="s">
        <v>79</v>
      </c>
      <c r="N992" s="9" t="s">
        <v>3579</v>
      </c>
      <c r="O992" s="5"/>
      <c r="P992" s="5"/>
      <c r="Q992" s="6" t="s">
        <v>30</v>
      </c>
      <c r="R992" s="4" t="s">
        <v>31</v>
      </c>
      <c r="S992" s="7" t="s">
        <v>32</v>
      </c>
      <c r="T992" s="5"/>
    </row>
    <row r="993" customFormat="false" ht="29.25" hidden="false" customHeight="true" outlineLevel="0" collapsed="false">
      <c r="A993" s="4" t="n">
        <v>992</v>
      </c>
      <c r="B993" s="6" t="s">
        <v>1787</v>
      </c>
      <c r="C993" s="6" t="s">
        <v>3572</v>
      </c>
      <c r="D993" s="6" t="s">
        <v>3573</v>
      </c>
      <c r="E993" s="7" t="s">
        <v>21</v>
      </c>
      <c r="F993" s="6" t="s">
        <v>3645</v>
      </c>
      <c r="G993" s="6" t="s">
        <v>3646</v>
      </c>
      <c r="H993" s="6" t="s">
        <v>3647</v>
      </c>
      <c r="I993" s="5" t="s">
        <v>3648</v>
      </c>
      <c r="J993" s="6" t="s">
        <v>78</v>
      </c>
      <c r="K993" s="5"/>
      <c r="L993" s="4" t="s">
        <v>51</v>
      </c>
      <c r="M993" s="8" t="s">
        <v>28</v>
      </c>
      <c r="N993" s="9" t="s">
        <v>3579</v>
      </c>
      <c r="O993" s="5"/>
      <c r="P993" s="5"/>
      <c r="Q993" s="6" t="s">
        <v>30</v>
      </c>
      <c r="R993" s="4" t="s">
        <v>31</v>
      </c>
      <c r="S993" s="7" t="s">
        <v>32</v>
      </c>
      <c r="T993" s="5"/>
    </row>
    <row r="994" customFormat="false" ht="72" hidden="false" customHeight="true" outlineLevel="0" collapsed="false">
      <c r="A994" s="4" t="n">
        <v>993</v>
      </c>
      <c r="B994" s="6" t="s">
        <v>1787</v>
      </c>
      <c r="C994" s="6" t="s">
        <v>3572</v>
      </c>
      <c r="D994" s="6" t="s">
        <v>3573</v>
      </c>
      <c r="E994" s="7" t="s">
        <v>21</v>
      </c>
      <c r="F994" s="6" t="s">
        <v>3649</v>
      </c>
      <c r="G994" s="5" t="s">
        <v>3650</v>
      </c>
      <c r="H994" s="5" t="s">
        <v>3651</v>
      </c>
      <c r="I994" s="5" t="s">
        <v>3613</v>
      </c>
      <c r="J994" s="5" t="s">
        <v>3614</v>
      </c>
      <c r="K994" s="5"/>
      <c r="L994" s="4" t="s">
        <v>62</v>
      </c>
      <c r="M994" s="8" t="s">
        <v>28</v>
      </c>
      <c r="N994" s="9" t="s">
        <v>3652</v>
      </c>
      <c r="O994" s="5"/>
      <c r="P994" s="5"/>
      <c r="Q994" s="6" t="s">
        <v>30</v>
      </c>
      <c r="R994" s="4" t="s">
        <v>31</v>
      </c>
      <c r="S994" s="7" t="s">
        <v>32</v>
      </c>
      <c r="T994" s="5"/>
    </row>
    <row r="995" customFormat="false" ht="43.5" hidden="false" customHeight="true" outlineLevel="0" collapsed="false">
      <c r="A995" s="4" t="n">
        <v>994</v>
      </c>
      <c r="B995" s="6" t="s">
        <v>1787</v>
      </c>
      <c r="C995" s="6" t="s">
        <v>3572</v>
      </c>
      <c r="D995" s="6" t="s">
        <v>3573</v>
      </c>
      <c r="E995" s="7" t="s">
        <v>21</v>
      </c>
      <c r="F995" s="6" t="s">
        <v>3653</v>
      </c>
      <c r="G995" s="6" t="s">
        <v>3598</v>
      </c>
      <c r="H995" s="6" t="s">
        <v>3654</v>
      </c>
      <c r="I995" s="6" t="s">
        <v>3655</v>
      </c>
      <c r="J995" s="6" t="s">
        <v>3656</v>
      </c>
      <c r="K995" s="5"/>
      <c r="L995" s="4" t="s">
        <v>44</v>
      </c>
      <c r="M995" s="8" t="s">
        <v>28</v>
      </c>
      <c r="N995" s="9" t="s">
        <v>3579</v>
      </c>
      <c r="O995" s="5"/>
      <c r="P995" s="5"/>
      <c r="Q995" s="6" t="s">
        <v>30</v>
      </c>
      <c r="R995" s="4" t="s">
        <v>31</v>
      </c>
      <c r="S995" s="7" t="s">
        <v>32</v>
      </c>
      <c r="T995" s="5"/>
    </row>
    <row r="996" customFormat="false" ht="15" hidden="false" customHeight="true" outlineLevel="0" collapsed="false">
      <c r="A996" s="4" t="n">
        <v>995</v>
      </c>
      <c r="B996" s="6" t="s">
        <v>1787</v>
      </c>
      <c r="C996" s="6" t="s">
        <v>3572</v>
      </c>
      <c r="D996" s="6" t="s">
        <v>3573</v>
      </c>
      <c r="E996" s="7" t="s">
        <v>21</v>
      </c>
      <c r="F996" s="6" t="s">
        <v>3657</v>
      </c>
      <c r="G996" s="6" t="s">
        <v>3658</v>
      </c>
      <c r="H996" s="6" t="s">
        <v>3659</v>
      </c>
      <c r="I996" s="6" t="s">
        <v>211</v>
      </c>
      <c r="J996" s="6" t="s">
        <v>210</v>
      </c>
      <c r="K996" s="5"/>
      <c r="L996" s="4" t="s">
        <v>51</v>
      </c>
      <c r="M996" s="8" t="s">
        <v>129</v>
      </c>
      <c r="N996" s="9" t="s">
        <v>3579</v>
      </c>
      <c r="O996" s="5"/>
      <c r="P996" s="5"/>
      <c r="Q996" s="6" t="s">
        <v>30</v>
      </c>
      <c r="R996" s="4" t="s">
        <v>31</v>
      </c>
      <c r="S996" s="7" t="s">
        <v>32</v>
      </c>
      <c r="T996" s="5"/>
    </row>
    <row r="997" customFormat="false" ht="29.25" hidden="false" customHeight="true" outlineLevel="0" collapsed="false">
      <c r="A997" s="4" t="n">
        <v>996</v>
      </c>
      <c r="B997" s="6" t="s">
        <v>1787</v>
      </c>
      <c r="C997" s="6" t="s">
        <v>3572</v>
      </c>
      <c r="D997" s="6" t="s">
        <v>3573</v>
      </c>
      <c r="E997" s="7" t="s">
        <v>21</v>
      </c>
      <c r="F997" s="6" t="s">
        <v>3660</v>
      </c>
      <c r="G997" s="6" t="s">
        <v>3658</v>
      </c>
      <c r="H997" s="6" t="s">
        <v>210</v>
      </c>
      <c r="I997" s="6" t="s">
        <v>211</v>
      </c>
      <c r="J997" s="6" t="s">
        <v>3661</v>
      </c>
      <c r="K997" s="5"/>
      <c r="L997" s="4" t="s">
        <v>27</v>
      </c>
      <c r="M997" s="8" t="s">
        <v>79</v>
      </c>
      <c r="N997" s="9" t="s">
        <v>3635</v>
      </c>
      <c r="O997" s="5"/>
      <c r="P997" s="5"/>
      <c r="Q997" s="6" t="s">
        <v>30</v>
      </c>
      <c r="R997" s="4" t="s">
        <v>31</v>
      </c>
      <c r="S997" s="7" t="s">
        <v>32</v>
      </c>
      <c r="T997" s="5"/>
    </row>
    <row r="998" customFormat="false" ht="29.25" hidden="false" customHeight="true" outlineLevel="0" collapsed="false">
      <c r="A998" s="4" t="n">
        <v>997</v>
      </c>
      <c r="B998" s="6" t="s">
        <v>1787</v>
      </c>
      <c r="C998" s="6" t="s">
        <v>3572</v>
      </c>
      <c r="D998" s="6" t="s">
        <v>3573</v>
      </c>
      <c r="E998" s="7" t="s">
        <v>21</v>
      </c>
      <c r="F998" s="6" t="s">
        <v>3662</v>
      </c>
      <c r="G998" s="6" t="s">
        <v>3663</v>
      </c>
      <c r="H998" s="6" t="s">
        <v>3664</v>
      </c>
      <c r="I998" s="6" t="s">
        <v>3665</v>
      </c>
      <c r="J998" s="6" t="s">
        <v>3666</v>
      </c>
      <c r="K998" s="5"/>
      <c r="L998" s="4" t="s">
        <v>62</v>
      </c>
      <c r="M998" s="8" t="s">
        <v>79</v>
      </c>
      <c r="N998" s="9" t="s">
        <v>3579</v>
      </c>
      <c r="O998" s="5"/>
      <c r="P998" s="5"/>
      <c r="Q998" s="6" t="s">
        <v>30</v>
      </c>
      <c r="R998" s="4" t="s">
        <v>31</v>
      </c>
      <c r="S998" s="7" t="s">
        <v>32</v>
      </c>
      <c r="T998" s="5"/>
    </row>
    <row r="999" customFormat="false" ht="15" hidden="false" customHeight="true" outlineLevel="0" collapsed="false">
      <c r="A999" s="4" t="n">
        <v>998</v>
      </c>
      <c r="B999" s="6" t="s">
        <v>1787</v>
      </c>
      <c r="C999" s="6" t="s">
        <v>3572</v>
      </c>
      <c r="D999" s="6" t="s">
        <v>3573</v>
      </c>
      <c r="E999" s="7" t="s">
        <v>21</v>
      </c>
      <c r="F999" s="6" t="s">
        <v>3667</v>
      </c>
      <c r="G999" s="6" t="s">
        <v>3668</v>
      </c>
      <c r="H999" s="6" t="s">
        <v>3669</v>
      </c>
      <c r="I999" s="6" t="s">
        <v>3670</v>
      </c>
      <c r="J999" s="6" t="s">
        <v>3671</v>
      </c>
      <c r="K999" s="5"/>
      <c r="L999" s="4" t="s">
        <v>27</v>
      </c>
      <c r="M999" s="8" t="s">
        <v>129</v>
      </c>
      <c r="N999" s="9" t="s">
        <v>3579</v>
      </c>
      <c r="O999" s="5"/>
      <c r="P999" s="5"/>
      <c r="Q999" s="6" t="s">
        <v>30</v>
      </c>
      <c r="R999" s="4" t="s">
        <v>31</v>
      </c>
      <c r="S999" s="7" t="s">
        <v>32</v>
      </c>
      <c r="T999" s="5"/>
    </row>
    <row r="1000" customFormat="false" ht="29.25" hidden="false" customHeight="true" outlineLevel="0" collapsed="false">
      <c r="A1000" s="4" t="n">
        <v>999</v>
      </c>
      <c r="B1000" s="6" t="s">
        <v>1787</v>
      </c>
      <c r="C1000" s="6" t="s">
        <v>3572</v>
      </c>
      <c r="D1000" s="6" t="s">
        <v>3573</v>
      </c>
      <c r="E1000" s="7" t="s">
        <v>21</v>
      </c>
      <c r="F1000" s="6" t="s">
        <v>3672</v>
      </c>
      <c r="G1000" s="6" t="s">
        <v>209</v>
      </c>
      <c r="H1000" s="6" t="s">
        <v>3658</v>
      </c>
      <c r="I1000" s="6" t="s">
        <v>210</v>
      </c>
      <c r="J1000" s="6" t="s">
        <v>3659</v>
      </c>
      <c r="K1000" s="5"/>
      <c r="L1000" s="4" t="s">
        <v>62</v>
      </c>
      <c r="M1000" s="8" t="s">
        <v>79</v>
      </c>
      <c r="N1000" s="9" t="s">
        <v>3579</v>
      </c>
      <c r="O1000" s="5"/>
      <c r="P1000" s="5"/>
      <c r="Q1000" s="6" t="s">
        <v>30</v>
      </c>
      <c r="R1000" s="4" t="s">
        <v>31</v>
      </c>
      <c r="S1000" s="7" t="s">
        <v>32</v>
      </c>
      <c r="T1000" s="5"/>
    </row>
    <row r="1001" customFormat="false" ht="43.5" hidden="false" customHeight="true" outlineLevel="0" collapsed="false">
      <c r="A1001" s="4" t="n">
        <v>1000</v>
      </c>
      <c r="B1001" s="6" t="s">
        <v>1787</v>
      </c>
      <c r="C1001" s="6" t="s">
        <v>3572</v>
      </c>
      <c r="D1001" s="6" t="s">
        <v>3573</v>
      </c>
      <c r="E1001" s="7" t="s">
        <v>21</v>
      </c>
      <c r="F1001" s="6" t="s">
        <v>3673</v>
      </c>
      <c r="G1001" s="6" t="s">
        <v>3674</v>
      </c>
      <c r="H1001" s="6" t="s">
        <v>3675</v>
      </c>
      <c r="I1001" s="6" t="s">
        <v>3676</v>
      </c>
      <c r="J1001" s="6" t="s">
        <v>3677</v>
      </c>
      <c r="K1001" s="5"/>
      <c r="L1001" s="4" t="s">
        <v>62</v>
      </c>
      <c r="M1001" s="8" t="s">
        <v>79</v>
      </c>
      <c r="N1001" s="9" t="s">
        <v>3579</v>
      </c>
      <c r="O1001" s="5"/>
      <c r="P1001" s="5"/>
      <c r="Q1001" s="6" t="s">
        <v>30</v>
      </c>
      <c r="R1001" s="4" t="s">
        <v>31</v>
      </c>
      <c r="S1001" s="7" t="s">
        <v>32</v>
      </c>
      <c r="T1001" s="5"/>
    </row>
    <row r="1002" customFormat="false" ht="72" hidden="false" customHeight="true" outlineLevel="0" collapsed="false">
      <c r="A1002" s="4" t="n">
        <v>1001</v>
      </c>
      <c r="B1002" s="6" t="s">
        <v>1787</v>
      </c>
      <c r="C1002" s="6" t="s">
        <v>3572</v>
      </c>
      <c r="D1002" s="6" t="s">
        <v>3573</v>
      </c>
      <c r="E1002" s="7" t="s">
        <v>21</v>
      </c>
      <c r="F1002" s="6" t="s">
        <v>3678</v>
      </c>
      <c r="G1002" s="6" t="s">
        <v>3679</v>
      </c>
      <c r="H1002" s="6" t="s">
        <v>3680</v>
      </c>
      <c r="I1002" s="6" t="s">
        <v>3681</v>
      </c>
      <c r="J1002" s="6" t="s">
        <v>3682</v>
      </c>
      <c r="K1002" s="5"/>
      <c r="L1002" s="4" t="s">
        <v>62</v>
      </c>
      <c r="M1002" s="8" t="s">
        <v>28</v>
      </c>
      <c r="N1002" s="9" t="s">
        <v>3683</v>
      </c>
      <c r="O1002" s="5"/>
      <c r="P1002" s="5"/>
      <c r="Q1002" s="6" t="s">
        <v>30</v>
      </c>
      <c r="R1002" s="4" t="s">
        <v>31</v>
      </c>
      <c r="S1002" s="7" t="s">
        <v>32</v>
      </c>
      <c r="T1002" s="5"/>
    </row>
    <row r="1003" customFormat="false" ht="29.25" hidden="false" customHeight="true" outlineLevel="0" collapsed="false">
      <c r="A1003" s="4" t="n">
        <v>1002</v>
      </c>
      <c r="B1003" s="6" t="s">
        <v>1787</v>
      </c>
      <c r="C1003" s="6" t="s">
        <v>3572</v>
      </c>
      <c r="D1003" s="6" t="s">
        <v>3573</v>
      </c>
      <c r="E1003" s="7" t="s">
        <v>21</v>
      </c>
      <c r="F1003" s="6" t="s">
        <v>3684</v>
      </c>
      <c r="G1003" s="6" t="s">
        <v>3685</v>
      </c>
      <c r="H1003" s="6" t="s">
        <v>3686</v>
      </c>
      <c r="I1003" s="6" t="s">
        <v>3687</v>
      </c>
      <c r="J1003" s="6" t="s">
        <v>3688</v>
      </c>
      <c r="K1003" s="5"/>
      <c r="L1003" s="4" t="s">
        <v>44</v>
      </c>
      <c r="M1003" s="8" t="s">
        <v>79</v>
      </c>
      <c r="N1003" s="9" t="s">
        <v>3585</v>
      </c>
      <c r="O1003" s="5"/>
      <c r="P1003" s="5"/>
      <c r="Q1003" s="6" t="s">
        <v>30</v>
      </c>
      <c r="R1003" s="4" t="s">
        <v>31</v>
      </c>
      <c r="S1003" s="7" t="s">
        <v>32</v>
      </c>
      <c r="T1003" s="5"/>
    </row>
    <row r="1004" customFormat="false" ht="43.5" hidden="false" customHeight="true" outlineLevel="0" collapsed="false">
      <c r="A1004" s="4" t="n">
        <v>1003</v>
      </c>
      <c r="B1004" s="6" t="s">
        <v>1787</v>
      </c>
      <c r="C1004" s="6" t="s">
        <v>3572</v>
      </c>
      <c r="D1004" s="6" t="s">
        <v>3573</v>
      </c>
      <c r="E1004" s="7" t="s">
        <v>21</v>
      </c>
      <c r="F1004" s="6" t="s">
        <v>3689</v>
      </c>
      <c r="G1004" s="6" t="s">
        <v>2340</v>
      </c>
      <c r="H1004" s="6" t="s">
        <v>3690</v>
      </c>
      <c r="I1004" s="6" t="s">
        <v>2338</v>
      </c>
      <c r="J1004" s="6" t="s">
        <v>2167</v>
      </c>
      <c r="K1004" s="5"/>
      <c r="L1004" s="4" t="s">
        <v>27</v>
      </c>
      <c r="M1004" s="8" t="s">
        <v>79</v>
      </c>
      <c r="N1004" s="9" t="s">
        <v>3579</v>
      </c>
      <c r="O1004" s="5"/>
      <c r="P1004" s="5"/>
      <c r="Q1004" s="6" t="s">
        <v>30</v>
      </c>
      <c r="R1004" s="4" t="s">
        <v>31</v>
      </c>
      <c r="S1004" s="7" t="s">
        <v>32</v>
      </c>
      <c r="T1004" s="5"/>
    </row>
    <row r="1005" customFormat="false" ht="15" hidden="false" customHeight="true" outlineLevel="0" collapsed="false">
      <c r="A1005" s="4" t="n">
        <v>1004</v>
      </c>
      <c r="B1005" s="6" t="s">
        <v>1787</v>
      </c>
      <c r="C1005" s="6" t="s">
        <v>3572</v>
      </c>
      <c r="D1005" s="6" t="s">
        <v>3573</v>
      </c>
      <c r="E1005" s="7" t="s">
        <v>21</v>
      </c>
      <c r="F1005" s="6" t="s">
        <v>3691</v>
      </c>
      <c r="G1005" s="6" t="s">
        <v>3692</v>
      </c>
      <c r="H1005" s="6" t="s">
        <v>3693</v>
      </c>
      <c r="I1005" s="6" t="s">
        <v>3694</v>
      </c>
      <c r="J1005" s="6" t="s">
        <v>3695</v>
      </c>
      <c r="K1005" s="5"/>
      <c r="L1005" s="4" t="s">
        <v>44</v>
      </c>
      <c r="M1005" s="8" t="s">
        <v>129</v>
      </c>
      <c r="N1005" s="9" t="s">
        <v>3585</v>
      </c>
      <c r="O1005" s="5"/>
      <c r="P1005" s="5"/>
      <c r="Q1005" s="6" t="s">
        <v>30</v>
      </c>
      <c r="R1005" s="4" t="s">
        <v>31</v>
      </c>
      <c r="S1005" s="7" t="s">
        <v>32</v>
      </c>
      <c r="T1005" s="5"/>
    </row>
    <row r="1006" customFormat="false" ht="43.5" hidden="false" customHeight="true" outlineLevel="0" collapsed="false">
      <c r="A1006" s="4" t="n">
        <v>1005</v>
      </c>
      <c r="B1006" s="6" t="s">
        <v>1787</v>
      </c>
      <c r="C1006" s="6" t="s">
        <v>3572</v>
      </c>
      <c r="D1006" s="6" t="s">
        <v>3573</v>
      </c>
      <c r="E1006" s="7" t="s">
        <v>21</v>
      </c>
      <c r="F1006" s="6" t="s">
        <v>3696</v>
      </c>
      <c r="G1006" s="6" t="s">
        <v>209</v>
      </c>
      <c r="H1006" s="6" t="s">
        <v>3697</v>
      </c>
      <c r="I1006" s="6" t="s">
        <v>3698</v>
      </c>
      <c r="J1006" s="6" t="s">
        <v>210</v>
      </c>
      <c r="K1006" s="5"/>
      <c r="L1006" s="4" t="s">
        <v>44</v>
      </c>
      <c r="M1006" s="8" t="s">
        <v>28</v>
      </c>
      <c r="N1006" s="9" t="s">
        <v>3579</v>
      </c>
      <c r="O1006" s="5"/>
      <c r="P1006" s="5"/>
      <c r="Q1006" s="6" t="s">
        <v>30</v>
      </c>
      <c r="R1006" s="4" t="s">
        <v>31</v>
      </c>
      <c r="S1006" s="7" t="s">
        <v>32</v>
      </c>
      <c r="T1006" s="5"/>
    </row>
    <row r="1007" customFormat="false" ht="15" hidden="false" customHeight="true" outlineLevel="0" collapsed="false">
      <c r="A1007" s="4" t="n">
        <v>1006</v>
      </c>
      <c r="B1007" s="6" t="s">
        <v>1787</v>
      </c>
      <c r="C1007" s="6" t="s">
        <v>3572</v>
      </c>
      <c r="D1007" s="6" t="s">
        <v>3573</v>
      </c>
      <c r="E1007" s="7" t="s">
        <v>21</v>
      </c>
      <c r="F1007" s="6" t="s">
        <v>3699</v>
      </c>
      <c r="G1007" s="6" t="s">
        <v>211</v>
      </c>
      <c r="H1007" s="6" t="s">
        <v>209</v>
      </c>
      <c r="I1007" s="6" t="s">
        <v>2159</v>
      </c>
      <c r="J1007" s="6" t="s">
        <v>3700</v>
      </c>
      <c r="K1007" s="5"/>
      <c r="L1007" s="4" t="s">
        <v>51</v>
      </c>
      <c r="M1007" s="8" t="s">
        <v>129</v>
      </c>
      <c r="N1007" s="9" t="s">
        <v>3585</v>
      </c>
      <c r="O1007" s="5"/>
      <c r="P1007" s="5"/>
      <c r="Q1007" s="6" t="s">
        <v>30</v>
      </c>
      <c r="R1007" s="4" t="s">
        <v>31</v>
      </c>
      <c r="S1007" s="7" t="s">
        <v>32</v>
      </c>
      <c r="T1007" s="5"/>
    </row>
    <row r="1008" customFormat="false" ht="29.25" hidden="false" customHeight="true" outlineLevel="0" collapsed="false">
      <c r="A1008" s="4" t="n">
        <v>1007</v>
      </c>
      <c r="B1008" s="6" t="s">
        <v>1787</v>
      </c>
      <c r="C1008" s="6" t="s">
        <v>3572</v>
      </c>
      <c r="D1008" s="6" t="s">
        <v>3573</v>
      </c>
      <c r="E1008" s="7" t="s">
        <v>21</v>
      </c>
      <c r="F1008" s="6" t="s">
        <v>3701</v>
      </c>
      <c r="G1008" s="6" t="s">
        <v>3702</v>
      </c>
      <c r="H1008" s="6" t="s">
        <v>712</v>
      </c>
      <c r="I1008" s="6" t="s">
        <v>3658</v>
      </c>
      <c r="J1008" s="6" t="s">
        <v>3703</v>
      </c>
      <c r="K1008" s="5"/>
      <c r="L1008" s="4" t="s">
        <v>62</v>
      </c>
      <c r="M1008" s="8" t="s">
        <v>79</v>
      </c>
      <c r="N1008" s="9" t="s">
        <v>3579</v>
      </c>
      <c r="O1008" s="5"/>
      <c r="P1008" s="5"/>
      <c r="Q1008" s="6" t="s">
        <v>30</v>
      </c>
      <c r="R1008" s="4" t="s">
        <v>31</v>
      </c>
      <c r="S1008" s="7" t="s">
        <v>32</v>
      </c>
      <c r="T1008" s="5"/>
    </row>
    <row r="1009" customFormat="false" ht="43.5" hidden="false" customHeight="true" outlineLevel="0" collapsed="false">
      <c r="A1009" s="4" t="n">
        <v>1008</v>
      </c>
      <c r="B1009" s="6" t="s">
        <v>1787</v>
      </c>
      <c r="C1009" s="6" t="s">
        <v>3572</v>
      </c>
      <c r="D1009" s="6" t="s">
        <v>3573</v>
      </c>
      <c r="E1009" s="7" t="s">
        <v>21</v>
      </c>
      <c r="F1009" s="6" t="s">
        <v>3704</v>
      </c>
      <c r="G1009" s="6" t="s">
        <v>3705</v>
      </c>
      <c r="H1009" s="6" t="s">
        <v>3659</v>
      </c>
      <c r="I1009" s="6" t="s">
        <v>3658</v>
      </c>
      <c r="J1009" s="6" t="s">
        <v>711</v>
      </c>
      <c r="K1009" s="5"/>
      <c r="L1009" s="4" t="s">
        <v>51</v>
      </c>
      <c r="M1009" s="8" t="s">
        <v>28</v>
      </c>
      <c r="N1009" s="9" t="s">
        <v>3585</v>
      </c>
      <c r="O1009" s="5"/>
      <c r="P1009" s="5"/>
      <c r="Q1009" s="6" t="s">
        <v>30</v>
      </c>
      <c r="R1009" s="4" t="s">
        <v>31</v>
      </c>
      <c r="S1009" s="7" t="s">
        <v>32</v>
      </c>
      <c r="T1009" s="5"/>
    </row>
    <row r="1010" customFormat="false" ht="29.25" hidden="false" customHeight="true" outlineLevel="0" collapsed="false">
      <c r="A1010" s="4" t="n">
        <v>1009</v>
      </c>
      <c r="B1010" s="6" t="s">
        <v>1787</v>
      </c>
      <c r="C1010" s="6" t="s">
        <v>3572</v>
      </c>
      <c r="D1010" s="6" t="s">
        <v>3573</v>
      </c>
      <c r="E1010" s="7" t="s">
        <v>21</v>
      </c>
      <c r="F1010" s="6" t="s">
        <v>3706</v>
      </c>
      <c r="G1010" s="6" t="s">
        <v>3707</v>
      </c>
      <c r="H1010" s="6" t="s">
        <v>3708</v>
      </c>
      <c r="I1010" s="6" t="s">
        <v>2048</v>
      </c>
      <c r="J1010" s="6" t="s">
        <v>3709</v>
      </c>
      <c r="K1010" s="5"/>
      <c r="L1010" s="4" t="s">
        <v>62</v>
      </c>
      <c r="M1010" s="8" t="s">
        <v>79</v>
      </c>
      <c r="N1010" s="9" t="s">
        <v>3710</v>
      </c>
      <c r="O1010" s="5"/>
      <c r="P1010" s="5"/>
      <c r="Q1010" s="6" t="s">
        <v>30</v>
      </c>
      <c r="R1010" s="4" t="s">
        <v>31</v>
      </c>
      <c r="S1010" s="7" t="s">
        <v>32</v>
      </c>
      <c r="T1010" s="5"/>
    </row>
    <row r="1011" customFormat="false" ht="29.25" hidden="false" customHeight="true" outlineLevel="0" collapsed="false">
      <c r="A1011" s="4" t="n">
        <v>1010</v>
      </c>
      <c r="B1011" s="6" t="s">
        <v>1787</v>
      </c>
      <c r="C1011" s="6" t="s">
        <v>3572</v>
      </c>
      <c r="D1011" s="6" t="s">
        <v>3573</v>
      </c>
      <c r="E1011" s="7" t="s">
        <v>21</v>
      </c>
      <c r="F1011" s="6" t="s">
        <v>3711</v>
      </c>
      <c r="G1011" s="6" t="s">
        <v>3712</v>
      </c>
      <c r="H1011" s="6" t="s">
        <v>3713</v>
      </c>
      <c r="I1011" s="6" t="s">
        <v>3714</v>
      </c>
      <c r="J1011" s="6" t="s">
        <v>3715</v>
      </c>
      <c r="K1011" s="5"/>
      <c r="L1011" s="4" t="s">
        <v>27</v>
      </c>
      <c r="M1011" s="8" t="s">
        <v>28</v>
      </c>
      <c r="N1011" s="9" t="s">
        <v>3716</v>
      </c>
      <c r="O1011" s="5"/>
      <c r="P1011" s="5"/>
      <c r="Q1011" s="6" t="s">
        <v>30</v>
      </c>
      <c r="R1011" s="4" t="s">
        <v>31</v>
      </c>
      <c r="S1011" s="7" t="s">
        <v>32</v>
      </c>
      <c r="T1011" s="5"/>
    </row>
    <row r="1012" customFormat="false" ht="43.5" hidden="false" customHeight="true" outlineLevel="0" collapsed="false">
      <c r="A1012" s="4" t="n">
        <v>1011</v>
      </c>
      <c r="B1012" s="6" t="s">
        <v>1787</v>
      </c>
      <c r="C1012" s="6" t="s">
        <v>3572</v>
      </c>
      <c r="D1012" s="6" t="s">
        <v>3573</v>
      </c>
      <c r="E1012" s="7" t="s">
        <v>21</v>
      </c>
      <c r="F1012" s="6" t="s">
        <v>3717</v>
      </c>
      <c r="G1012" s="6" t="s">
        <v>3712</v>
      </c>
      <c r="H1012" s="6" t="s">
        <v>3718</v>
      </c>
      <c r="I1012" s="6" t="s">
        <v>3719</v>
      </c>
      <c r="J1012" s="6" t="s">
        <v>3720</v>
      </c>
      <c r="K1012" s="5"/>
      <c r="L1012" s="4" t="s">
        <v>44</v>
      </c>
      <c r="M1012" s="8" t="s">
        <v>28</v>
      </c>
      <c r="N1012" s="9" t="s">
        <v>3716</v>
      </c>
      <c r="O1012" s="5"/>
      <c r="P1012" s="5"/>
      <c r="Q1012" s="6" t="s">
        <v>30</v>
      </c>
      <c r="R1012" s="4" t="s">
        <v>31</v>
      </c>
      <c r="S1012" s="7" t="s">
        <v>32</v>
      </c>
      <c r="T1012" s="5"/>
    </row>
    <row r="1013" customFormat="false" ht="86.25" hidden="false" customHeight="true" outlineLevel="0" collapsed="false">
      <c r="A1013" s="4" t="n">
        <v>1012</v>
      </c>
      <c r="B1013" s="6" t="s">
        <v>1787</v>
      </c>
      <c r="C1013" s="6" t="s">
        <v>3572</v>
      </c>
      <c r="D1013" s="6" t="s">
        <v>3573</v>
      </c>
      <c r="E1013" s="7" t="s">
        <v>21</v>
      </c>
      <c r="F1013" s="6" t="s">
        <v>3721</v>
      </c>
      <c r="G1013" s="6" t="s">
        <v>3722</v>
      </c>
      <c r="H1013" s="6" t="s">
        <v>3723</v>
      </c>
      <c r="I1013" s="6" t="s">
        <v>3724</v>
      </c>
      <c r="J1013" s="6" t="s">
        <v>3725</v>
      </c>
      <c r="K1013" s="5"/>
      <c r="L1013" s="4" t="s">
        <v>51</v>
      </c>
      <c r="M1013" s="8" t="s">
        <v>28</v>
      </c>
      <c r="N1013" s="9" t="s">
        <v>3611</v>
      </c>
      <c r="O1013" s="5"/>
      <c r="P1013" s="5"/>
      <c r="Q1013" s="6" t="s">
        <v>30</v>
      </c>
      <c r="R1013" s="4" t="s">
        <v>31</v>
      </c>
      <c r="S1013" s="7" t="s">
        <v>32</v>
      </c>
      <c r="T1013" s="5"/>
    </row>
    <row r="1014" customFormat="false" ht="29.25" hidden="false" customHeight="true" outlineLevel="0" collapsed="false">
      <c r="A1014" s="4" t="n">
        <v>1013</v>
      </c>
      <c r="B1014" s="6" t="s">
        <v>1787</v>
      </c>
      <c r="C1014" s="6" t="s">
        <v>3572</v>
      </c>
      <c r="D1014" s="6" t="s">
        <v>3573</v>
      </c>
      <c r="E1014" s="7" t="s">
        <v>21</v>
      </c>
      <c r="F1014" s="6" t="s">
        <v>3726</v>
      </c>
      <c r="G1014" s="6" t="s">
        <v>3727</v>
      </c>
      <c r="H1014" s="6" t="s">
        <v>3728</v>
      </c>
      <c r="I1014" s="6" t="s">
        <v>3729</v>
      </c>
      <c r="J1014" s="6" t="s">
        <v>3730</v>
      </c>
      <c r="K1014" s="5"/>
      <c r="L1014" s="4" t="s">
        <v>44</v>
      </c>
      <c r="M1014" s="8" t="s">
        <v>79</v>
      </c>
      <c r="N1014" s="9" t="s">
        <v>3611</v>
      </c>
      <c r="O1014" s="5"/>
      <c r="P1014" s="5"/>
      <c r="Q1014" s="6" t="s">
        <v>30</v>
      </c>
      <c r="R1014" s="4" t="s">
        <v>31</v>
      </c>
      <c r="S1014" s="7" t="s">
        <v>32</v>
      </c>
      <c r="T1014" s="5"/>
    </row>
    <row r="1015" customFormat="false" ht="29.25" hidden="false" customHeight="true" outlineLevel="0" collapsed="false">
      <c r="A1015" s="4" t="n">
        <v>1014</v>
      </c>
      <c r="B1015" s="6" t="s">
        <v>1787</v>
      </c>
      <c r="C1015" s="6" t="s">
        <v>3572</v>
      </c>
      <c r="D1015" s="6" t="s">
        <v>3573</v>
      </c>
      <c r="E1015" s="7" t="s">
        <v>21</v>
      </c>
      <c r="F1015" s="6" t="s">
        <v>3731</v>
      </c>
      <c r="G1015" s="6" t="s">
        <v>3732</v>
      </c>
      <c r="H1015" s="6" t="s">
        <v>3733</v>
      </c>
      <c r="I1015" s="6" t="s">
        <v>3734</v>
      </c>
      <c r="J1015" s="6" t="s">
        <v>78</v>
      </c>
      <c r="K1015" s="5"/>
      <c r="L1015" s="4" t="s">
        <v>62</v>
      </c>
      <c r="M1015" s="8" t="s">
        <v>79</v>
      </c>
      <c r="N1015" s="9" t="s">
        <v>3579</v>
      </c>
      <c r="O1015" s="5"/>
      <c r="P1015" s="5"/>
      <c r="Q1015" s="6" t="s">
        <v>30</v>
      </c>
      <c r="R1015" s="4" t="s">
        <v>31</v>
      </c>
      <c r="S1015" s="7" t="s">
        <v>32</v>
      </c>
      <c r="T1015" s="5"/>
    </row>
    <row r="1016" customFormat="false" ht="29.25" hidden="false" customHeight="true" outlineLevel="0" collapsed="false">
      <c r="A1016" s="4" t="n">
        <v>1015</v>
      </c>
      <c r="B1016" s="6" t="s">
        <v>1787</v>
      </c>
      <c r="C1016" s="6" t="s">
        <v>3572</v>
      </c>
      <c r="D1016" s="6" t="s">
        <v>3573</v>
      </c>
      <c r="E1016" s="7" t="s">
        <v>21</v>
      </c>
      <c r="F1016" s="6" t="s">
        <v>3735</v>
      </c>
      <c r="G1016" s="6" t="s">
        <v>3736</v>
      </c>
      <c r="H1016" s="6" t="s">
        <v>3737</v>
      </c>
      <c r="I1016" s="6" t="s">
        <v>3738</v>
      </c>
      <c r="J1016" s="6" t="s">
        <v>3739</v>
      </c>
      <c r="K1016" s="5"/>
      <c r="L1016" s="4" t="s">
        <v>62</v>
      </c>
      <c r="M1016" s="8" t="s">
        <v>79</v>
      </c>
      <c r="N1016" s="9" t="s">
        <v>3579</v>
      </c>
      <c r="O1016" s="5"/>
      <c r="P1016" s="5"/>
      <c r="Q1016" s="6" t="s">
        <v>30</v>
      </c>
      <c r="R1016" s="4" t="s">
        <v>31</v>
      </c>
      <c r="S1016" s="7" t="s">
        <v>32</v>
      </c>
      <c r="T1016" s="5"/>
    </row>
    <row r="1017" customFormat="false" ht="15" hidden="false" customHeight="true" outlineLevel="0" collapsed="false">
      <c r="A1017" s="4" t="n">
        <v>1016</v>
      </c>
      <c r="B1017" s="6" t="s">
        <v>1787</v>
      </c>
      <c r="C1017" s="6" t="s">
        <v>3572</v>
      </c>
      <c r="D1017" s="6" t="s">
        <v>3573</v>
      </c>
      <c r="E1017" s="7" t="s">
        <v>21</v>
      </c>
      <c r="F1017" s="6" t="s">
        <v>3740</v>
      </c>
      <c r="G1017" s="6" t="s">
        <v>3741</v>
      </c>
      <c r="H1017" s="6" t="s">
        <v>3742</v>
      </c>
      <c r="I1017" s="6" t="s">
        <v>3743</v>
      </c>
      <c r="J1017" s="6" t="s">
        <v>3744</v>
      </c>
      <c r="K1017" s="5"/>
      <c r="L1017" s="4" t="s">
        <v>27</v>
      </c>
      <c r="M1017" s="8" t="s">
        <v>79</v>
      </c>
      <c r="N1017" s="9" t="s">
        <v>3585</v>
      </c>
      <c r="O1017" s="5"/>
      <c r="P1017" s="5"/>
      <c r="Q1017" s="6" t="s">
        <v>30</v>
      </c>
      <c r="R1017" s="4" t="s">
        <v>31</v>
      </c>
      <c r="S1017" s="7" t="s">
        <v>32</v>
      </c>
      <c r="T1017" s="5"/>
    </row>
    <row r="1018" customFormat="false" ht="15" hidden="false" customHeight="true" outlineLevel="0" collapsed="false">
      <c r="A1018" s="4" t="n">
        <v>1017</v>
      </c>
      <c r="B1018" s="6" t="s">
        <v>1787</v>
      </c>
      <c r="C1018" s="6" t="s">
        <v>3572</v>
      </c>
      <c r="D1018" s="6" t="s">
        <v>3573</v>
      </c>
      <c r="E1018" s="7" t="s">
        <v>21</v>
      </c>
      <c r="F1018" s="6" t="s">
        <v>3745</v>
      </c>
      <c r="G1018" s="6" t="s">
        <v>3741</v>
      </c>
      <c r="H1018" s="6" t="s">
        <v>3742</v>
      </c>
      <c r="I1018" s="6" t="s">
        <v>3746</v>
      </c>
      <c r="J1018" s="6" t="s">
        <v>3747</v>
      </c>
      <c r="K1018" s="5"/>
      <c r="L1018" s="4" t="s">
        <v>62</v>
      </c>
      <c r="M1018" s="8" t="s">
        <v>79</v>
      </c>
      <c r="N1018" s="9" t="s">
        <v>3579</v>
      </c>
      <c r="O1018" s="5"/>
      <c r="P1018" s="5"/>
      <c r="Q1018" s="6" t="s">
        <v>30</v>
      </c>
      <c r="R1018" s="4" t="s">
        <v>31</v>
      </c>
      <c r="S1018" s="7" t="s">
        <v>32</v>
      </c>
      <c r="T1018" s="5"/>
    </row>
    <row r="1019" customFormat="false" ht="15" hidden="false" customHeight="true" outlineLevel="0" collapsed="false">
      <c r="A1019" s="4" t="n">
        <v>1018</v>
      </c>
      <c r="B1019" s="6" t="s">
        <v>1787</v>
      </c>
      <c r="C1019" s="6" t="s">
        <v>3572</v>
      </c>
      <c r="D1019" s="6" t="s">
        <v>3573</v>
      </c>
      <c r="E1019" s="7" t="s">
        <v>21</v>
      </c>
      <c r="F1019" s="6" t="s">
        <v>3748</v>
      </c>
      <c r="G1019" s="6" t="s">
        <v>3741</v>
      </c>
      <c r="H1019" s="6" t="s">
        <v>3742</v>
      </c>
      <c r="I1019" s="6" t="s">
        <v>3746</v>
      </c>
      <c r="J1019" s="6" t="s">
        <v>3747</v>
      </c>
      <c r="K1019" s="5"/>
      <c r="L1019" s="4" t="s">
        <v>44</v>
      </c>
      <c r="M1019" s="8" t="s">
        <v>129</v>
      </c>
      <c r="N1019" s="9" t="s">
        <v>3579</v>
      </c>
      <c r="O1019" s="5"/>
      <c r="P1019" s="5"/>
      <c r="Q1019" s="6" t="s">
        <v>30</v>
      </c>
      <c r="R1019" s="4" t="s">
        <v>31</v>
      </c>
      <c r="S1019" s="7" t="s">
        <v>32</v>
      </c>
      <c r="T1019" s="5"/>
    </row>
    <row r="1020" customFormat="false" ht="15" hidden="false" customHeight="true" outlineLevel="0" collapsed="false">
      <c r="A1020" s="4" t="n">
        <v>1019</v>
      </c>
      <c r="B1020" s="6" t="s">
        <v>1787</v>
      </c>
      <c r="C1020" s="6" t="s">
        <v>3572</v>
      </c>
      <c r="D1020" s="6" t="s">
        <v>3573</v>
      </c>
      <c r="E1020" s="7" t="s">
        <v>21</v>
      </c>
      <c r="F1020" s="6" t="s">
        <v>3749</v>
      </c>
      <c r="G1020" s="6" t="s">
        <v>3741</v>
      </c>
      <c r="H1020" s="6" t="s">
        <v>3742</v>
      </c>
      <c r="I1020" s="6" t="s">
        <v>3743</v>
      </c>
      <c r="J1020" s="6" t="s">
        <v>150</v>
      </c>
      <c r="K1020" s="5"/>
      <c r="L1020" s="4" t="s">
        <v>51</v>
      </c>
      <c r="M1020" s="8" t="s">
        <v>79</v>
      </c>
      <c r="N1020" s="9" t="s">
        <v>3579</v>
      </c>
      <c r="O1020" s="5"/>
      <c r="P1020" s="5"/>
      <c r="Q1020" s="6" t="s">
        <v>30</v>
      </c>
      <c r="R1020" s="4" t="s">
        <v>31</v>
      </c>
      <c r="S1020" s="7" t="s">
        <v>32</v>
      </c>
      <c r="T1020" s="5"/>
    </row>
    <row r="1021" customFormat="false" ht="29.25" hidden="false" customHeight="true" outlineLevel="0" collapsed="false">
      <c r="A1021" s="4" t="n">
        <v>1020</v>
      </c>
      <c r="B1021" s="6" t="s">
        <v>1787</v>
      </c>
      <c r="C1021" s="6" t="s">
        <v>3572</v>
      </c>
      <c r="D1021" s="6" t="s">
        <v>3573</v>
      </c>
      <c r="E1021" s="7" t="s">
        <v>21</v>
      </c>
      <c r="F1021" s="6" t="s">
        <v>3750</v>
      </c>
      <c r="G1021" s="6" t="s">
        <v>3751</v>
      </c>
      <c r="H1021" s="6" t="s">
        <v>2338</v>
      </c>
      <c r="I1021" s="6" t="s">
        <v>3752</v>
      </c>
      <c r="J1021" s="6" t="s">
        <v>2167</v>
      </c>
      <c r="K1021" s="5"/>
      <c r="L1021" s="4" t="s">
        <v>44</v>
      </c>
      <c r="M1021" s="8" t="s">
        <v>79</v>
      </c>
      <c r="N1021" s="9" t="s">
        <v>3585</v>
      </c>
      <c r="O1021" s="5"/>
      <c r="P1021" s="5"/>
      <c r="Q1021" s="6" t="s">
        <v>30</v>
      </c>
      <c r="R1021" s="4" t="s">
        <v>31</v>
      </c>
      <c r="S1021" s="7" t="s">
        <v>32</v>
      </c>
      <c r="T1021" s="5"/>
    </row>
    <row r="1022" customFormat="false" ht="29.25" hidden="false" customHeight="true" outlineLevel="0" collapsed="false">
      <c r="A1022" s="4" t="n">
        <v>1021</v>
      </c>
      <c r="B1022" s="6" t="s">
        <v>1787</v>
      </c>
      <c r="C1022" s="6" t="s">
        <v>3572</v>
      </c>
      <c r="D1022" s="6" t="s">
        <v>3573</v>
      </c>
      <c r="E1022" s="7" t="s">
        <v>21</v>
      </c>
      <c r="F1022" s="6" t="s">
        <v>3753</v>
      </c>
      <c r="G1022" s="6" t="s">
        <v>3754</v>
      </c>
      <c r="H1022" s="6" t="s">
        <v>3755</v>
      </c>
      <c r="I1022" s="6" t="s">
        <v>3756</v>
      </c>
      <c r="J1022" s="6" t="s">
        <v>3757</v>
      </c>
      <c r="K1022" s="5"/>
      <c r="L1022" s="4" t="s">
        <v>44</v>
      </c>
      <c r="M1022" s="8" t="s">
        <v>28</v>
      </c>
      <c r="N1022" s="9" t="s">
        <v>3579</v>
      </c>
      <c r="O1022" s="5"/>
      <c r="P1022" s="5"/>
      <c r="Q1022" s="6" t="s">
        <v>30</v>
      </c>
      <c r="R1022" s="4" t="s">
        <v>31</v>
      </c>
      <c r="S1022" s="7" t="s">
        <v>32</v>
      </c>
      <c r="T1022" s="5"/>
    </row>
    <row r="1023" customFormat="false" ht="29.25" hidden="false" customHeight="true" outlineLevel="0" collapsed="false">
      <c r="A1023" s="4" t="n">
        <v>1022</v>
      </c>
      <c r="B1023" s="6" t="s">
        <v>1787</v>
      </c>
      <c r="C1023" s="6" t="s">
        <v>3572</v>
      </c>
      <c r="D1023" s="6" t="s">
        <v>3573</v>
      </c>
      <c r="E1023" s="7" t="s">
        <v>21</v>
      </c>
      <c r="F1023" s="6" t="s">
        <v>3758</v>
      </c>
      <c r="G1023" s="6" t="s">
        <v>3759</v>
      </c>
      <c r="H1023" s="6" t="s">
        <v>3760</v>
      </c>
      <c r="I1023" s="6" t="s">
        <v>3761</v>
      </c>
      <c r="J1023" s="6" t="s">
        <v>3762</v>
      </c>
      <c r="K1023" s="5"/>
      <c r="L1023" s="4" t="s">
        <v>27</v>
      </c>
      <c r="M1023" s="8" t="s">
        <v>79</v>
      </c>
      <c r="N1023" s="9" t="s">
        <v>3763</v>
      </c>
      <c r="O1023" s="5"/>
      <c r="P1023" s="5"/>
      <c r="Q1023" s="6" t="s">
        <v>30</v>
      </c>
      <c r="R1023" s="4" t="s">
        <v>31</v>
      </c>
      <c r="S1023" s="7" t="s">
        <v>32</v>
      </c>
      <c r="T1023" s="5"/>
    </row>
    <row r="1024" customFormat="false" ht="15" hidden="false" customHeight="true" outlineLevel="0" collapsed="false">
      <c r="A1024" s="4" t="n">
        <v>1023</v>
      </c>
      <c r="B1024" s="6" t="s">
        <v>1787</v>
      </c>
      <c r="C1024" s="6" t="s">
        <v>3572</v>
      </c>
      <c r="D1024" s="6" t="s">
        <v>3573</v>
      </c>
      <c r="E1024" s="7" t="s">
        <v>21</v>
      </c>
      <c r="F1024" s="6" t="s">
        <v>3764</v>
      </c>
      <c r="G1024" s="6" t="s">
        <v>3765</v>
      </c>
      <c r="H1024" s="6" t="s">
        <v>3766</v>
      </c>
      <c r="I1024" s="6" t="s">
        <v>3767</v>
      </c>
      <c r="J1024" s="6" t="s">
        <v>3768</v>
      </c>
      <c r="K1024" s="5"/>
      <c r="L1024" s="4" t="s">
        <v>27</v>
      </c>
      <c r="M1024" s="8" t="s">
        <v>129</v>
      </c>
      <c r="N1024" s="9" t="s">
        <v>3769</v>
      </c>
      <c r="O1024" s="5"/>
      <c r="P1024" s="5"/>
      <c r="Q1024" s="6" t="s">
        <v>30</v>
      </c>
      <c r="R1024" s="4" t="s">
        <v>31</v>
      </c>
      <c r="S1024" s="7" t="s">
        <v>32</v>
      </c>
      <c r="T1024" s="5"/>
    </row>
    <row r="1025" customFormat="false" ht="29.25" hidden="false" customHeight="true" outlineLevel="0" collapsed="false">
      <c r="A1025" s="4" t="n">
        <v>1024</v>
      </c>
      <c r="B1025" s="6" t="s">
        <v>1787</v>
      </c>
      <c r="C1025" s="6" t="s">
        <v>3572</v>
      </c>
      <c r="D1025" s="6" t="s">
        <v>3573</v>
      </c>
      <c r="E1025" s="7" t="s">
        <v>21</v>
      </c>
      <c r="F1025" s="6" t="s">
        <v>3770</v>
      </c>
      <c r="G1025" s="6" t="s">
        <v>3771</v>
      </c>
      <c r="H1025" s="6" t="s">
        <v>3772</v>
      </c>
      <c r="I1025" s="6" t="s">
        <v>3767</v>
      </c>
      <c r="J1025" s="6" t="s">
        <v>3773</v>
      </c>
      <c r="K1025" s="5"/>
      <c r="L1025" s="4" t="s">
        <v>51</v>
      </c>
      <c r="M1025" s="8" t="s">
        <v>79</v>
      </c>
      <c r="N1025" s="9" t="s">
        <v>3763</v>
      </c>
      <c r="O1025" s="5"/>
      <c r="P1025" s="5"/>
      <c r="Q1025" s="6" t="s">
        <v>30</v>
      </c>
      <c r="R1025" s="4" t="s">
        <v>31</v>
      </c>
      <c r="S1025" s="7" t="s">
        <v>32</v>
      </c>
      <c r="T1025" s="5"/>
    </row>
    <row r="1026" customFormat="false" ht="29.25" hidden="false" customHeight="true" outlineLevel="0" collapsed="false">
      <c r="A1026" s="4" t="n">
        <v>1025</v>
      </c>
      <c r="B1026" s="6" t="s">
        <v>1787</v>
      </c>
      <c r="C1026" s="6" t="s">
        <v>3572</v>
      </c>
      <c r="D1026" s="6" t="s">
        <v>3573</v>
      </c>
      <c r="E1026" s="7" t="s">
        <v>21</v>
      </c>
      <c r="F1026" s="6" t="s">
        <v>3774</v>
      </c>
      <c r="G1026" s="6" t="s">
        <v>3771</v>
      </c>
      <c r="H1026" s="6" t="s">
        <v>3772</v>
      </c>
      <c r="I1026" s="6" t="s">
        <v>3767</v>
      </c>
      <c r="J1026" s="6" t="s">
        <v>3773</v>
      </c>
      <c r="K1026" s="5"/>
      <c r="L1026" s="4" t="s">
        <v>62</v>
      </c>
      <c r="M1026" s="8" t="s">
        <v>79</v>
      </c>
      <c r="N1026" s="9" t="s">
        <v>3763</v>
      </c>
      <c r="O1026" s="5"/>
      <c r="P1026" s="5"/>
      <c r="Q1026" s="6" t="s">
        <v>30</v>
      </c>
      <c r="R1026" s="4" t="s">
        <v>31</v>
      </c>
      <c r="S1026" s="7" t="s">
        <v>32</v>
      </c>
      <c r="T1026" s="5"/>
    </row>
    <row r="1027" customFormat="false" ht="29.25" hidden="false" customHeight="true" outlineLevel="0" collapsed="false">
      <c r="A1027" s="4" t="n">
        <v>1026</v>
      </c>
      <c r="B1027" s="6" t="s">
        <v>1787</v>
      </c>
      <c r="C1027" s="6" t="s">
        <v>3572</v>
      </c>
      <c r="D1027" s="6" t="s">
        <v>3573</v>
      </c>
      <c r="E1027" s="7" t="s">
        <v>21</v>
      </c>
      <c r="F1027" s="6" t="s">
        <v>3775</v>
      </c>
      <c r="G1027" s="6" t="s">
        <v>3771</v>
      </c>
      <c r="H1027" s="6" t="s">
        <v>3772</v>
      </c>
      <c r="I1027" s="6" t="s">
        <v>3767</v>
      </c>
      <c r="J1027" s="6" t="s">
        <v>3773</v>
      </c>
      <c r="K1027" s="5"/>
      <c r="L1027" s="4" t="s">
        <v>44</v>
      </c>
      <c r="M1027" s="8" t="s">
        <v>79</v>
      </c>
      <c r="N1027" s="9" t="s">
        <v>3763</v>
      </c>
      <c r="O1027" s="5"/>
      <c r="P1027" s="5"/>
      <c r="Q1027" s="6" t="s">
        <v>30</v>
      </c>
      <c r="R1027" s="4" t="s">
        <v>31</v>
      </c>
      <c r="S1027" s="7" t="s">
        <v>32</v>
      </c>
      <c r="T1027" s="5"/>
    </row>
    <row r="1028" customFormat="false" ht="29.25" hidden="false" customHeight="true" outlineLevel="0" collapsed="false">
      <c r="A1028" s="4" t="n">
        <v>1027</v>
      </c>
      <c r="B1028" s="6" t="s">
        <v>1787</v>
      </c>
      <c r="C1028" s="6" t="s">
        <v>3572</v>
      </c>
      <c r="D1028" s="6" t="s">
        <v>3573</v>
      </c>
      <c r="E1028" s="7" t="s">
        <v>21</v>
      </c>
      <c r="F1028" s="6" t="s">
        <v>3776</v>
      </c>
      <c r="G1028" s="6" t="s">
        <v>208</v>
      </c>
      <c r="H1028" s="6" t="s">
        <v>210</v>
      </c>
      <c r="I1028" s="6" t="s">
        <v>211</v>
      </c>
      <c r="J1028" s="6" t="s">
        <v>3777</v>
      </c>
      <c r="K1028" s="5"/>
      <c r="L1028" s="4" t="s">
        <v>51</v>
      </c>
      <c r="M1028" s="8" t="s">
        <v>129</v>
      </c>
      <c r="N1028" s="9" t="s">
        <v>3778</v>
      </c>
      <c r="O1028" s="5"/>
      <c r="P1028" s="5"/>
      <c r="Q1028" s="6" t="s">
        <v>30</v>
      </c>
      <c r="R1028" s="4" t="s">
        <v>31</v>
      </c>
      <c r="S1028" s="7" t="s">
        <v>32</v>
      </c>
      <c r="T1028" s="5"/>
    </row>
    <row r="1029" customFormat="false" ht="43.5" hidden="false" customHeight="true" outlineLevel="0" collapsed="false">
      <c r="A1029" s="4" t="n">
        <v>1028</v>
      </c>
      <c r="B1029" s="6" t="s">
        <v>1787</v>
      </c>
      <c r="C1029" s="6" t="s">
        <v>3572</v>
      </c>
      <c r="D1029" s="6" t="s">
        <v>3573</v>
      </c>
      <c r="E1029" s="7" t="s">
        <v>21</v>
      </c>
      <c r="F1029" s="6" t="s">
        <v>3779</v>
      </c>
      <c r="G1029" s="6" t="s">
        <v>3780</v>
      </c>
      <c r="H1029" s="6" t="s">
        <v>3781</v>
      </c>
      <c r="I1029" s="6" t="s">
        <v>3782</v>
      </c>
      <c r="J1029" s="6" t="s">
        <v>3783</v>
      </c>
      <c r="K1029" s="5"/>
      <c r="L1029" s="4" t="s">
        <v>62</v>
      </c>
      <c r="M1029" s="8" t="s">
        <v>28</v>
      </c>
      <c r="N1029" s="9" t="s">
        <v>3579</v>
      </c>
      <c r="O1029" s="5"/>
      <c r="P1029" s="5"/>
      <c r="Q1029" s="6" t="s">
        <v>30</v>
      </c>
      <c r="R1029" s="4" t="s">
        <v>31</v>
      </c>
      <c r="S1029" s="7" t="s">
        <v>32</v>
      </c>
      <c r="T1029" s="5"/>
    </row>
    <row r="1030" customFormat="false" ht="29.25" hidden="false" customHeight="true" outlineLevel="0" collapsed="false">
      <c r="A1030" s="4" t="n">
        <v>1029</v>
      </c>
      <c r="B1030" s="6" t="s">
        <v>1787</v>
      </c>
      <c r="C1030" s="6" t="s">
        <v>3572</v>
      </c>
      <c r="D1030" s="6" t="s">
        <v>3573</v>
      </c>
      <c r="E1030" s="7" t="s">
        <v>21</v>
      </c>
      <c r="F1030" s="6" t="s">
        <v>3784</v>
      </c>
      <c r="G1030" s="6" t="s">
        <v>3785</v>
      </c>
      <c r="H1030" s="6" t="s">
        <v>3786</v>
      </c>
      <c r="I1030" s="6" t="s">
        <v>3787</v>
      </c>
      <c r="J1030" s="6" t="s">
        <v>3788</v>
      </c>
      <c r="K1030" s="5"/>
      <c r="L1030" s="4" t="s">
        <v>27</v>
      </c>
      <c r="M1030" s="8" t="s">
        <v>28</v>
      </c>
      <c r="N1030" s="9" t="s">
        <v>3585</v>
      </c>
      <c r="O1030" s="5"/>
      <c r="P1030" s="5"/>
      <c r="Q1030" s="6" t="s">
        <v>30</v>
      </c>
      <c r="R1030" s="4" t="s">
        <v>31</v>
      </c>
      <c r="S1030" s="7" t="s">
        <v>32</v>
      </c>
      <c r="T1030" s="5"/>
    </row>
    <row r="1031" customFormat="false" ht="100.5" hidden="false" customHeight="true" outlineLevel="0" collapsed="false">
      <c r="A1031" s="4" t="n">
        <v>1030</v>
      </c>
      <c r="B1031" s="6" t="s">
        <v>1787</v>
      </c>
      <c r="C1031" s="6" t="s">
        <v>3572</v>
      </c>
      <c r="D1031" s="6" t="s">
        <v>3573</v>
      </c>
      <c r="E1031" s="7" t="s">
        <v>21</v>
      </c>
      <c r="F1031" s="6" t="s">
        <v>3789</v>
      </c>
      <c r="G1031" s="6" t="s">
        <v>3790</v>
      </c>
      <c r="H1031" s="6" t="s">
        <v>3791</v>
      </c>
      <c r="I1031" s="6" t="s">
        <v>3792</v>
      </c>
      <c r="J1031" s="6" t="s">
        <v>3793</v>
      </c>
      <c r="K1031" s="5"/>
      <c r="L1031" s="4" t="s">
        <v>44</v>
      </c>
      <c r="M1031" s="8" t="s">
        <v>28</v>
      </c>
      <c r="N1031" s="9" t="s">
        <v>3585</v>
      </c>
      <c r="O1031" s="5"/>
      <c r="P1031" s="5"/>
      <c r="Q1031" s="6" t="s">
        <v>30</v>
      </c>
      <c r="R1031" s="4" t="s">
        <v>31</v>
      </c>
      <c r="S1031" s="7" t="s">
        <v>32</v>
      </c>
      <c r="T1031" s="5"/>
    </row>
    <row r="1032" customFormat="false" ht="15" hidden="false" customHeight="true" outlineLevel="0" collapsed="false">
      <c r="A1032" s="4" t="n">
        <v>1031</v>
      </c>
      <c r="B1032" s="6" t="s">
        <v>1787</v>
      </c>
      <c r="C1032" s="6" t="s">
        <v>3572</v>
      </c>
      <c r="D1032" s="6" t="s">
        <v>3573</v>
      </c>
      <c r="E1032" s="7" t="s">
        <v>21</v>
      </c>
      <c r="F1032" s="6" t="s">
        <v>3794</v>
      </c>
      <c r="G1032" s="6" t="s">
        <v>208</v>
      </c>
      <c r="H1032" s="6" t="s">
        <v>210</v>
      </c>
      <c r="I1032" s="6" t="s">
        <v>211</v>
      </c>
      <c r="J1032" s="6" t="s">
        <v>3777</v>
      </c>
      <c r="K1032" s="5"/>
      <c r="L1032" s="4" t="s">
        <v>62</v>
      </c>
      <c r="M1032" s="8" t="s">
        <v>79</v>
      </c>
      <c r="N1032" s="9" t="s">
        <v>3579</v>
      </c>
      <c r="O1032" s="5"/>
      <c r="P1032" s="5"/>
      <c r="Q1032" s="6" t="s">
        <v>30</v>
      </c>
      <c r="R1032" s="4" t="s">
        <v>31</v>
      </c>
      <c r="S1032" s="7" t="s">
        <v>32</v>
      </c>
      <c r="T1032" s="5"/>
    </row>
    <row r="1033" customFormat="false" ht="29.25" hidden="false" customHeight="true" outlineLevel="0" collapsed="false">
      <c r="A1033" s="4" t="n">
        <v>1032</v>
      </c>
      <c r="B1033" s="6" t="s">
        <v>1787</v>
      </c>
      <c r="C1033" s="6" t="s">
        <v>3572</v>
      </c>
      <c r="D1033" s="6" t="s">
        <v>3573</v>
      </c>
      <c r="E1033" s="7" t="s">
        <v>21</v>
      </c>
      <c r="F1033" s="6" t="s">
        <v>3795</v>
      </c>
      <c r="G1033" s="6" t="s">
        <v>3796</v>
      </c>
      <c r="H1033" s="6" t="s">
        <v>3797</v>
      </c>
      <c r="I1033" s="6" t="s">
        <v>3798</v>
      </c>
      <c r="J1033" s="6" t="s">
        <v>3799</v>
      </c>
      <c r="K1033" s="5"/>
      <c r="L1033" s="4" t="s">
        <v>27</v>
      </c>
      <c r="M1033" s="8" t="s">
        <v>79</v>
      </c>
      <c r="N1033" s="9" t="s">
        <v>3585</v>
      </c>
      <c r="O1033" s="5"/>
      <c r="P1033" s="5"/>
      <c r="Q1033" s="6" t="s">
        <v>30</v>
      </c>
      <c r="R1033" s="4" t="s">
        <v>31</v>
      </c>
      <c r="S1033" s="7" t="s">
        <v>32</v>
      </c>
      <c r="T1033" s="5"/>
    </row>
    <row r="1034" customFormat="false" ht="29.25" hidden="false" customHeight="true" outlineLevel="0" collapsed="false">
      <c r="A1034" s="4" t="n">
        <v>1033</v>
      </c>
      <c r="B1034" s="6" t="s">
        <v>1787</v>
      </c>
      <c r="C1034" s="6" t="s">
        <v>3572</v>
      </c>
      <c r="D1034" s="6" t="s">
        <v>3573</v>
      </c>
      <c r="E1034" s="7" t="s">
        <v>21</v>
      </c>
      <c r="F1034" s="6" t="s">
        <v>3800</v>
      </c>
      <c r="G1034" s="6" t="s">
        <v>3801</v>
      </c>
      <c r="H1034" s="6" t="s">
        <v>3802</v>
      </c>
      <c r="I1034" s="6" t="s">
        <v>3803</v>
      </c>
      <c r="J1034" s="6" t="s">
        <v>3804</v>
      </c>
      <c r="K1034" s="5"/>
      <c r="L1034" s="4" t="s">
        <v>27</v>
      </c>
      <c r="M1034" s="8" t="s">
        <v>28</v>
      </c>
      <c r="N1034" s="9" t="s">
        <v>3585</v>
      </c>
      <c r="O1034" s="5"/>
      <c r="P1034" s="5"/>
      <c r="Q1034" s="6" t="s">
        <v>30</v>
      </c>
      <c r="R1034" s="4" t="s">
        <v>31</v>
      </c>
      <c r="S1034" s="7" t="s">
        <v>32</v>
      </c>
      <c r="T1034" s="5"/>
    </row>
    <row r="1035" customFormat="false" ht="43.5" hidden="false" customHeight="true" outlineLevel="0" collapsed="false">
      <c r="A1035" s="4" t="n">
        <v>1034</v>
      </c>
      <c r="B1035" s="6" t="s">
        <v>1787</v>
      </c>
      <c r="C1035" s="6" t="s">
        <v>3572</v>
      </c>
      <c r="D1035" s="6" t="s">
        <v>3573</v>
      </c>
      <c r="E1035" s="7" t="s">
        <v>21</v>
      </c>
      <c r="F1035" s="6" t="s">
        <v>3805</v>
      </c>
      <c r="G1035" s="6" t="s">
        <v>3806</v>
      </c>
      <c r="H1035" s="6" t="s">
        <v>3807</v>
      </c>
      <c r="I1035" s="6" t="s">
        <v>3808</v>
      </c>
      <c r="J1035" s="6" t="s">
        <v>78</v>
      </c>
      <c r="K1035" s="5"/>
      <c r="L1035" s="4" t="s">
        <v>44</v>
      </c>
      <c r="M1035" s="8" t="s">
        <v>28</v>
      </c>
      <c r="N1035" s="9" t="s">
        <v>3579</v>
      </c>
      <c r="O1035" s="5"/>
      <c r="P1035" s="5"/>
      <c r="Q1035" s="6" t="s">
        <v>30</v>
      </c>
      <c r="R1035" s="4" t="s">
        <v>31</v>
      </c>
      <c r="S1035" s="7" t="s">
        <v>32</v>
      </c>
      <c r="T1035" s="5"/>
    </row>
    <row r="1036" customFormat="false" ht="57.75" hidden="false" customHeight="true" outlineLevel="0" collapsed="false">
      <c r="A1036" s="4" t="n">
        <v>1035</v>
      </c>
      <c r="B1036" s="6" t="s">
        <v>1787</v>
      </c>
      <c r="C1036" s="6" t="s">
        <v>3572</v>
      </c>
      <c r="D1036" s="6" t="s">
        <v>3573</v>
      </c>
      <c r="E1036" s="7" t="s">
        <v>21</v>
      </c>
      <c r="F1036" s="6" t="s">
        <v>3809</v>
      </c>
      <c r="G1036" s="6" t="s">
        <v>3796</v>
      </c>
      <c r="H1036" s="6" t="s">
        <v>3810</v>
      </c>
      <c r="I1036" s="6" t="s">
        <v>3811</v>
      </c>
      <c r="J1036" s="6" t="s">
        <v>3812</v>
      </c>
      <c r="K1036" s="5"/>
      <c r="L1036" s="4" t="s">
        <v>62</v>
      </c>
      <c r="M1036" s="8" t="s">
        <v>79</v>
      </c>
      <c r="N1036" s="9" t="s">
        <v>3579</v>
      </c>
      <c r="O1036" s="5"/>
      <c r="P1036" s="5"/>
      <c r="Q1036" s="6" t="s">
        <v>30</v>
      </c>
      <c r="R1036" s="4" t="s">
        <v>31</v>
      </c>
      <c r="S1036" s="7" t="s">
        <v>32</v>
      </c>
      <c r="T1036" s="5"/>
    </row>
    <row r="1037" customFormat="false" ht="29.25" hidden="false" customHeight="true" outlineLevel="0" collapsed="false">
      <c r="A1037" s="4" t="n">
        <v>1036</v>
      </c>
      <c r="B1037" s="6" t="s">
        <v>1787</v>
      </c>
      <c r="C1037" s="6" t="s">
        <v>3572</v>
      </c>
      <c r="D1037" s="6" t="s">
        <v>3573</v>
      </c>
      <c r="E1037" s="7" t="s">
        <v>21</v>
      </c>
      <c r="F1037" s="6" t="s">
        <v>3813</v>
      </c>
      <c r="G1037" s="6" t="s">
        <v>3814</v>
      </c>
      <c r="H1037" s="6" t="s">
        <v>3815</v>
      </c>
      <c r="I1037" s="6" t="s">
        <v>3816</v>
      </c>
      <c r="J1037" s="6" t="s">
        <v>3817</v>
      </c>
      <c r="K1037" s="5"/>
      <c r="L1037" s="4" t="s">
        <v>27</v>
      </c>
      <c r="M1037" s="8" t="s">
        <v>28</v>
      </c>
      <c r="N1037" s="9" t="s">
        <v>3579</v>
      </c>
      <c r="O1037" s="5"/>
      <c r="P1037" s="5"/>
      <c r="Q1037" s="6" t="s">
        <v>30</v>
      </c>
      <c r="R1037" s="4" t="s">
        <v>31</v>
      </c>
      <c r="S1037" s="7" t="s">
        <v>32</v>
      </c>
      <c r="T1037" s="5"/>
    </row>
    <row r="1038" customFormat="false" ht="29.25" hidden="false" customHeight="true" outlineLevel="0" collapsed="false">
      <c r="A1038" s="4" t="n">
        <v>1037</v>
      </c>
      <c r="B1038" s="6" t="s">
        <v>1787</v>
      </c>
      <c r="C1038" s="6" t="s">
        <v>3572</v>
      </c>
      <c r="D1038" s="6" t="s">
        <v>3573</v>
      </c>
      <c r="E1038" s="7" t="s">
        <v>21</v>
      </c>
      <c r="F1038" s="6" t="s">
        <v>3818</v>
      </c>
      <c r="G1038" s="6" t="s">
        <v>208</v>
      </c>
      <c r="H1038" s="6" t="s">
        <v>210</v>
      </c>
      <c r="I1038" s="6" t="s">
        <v>211</v>
      </c>
      <c r="J1038" s="6" t="s">
        <v>3777</v>
      </c>
      <c r="K1038" s="5"/>
      <c r="L1038" s="4" t="s">
        <v>27</v>
      </c>
      <c r="M1038" s="8" t="s">
        <v>79</v>
      </c>
      <c r="N1038" s="9" t="s">
        <v>3579</v>
      </c>
      <c r="O1038" s="5"/>
      <c r="P1038" s="5"/>
      <c r="Q1038" s="6" t="s">
        <v>30</v>
      </c>
      <c r="R1038" s="4" t="s">
        <v>31</v>
      </c>
      <c r="S1038" s="7" t="s">
        <v>32</v>
      </c>
      <c r="T1038" s="5"/>
    </row>
    <row r="1039" customFormat="false" ht="15" hidden="false" customHeight="true" outlineLevel="0" collapsed="false">
      <c r="A1039" s="4" t="n">
        <v>1038</v>
      </c>
      <c r="B1039" s="6" t="s">
        <v>1787</v>
      </c>
      <c r="C1039" s="6" t="s">
        <v>3572</v>
      </c>
      <c r="D1039" s="6" t="s">
        <v>3573</v>
      </c>
      <c r="E1039" s="7" t="s">
        <v>21</v>
      </c>
      <c r="F1039" s="6" t="s">
        <v>3819</v>
      </c>
      <c r="G1039" s="6" t="s">
        <v>3820</v>
      </c>
      <c r="H1039" s="6" t="s">
        <v>3821</v>
      </c>
      <c r="I1039" s="6" t="s">
        <v>3822</v>
      </c>
      <c r="J1039" s="6" t="s">
        <v>3823</v>
      </c>
      <c r="K1039" s="5"/>
      <c r="L1039" s="4" t="s">
        <v>62</v>
      </c>
      <c r="M1039" s="8" t="s">
        <v>28</v>
      </c>
      <c r="N1039" s="9" t="s">
        <v>3635</v>
      </c>
      <c r="O1039" s="5"/>
      <c r="P1039" s="5"/>
      <c r="Q1039" s="6" t="s">
        <v>30</v>
      </c>
      <c r="R1039" s="4" t="s">
        <v>31</v>
      </c>
      <c r="S1039" s="7" t="s">
        <v>32</v>
      </c>
      <c r="T1039" s="5"/>
    </row>
    <row r="1040" customFormat="false" ht="15" hidden="false" customHeight="true" outlineLevel="0" collapsed="false">
      <c r="A1040" s="4" t="n">
        <v>1039</v>
      </c>
      <c r="B1040" s="6" t="s">
        <v>1787</v>
      </c>
      <c r="C1040" s="6" t="s">
        <v>3572</v>
      </c>
      <c r="D1040" s="6" t="s">
        <v>3573</v>
      </c>
      <c r="E1040" s="7" t="s">
        <v>21</v>
      </c>
      <c r="F1040" s="6" t="s">
        <v>3824</v>
      </c>
      <c r="G1040" s="6" t="s">
        <v>3825</v>
      </c>
      <c r="H1040" s="6" t="s">
        <v>3826</v>
      </c>
      <c r="I1040" s="6" t="s">
        <v>3827</v>
      </c>
      <c r="J1040" s="6" t="s">
        <v>3828</v>
      </c>
      <c r="K1040" s="5"/>
      <c r="L1040" s="4" t="s">
        <v>44</v>
      </c>
      <c r="M1040" s="8" t="s">
        <v>129</v>
      </c>
      <c r="N1040" s="9" t="s">
        <v>3635</v>
      </c>
      <c r="O1040" s="5"/>
      <c r="P1040" s="5"/>
      <c r="Q1040" s="6" t="s">
        <v>30</v>
      </c>
      <c r="R1040" s="4" t="s">
        <v>31</v>
      </c>
      <c r="S1040" s="7" t="s">
        <v>32</v>
      </c>
      <c r="T1040" s="5"/>
    </row>
    <row r="1041" customFormat="false" ht="43.5" hidden="false" customHeight="true" outlineLevel="0" collapsed="false">
      <c r="A1041" s="4" t="n">
        <v>1040</v>
      </c>
      <c r="B1041" s="6" t="s">
        <v>1787</v>
      </c>
      <c r="C1041" s="6" t="s">
        <v>3572</v>
      </c>
      <c r="D1041" s="6" t="s">
        <v>3573</v>
      </c>
      <c r="E1041" s="7" t="s">
        <v>21</v>
      </c>
      <c r="F1041" s="6" t="s">
        <v>3829</v>
      </c>
      <c r="G1041" s="6" t="s">
        <v>3830</v>
      </c>
      <c r="H1041" s="6" t="s">
        <v>3831</v>
      </c>
      <c r="I1041" s="6" t="s">
        <v>3832</v>
      </c>
      <c r="J1041" s="6" t="s">
        <v>3833</v>
      </c>
      <c r="K1041" s="5"/>
      <c r="L1041" s="4" t="s">
        <v>27</v>
      </c>
      <c r="M1041" s="8" t="s">
        <v>28</v>
      </c>
      <c r="N1041" s="9" t="s">
        <v>3635</v>
      </c>
      <c r="O1041" s="5"/>
      <c r="P1041" s="5"/>
      <c r="Q1041" s="6" t="s">
        <v>30</v>
      </c>
      <c r="R1041" s="4" t="s">
        <v>31</v>
      </c>
      <c r="S1041" s="7" t="s">
        <v>32</v>
      </c>
      <c r="T1041" s="5"/>
    </row>
    <row r="1042" customFormat="false" ht="29.25" hidden="false" customHeight="true" outlineLevel="0" collapsed="false">
      <c r="A1042" s="4" t="n">
        <v>1041</v>
      </c>
      <c r="B1042" s="6" t="s">
        <v>1787</v>
      </c>
      <c r="C1042" s="6" t="s">
        <v>3572</v>
      </c>
      <c r="D1042" s="6" t="s">
        <v>3573</v>
      </c>
      <c r="E1042" s="7" t="s">
        <v>21</v>
      </c>
      <c r="F1042" s="6" t="s">
        <v>3834</v>
      </c>
      <c r="G1042" s="6" t="s">
        <v>3830</v>
      </c>
      <c r="H1042" s="6" t="s">
        <v>3835</v>
      </c>
      <c r="I1042" s="6" t="s">
        <v>3836</v>
      </c>
      <c r="J1042" s="6" t="s">
        <v>3837</v>
      </c>
      <c r="K1042" s="5"/>
      <c r="L1042" s="4" t="s">
        <v>51</v>
      </c>
      <c r="M1042" s="8" t="s">
        <v>28</v>
      </c>
      <c r="N1042" s="9" t="s">
        <v>3635</v>
      </c>
      <c r="O1042" s="5"/>
      <c r="P1042" s="5"/>
      <c r="Q1042" s="6" t="s">
        <v>30</v>
      </c>
      <c r="R1042" s="4" t="s">
        <v>31</v>
      </c>
      <c r="S1042" s="7" t="s">
        <v>32</v>
      </c>
      <c r="T1042" s="5"/>
    </row>
    <row r="1043" customFormat="false" ht="29.25" hidden="false" customHeight="true" outlineLevel="0" collapsed="false">
      <c r="A1043" s="4" t="n">
        <v>1042</v>
      </c>
      <c r="B1043" s="6" t="s">
        <v>1787</v>
      </c>
      <c r="C1043" s="6" t="s">
        <v>3572</v>
      </c>
      <c r="D1043" s="6" t="s">
        <v>3573</v>
      </c>
      <c r="E1043" s="7" t="s">
        <v>21</v>
      </c>
      <c r="F1043" s="6" t="s">
        <v>3838</v>
      </c>
      <c r="G1043" s="6" t="s">
        <v>3839</v>
      </c>
      <c r="H1043" s="6" t="s">
        <v>3840</v>
      </c>
      <c r="I1043" s="6" t="s">
        <v>3841</v>
      </c>
      <c r="J1043" s="6" t="s">
        <v>3842</v>
      </c>
      <c r="K1043" s="5"/>
      <c r="L1043" s="4" t="s">
        <v>44</v>
      </c>
      <c r="M1043" s="8" t="s">
        <v>79</v>
      </c>
      <c r="N1043" s="9" t="s">
        <v>3635</v>
      </c>
      <c r="O1043" s="5"/>
      <c r="P1043" s="5"/>
      <c r="Q1043" s="6" t="s">
        <v>30</v>
      </c>
      <c r="R1043" s="4" t="s">
        <v>31</v>
      </c>
      <c r="S1043" s="7" t="s">
        <v>32</v>
      </c>
      <c r="T1043" s="5"/>
    </row>
    <row r="1044" customFormat="false" ht="29.25" hidden="false" customHeight="true" outlineLevel="0" collapsed="false">
      <c r="A1044" s="4" t="n">
        <v>1043</v>
      </c>
      <c r="B1044" s="6" t="s">
        <v>1787</v>
      </c>
      <c r="C1044" s="6" t="s">
        <v>3572</v>
      </c>
      <c r="D1044" s="6" t="s">
        <v>3573</v>
      </c>
      <c r="E1044" s="7" t="s">
        <v>21</v>
      </c>
      <c r="F1044" s="6" t="s">
        <v>3843</v>
      </c>
      <c r="G1044" s="6" t="s">
        <v>3844</v>
      </c>
      <c r="H1044" s="6" t="s">
        <v>3845</v>
      </c>
      <c r="I1044" s="6" t="s">
        <v>3846</v>
      </c>
      <c r="J1044" s="6" t="s">
        <v>3847</v>
      </c>
      <c r="K1044" s="5"/>
      <c r="L1044" s="4" t="s">
        <v>44</v>
      </c>
      <c r="M1044" s="8" t="s">
        <v>79</v>
      </c>
      <c r="N1044" s="9" t="s">
        <v>3579</v>
      </c>
      <c r="O1044" s="5"/>
      <c r="P1044" s="5"/>
      <c r="Q1044" s="6" t="s">
        <v>30</v>
      </c>
      <c r="R1044" s="4" t="s">
        <v>31</v>
      </c>
      <c r="S1044" s="7" t="s">
        <v>32</v>
      </c>
      <c r="T1044" s="5"/>
    </row>
    <row r="1045" customFormat="false" ht="29.25" hidden="false" customHeight="true" outlineLevel="0" collapsed="false">
      <c r="A1045" s="4" t="n">
        <v>1044</v>
      </c>
      <c r="B1045" s="6" t="s">
        <v>1787</v>
      </c>
      <c r="C1045" s="6" t="s">
        <v>3572</v>
      </c>
      <c r="D1045" s="6" t="s">
        <v>3573</v>
      </c>
      <c r="E1045" s="7" t="s">
        <v>21</v>
      </c>
      <c r="F1045" s="6" t="s">
        <v>3848</v>
      </c>
      <c r="G1045" s="6" t="s">
        <v>3849</v>
      </c>
      <c r="H1045" s="6" t="s">
        <v>3850</v>
      </c>
      <c r="I1045" s="6" t="s">
        <v>3851</v>
      </c>
      <c r="J1045" s="6" t="s">
        <v>322</v>
      </c>
      <c r="K1045" s="5"/>
      <c r="L1045" s="4" t="s">
        <v>44</v>
      </c>
      <c r="M1045" s="8" t="s">
        <v>79</v>
      </c>
      <c r="N1045" s="9" t="s">
        <v>3579</v>
      </c>
      <c r="O1045" s="5"/>
      <c r="P1045" s="5"/>
      <c r="Q1045" s="6" t="s">
        <v>30</v>
      </c>
      <c r="R1045" s="4" t="s">
        <v>31</v>
      </c>
      <c r="S1045" s="7" t="s">
        <v>32</v>
      </c>
      <c r="T1045" s="5"/>
    </row>
    <row r="1046" customFormat="false" ht="43.5" hidden="false" customHeight="true" outlineLevel="0" collapsed="false">
      <c r="A1046" s="4" t="n">
        <v>1045</v>
      </c>
      <c r="B1046" s="6" t="s">
        <v>1787</v>
      </c>
      <c r="C1046" s="6" t="s">
        <v>3572</v>
      </c>
      <c r="D1046" s="6" t="s">
        <v>3573</v>
      </c>
      <c r="E1046" s="7" t="s">
        <v>21</v>
      </c>
      <c r="F1046" s="6" t="s">
        <v>3852</v>
      </c>
      <c r="G1046" s="6" t="s">
        <v>3853</v>
      </c>
      <c r="H1046" s="6" t="s">
        <v>3854</v>
      </c>
      <c r="I1046" s="6" t="s">
        <v>3855</v>
      </c>
      <c r="J1046" s="6" t="s">
        <v>3856</v>
      </c>
      <c r="K1046" s="5"/>
      <c r="L1046" s="4" t="s">
        <v>44</v>
      </c>
      <c r="M1046" s="8" t="s">
        <v>28</v>
      </c>
      <c r="N1046" s="9" t="s">
        <v>3778</v>
      </c>
      <c r="O1046" s="5"/>
      <c r="P1046" s="5"/>
      <c r="Q1046" s="6" t="s">
        <v>30</v>
      </c>
      <c r="R1046" s="4" t="s">
        <v>31</v>
      </c>
      <c r="S1046" s="7" t="s">
        <v>32</v>
      </c>
      <c r="T1046" s="5"/>
    </row>
    <row r="1047" customFormat="false" ht="29.25" hidden="false" customHeight="true" outlineLevel="0" collapsed="false">
      <c r="A1047" s="4" t="n">
        <v>1046</v>
      </c>
      <c r="B1047" s="6" t="s">
        <v>1787</v>
      </c>
      <c r="C1047" s="6" t="s">
        <v>3572</v>
      </c>
      <c r="D1047" s="6" t="s">
        <v>3573</v>
      </c>
      <c r="E1047" s="7" t="s">
        <v>21</v>
      </c>
      <c r="F1047" s="6" t="s">
        <v>3857</v>
      </c>
      <c r="G1047" s="6" t="s">
        <v>3858</v>
      </c>
      <c r="H1047" s="6" t="s">
        <v>3859</v>
      </c>
      <c r="I1047" s="6" t="s">
        <v>3860</v>
      </c>
      <c r="J1047" s="6" t="s">
        <v>78</v>
      </c>
      <c r="K1047" s="5"/>
      <c r="L1047" s="4" t="s">
        <v>44</v>
      </c>
      <c r="M1047" s="8" t="s">
        <v>79</v>
      </c>
      <c r="N1047" s="9" t="s">
        <v>3635</v>
      </c>
      <c r="O1047" s="5"/>
      <c r="P1047" s="5"/>
      <c r="Q1047" s="6" t="s">
        <v>30</v>
      </c>
      <c r="R1047" s="4" t="s">
        <v>31</v>
      </c>
      <c r="S1047" s="7" t="s">
        <v>32</v>
      </c>
      <c r="T1047" s="5"/>
    </row>
    <row r="1048" customFormat="false" ht="15" hidden="false" customHeight="true" outlineLevel="0" collapsed="false">
      <c r="A1048" s="4" t="n">
        <v>1047</v>
      </c>
      <c r="B1048" s="6" t="s">
        <v>1787</v>
      </c>
      <c r="C1048" s="6" t="s">
        <v>3572</v>
      </c>
      <c r="D1048" s="6" t="s">
        <v>3573</v>
      </c>
      <c r="E1048" s="7" t="s">
        <v>21</v>
      </c>
      <c r="F1048" s="6" t="s">
        <v>3861</v>
      </c>
      <c r="G1048" s="6" t="s">
        <v>3862</v>
      </c>
      <c r="H1048" s="6" t="s">
        <v>3863</v>
      </c>
      <c r="I1048" s="6" t="s">
        <v>3864</v>
      </c>
      <c r="J1048" s="6" t="s">
        <v>3865</v>
      </c>
      <c r="K1048" s="5"/>
      <c r="L1048" s="4" t="s">
        <v>51</v>
      </c>
      <c r="M1048" s="8" t="s">
        <v>129</v>
      </c>
      <c r="N1048" s="9" t="s">
        <v>3579</v>
      </c>
      <c r="O1048" s="5"/>
      <c r="P1048" s="5"/>
      <c r="Q1048" s="6" t="s">
        <v>30</v>
      </c>
      <c r="R1048" s="4" t="s">
        <v>31</v>
      </c>
      <c r="S1048" s="7" t="s">
        <v>32</v>
      </c>
      <c r="T1048" s="5"/>
    </row>
    <row r="1049" customFormat="false" ht="15" hidden="false" customHeight="true" outlineLevel="0" collapsed="false">
      <c r="A1049" s="4" t="n">
        <v>1048</v>
      </c>
      <c r="B1049" s="6" t="s">
        <v>1787</v>
      </c>
      <c r="C1049" s="6" t="s">
        <v>3572</v>
      </c>
      <c r="D1049" s="6" t="s">
        <v>3573</v>
      </c>
      <c r="E1049" s="7" t="s">
        <v>21</v>
      </c>
      <c r="F1049" s="6" t="s">
        <v>3866</v>
      </c>
      <c r="G1049" s="6" t="s">
        <v>3862</v>
      </c>
      <c r="H1049" s="6" t="s">
        <v>3863</v>
      </c>
      <c r="I1049" s="6" t="s">
        <v>3864</v>
      </c>
      <c r="J1049" s="6" t="s">
        <v>3865</v>
      </c>
      <c r="K1049" s="5"/>
      <c r="L1049" s="4" t="s">
        <v>62</v>
      </c>
      <c r="M1049" s="8" t="s">
        <v>129</v>
      </c>
      <c r="N1049" s="9" t="s">
        <v>3683</v>
      </c>
      <c r="O1049" s="5"/>
      <c r="P1049" s="5"/>
      <c r="Q1049" s="6" t="s">
        <v>30</v>
      </c>
      <c r="R1049" s="4" t="s">
        <v>31</v>
      </c>
      <c r="S1049" s="7" t="s">
        <v>32</v>
      </c>
      <c r="T1049" s="5"/>
    </row>
    <row r="1050" customFormat="false" ht="15" hidden="false" customHeight="true" outlineLevel="0" collapsed="false">
      <c r="A1050" s="4" t="n">
        <v>1049</v>
      </c>
      <c r="B1050" s="6" t="s">
        <v>1787</v>
      </c>
      <c r="C1050" s="6" t="s">
        <v>3572</v>
      </c>
      <c r="D1050" s="6" t="s">
        <v>3573</v>
      </c>
      <c r="E1050" s="7" t="s">
        <v>21</v>
      </c>
      <c r="F1050" s="6" t="s">
        <v>3867</v>
      </c>
      <c r="G1050" s="6" t="s">
        <v>3862</v>
      </c>
      <c r="H1050" s="6" t="s">
        <v>3863</v>
      </c>
      <c r="I1050" s="6" t="s">
        <v>3864</v>
      </c>
      <c r="J1050" s="6" t="s">
        <v>3865</v>
      </c>
      <c r="K1050" s="5"/>
      <c r="L1050" s="4" t="s">
        <v>44</v>
      </c>
      <c r="M1050" s="8" t="s">
        <v>129</v>
      </c>
      <c r="N1050" s="9" t="s">
        <v>3579</v>
      </c>
      <c r="O1050" s="5"/>
      <c r="P1050" s="5"/>
      <c r="Q1050" s="6" t="s">
        <v>30</v>
      </c>
      <c r="R1050" s="4" t="s">
        <v>31</v>
      </c>
      <c r="S1050" s="7" t="s">
        <v>32</v>
      </c>
      <c r="T1050" s="5"/>
    </row>
    <row r="1051" customFormat="false" ht="29.25" hidden="false" customHeight="true" outlineLevel="0" collapsed="false">
      <c r="A1051" s="4" t="n">
        <v>1050</v>
      </c>
      <c r="B1051" s="6" t="s">
        <v>1787</v>
      </c>
      <c r="C1051" s="6" t="s">
        <v>3572</v>
      </c>
      <c r="D1051" s="6" t="s">
        <v>3573</v>
      </c>
      <c r="E1051" s="7" t="s">
        <v>21</v>
      </c>
      <c r="F1051" s="6" t="s">
        <v>3868</v>
      </c>
      <c r="G1051" s="6" t="s">
        <v>3862</v>
      </c>
      <c r="H1051" s="6" t="s">
        <v>3863</v>
      </c>
      <c r="I1051" s="6" t="s">
        <v>3864</v>
      </c>
      <c r="J1051" s="6" t="s">
        <v>3865</v>
      </c>
      <c r="K1051" s="5"/>
      <c r="L1051" s="4" t="s">
        <v>27</v>
      </c>
      <c r="M1051" s="8" t="s">
        <v>79</v>
      </c>
      <c r="N1051" s="9" t="s">
        <v>3869</v>
      </c>
      <c r="O1051" s="5"/>
      <c r="P1051" s="5"/>
      <c r="Q1051" s="6" t="s">
        <v>30</v>
      </c>
      <c r="R1051" s="4" t="s">
        <v>31</v>
      </c>
      <c r="S1051" s="7" t="s">
        <v>32</v>
      </c>
      <c r="T1051" s="5"/>
    </row>
    <row r="1052" customFormat="false" ht="43.5" hidden="false" customHeight="true" outlineLevel="0" collapsed="false">
      <c r="A1052" s="4" t="n">
        <v>1051</v>
      </c>
      <c r="B1052" s="6" t="s">
        <v>1787</v>
      </c>
      <c r="C1052" s="6" t="s">
        <v>3572</v>
      </c>
      <c r="D1052" s="6" t="s">
        <v>3573</v>
      </c>
      <c r="E1052" s="7" t="s">
        <v>21</v>
      </c>
      <c r="F1052" s="6" t="s">
        <v>3870</v>
      </c>
      <c r="G1052" s="6" t="s">
        <v>3871</v>
      </c>
      <c r="H1052" s="6" t="s">
        <v>3872</v>
      </c>
      <c r="I1052" s="6" t="s">
        <v>3873</v>
      </c>
      <c r="J1052" s="6" t="s">
        <v>3874</v>
      </c>
      <c r="K1052" s="5"/>
      <c r="L1052" s="4" t="s">
        <v>51</v>
      </c>
      <c r="M1052" s="8" t="s">
        <v>28</v>
      </c>
      <c r="N1052" s="9" t="s">
        <v>3585</v>
      </c>
      <c r="O1052" s="5"/>
      <c r="P1052" s="5"/>
      <c r="Q1052" s="6" t="s">
        <v>30</v>
      </c>
      <c r="R1052" s="4" t="s">
        <v>31</v>
      </c>
      <c r="S1052" s="7" t="s">
        <v>32</v>
      </c>
      <c r="T1052" s="5"/>
    </row>
    <row r="1053" customFormat="false" ht="15" hidden="false" customHeight="true" outlineLevel="0" collapsed="false">
      <c r="A1053" s="4" t="n">
        <v>1052</v>
      </c>
      <c r="B1053" s="6" t="s">
        <v>1787</v>
      </c>
      <c r="C1053" s="6" t="s">
        <v>3572</v>
      </c>
      <c r="D1053" s="6" t="s">
        <v>3573</v>
      </c>
      <c r="E1053" s="7" t="s">
        <v>21</v>
      </c>
      <c r="F1053" s="6" t="s">
        <v>3875</v>
      </c>
      <c r="G1053" s="6" t="s">
        <v>3876</v>
      </c>
      <c r="H1053" s="6" t="s">
        <v>3877</v>
      </c>
      <c r="I1053" s="6" t="s">
        <v>3878</v>
      </c>
      <c r="J1053" s="6" t="s">
        <v>3873</v>
      </c>
      <c r="K1053" s="5"/>
      <c r="L1053" s="4" t="s">
        <v>27</v>
      </c>
      <c r="M1053" s="8" t="s">
        <v>79</v>
      </c>
      <c r="N1053" s="9" t="s">
        <v>3635</v>
      </c>
      <c r="O1053" s="5"/>
      <c r="P1053" s="5"/>
      <c r="Q1053" s="6" t="s">
        <v>30</v>
      </c>
      <c r="R1053" s="4" t="s">
        <v>31</v>
      </c>
      <c r="S1053" s="7" t="s">
        <v>32</v>
      </c>
      <c r="T1053" s="5"/>
    </row>
    <row r="1054" customFormat="false" ht="29.25" hidden="false" customHeight="true" outlineLevel="0" collapsed="false">
      <c r="A1054" s="4" t="n">
        <v>1053</v>
      </c>
      <c r="B1054" s="6" t="s">
        <v>1787</v>
      </c>
      <c r="C1054" s="6" t="s">
        <v>3572</v>
      </c>
      <c r="D1054" s="6" t="s">
        <v>3573</v>
      </c>
      <c r="E1054" s="7" t="s">
        <v>21</v>
      </c>
      <c r="F1054" s="6" t="s">
        <v>3879</v>
      </c>
      <c r="G1054" s="6" t="s">
        <v>3862</v>
      </c>
      <c r="H1054" s="6" t="s">
        <v>3863</v>
      </c>
      <c r="I1054" s="6" t="s">
        <v>3864</v>
      </c>
      <c r="J1054" s="6" t="s">
        <v>3865</v>
      </c>
      <c r="K1054" s="5"/>
      <c r="L1054" s="4" t="s">
        <v>27</v>
      </c>
      <c r="M1054" s="8" t="s">
        <v>79</v>
      </c>
      <c r="N1054" s="9" t="s">
        <v>3585</v>
      </c>
      <c r="O1054" s="5"/>
      <c r="P1054" s="5"/>
      <c r="Q1054" s="6" t="s">
        <v>30</v>
      </c>
      <c r="R1054" s="4" t="s">
        <v>31</v>
      </c>
      <c r="S1054" s="7" t="s">
        <v>32</v>
      </c>
      <c r="T1054" s="5"/>
    </row>
    <row r="1055" customFormat="false" ht="15" hidden="false" customHeight="true" outlineLevel="0" collapsed="false">
      <c r="A1055" s="4" t="n">
        <v>1054</v>
      </c>
      <c r="B1055" s="6" t="s">
        <v>1787</v>
      </c>
      <c r="C1055" s="6" t="s">
        <v>3572</v>
      </c>
      <c r="D1055" s="6" t="s">
        <v>3573</v>
      </c>
      <c r="E1055" s="7" t="s">
        <v>21</v>
      </c>
      <c r="F1055" s="6" t="s">
        <v>3880</v>
      </c>
      <c r="G1055" s="6" t="s">
        <v>3881</v>
      </c>
      <c r="H1055" s="6" t="s">
        <v>3882</v>
      </c>
      <c r="I1055" s="6" t="s">
        <v>3883</v>
      </c>
      <c r="J1055" s="6" t="s">
        <v>3884</v>
      </c>
      <c r="K1055" s="5"/>
      <c r="L1055" s="4" t="s">
        <v>44</v>
      </c>
      <c r="M1055" s="8" t="s">
        <v>79</v>
      </c>
      <c r="N1055" s="9" t="s">
        <v>3579</v>
      </c>
      <c r="O1055" s="5"/>
      <c r="P1055" s="5"/>
      <c r="Q1055" s="6" t="s">
        <v>30</v>
      </c>
      <c r="R1055" s="4" t="s">
        <v>31</v>
      </c>
      <c r="S1055" s="7" t="s">
        <v>32</v>
      </c>
      <c r="T1055" s="5"/>
    </row>
    <row r="1056" customFormat="false" ht="43.5" hidden="false" customHeight="true" outlineLevel="0" collapsed="false">
      <c r="A1056" s="4" t="n">
        <v>1055</v>
      </c>
      <c r="B1056" s="6" t="s">
        <v>1787</v>
      </c>
      <c r="C1056" s="6" t="s">
        <v>3572</v>
      </c>
      <c r="D1056" s="6" t="s">
        <v>3573</v>
      </c>
      <c r="E1056" s="7" t="s">
        <v>21</v>
      </c>
      <c r="F1056" s="6" t="s">
        <v>3885</v>
      </c>
      <c r="G1056" s="6" t="s">
        <v>3886</v>
      </c>
      <c r="H1056" s="6" t="s">
        <v>3887</v>
      </c>
      <c r="I1056" s="6" t="s">
        <v>3888</v>
      </c>
      <c r="J1056" s="6" t="s">
        <v>78</v>
      </c>
      <c r="K1056" s="5"/>
      <c r="L1056" s="4" t="s">
        <v>44</v>
      </c>
      <c r="M1056" s="8" t="s">
        <v>28</v>
      </c>
      <c r="N1056" s="9" t="s">
        <v>3579</v>
      </c>
      <c r="O1056" s="5"/>
      <c r="P1056" s="5"/>
      <c r="Q1056" s="6" t="s">
        <v>30</v>
      </c>
      <c r="R1056" s="4" t="s">
        <v>31</v>
      </c>
      <c r="S1056" s="7" t="s">
        <v>32</v>
      </c>
      <c r="T1056" s="5"/>
    </row>
    <row r="1057" customFormat="false" ht="15" hidden="false" customHeight="true" outlineLevel="0" collapsed="false">
      <c r="A1057" s="4" t="n">
        <v>1056</v>
      </c>
      <c r="B1057" s="6" t="s">
        <v>1787</v>
      </c>
      <c r="C1057" s="6" t="s">
        <v>3572</v>
      </c>
      <c r="D1057" s="6" t="s">
        <v>3573</v>
      </c>
      <c r="E1057" s="7" t="s">
        <v>21</v>
      </c>
      <c r="F1057" s="6" t="s">
        <v>3889</v>
      </c>
      <c r="G1057" s="6" t="s">
        <v>3890</v>
      </c>
      <c r="H1057" s="6" t="s">
        <v>3891</v>
      </c>
      <c r="I1057" s="6" t="s">
        <v>3892</v>
      </c>
      <c r="J1057" s="6" t="s">
        <v>3893</v>
      </c>
      <c r="K1057" s="5"/>
      <c r="L1057" s="4" t="s">
        <v>51</v>
      </c>
      <c r="M1057" s="8" t="s">
        <v>129</v>
      </c>
      <c r="N1057" s="9" t="s">
        <v>3579</v>
      </c>
      <c r="O1057" s="5"/>
      <c r="P1057" s="5"/>
      <c r="Q1057" s="6" t="s">
        <v>30</v>
      </c>
      <c r="R1057" s="4" t="s">
        <v>31</v>
      </c>
      <c r="S1057" s="7" t="s">
        <v>32</v>
      </c>
      <c r="T1057" s="5"/>
    </row>
    <row r="1058" customFormat="false" ht="43.5" hidden="false" customHeight="true" outlineLevel="0" collapsed="false">
      <c r="A1058" s="4" t="n">
        <v>1057</v>
      </c>
      <c r="B1058" s="6" t="s">
        <v>1787</v>
      </c>
      <c r="C1058" s="6" t="s">
        <v>3572</v>
      </c>
      <c r="D1058" s="6" t="s">
        <v>3573</v>
      </c>
      <c r="E1058" s="7" t="s">
        <v>21</v>
      </c>
      <c r="F1058" s="6" t="s">
        <v>3894</v>
      </c>
      <c r="G1058" s="6" t="s">
        <v>3895</v>
      </c>
      <c r="H1058" s="6" t="s">
        <v>3896</v>
      </c>
      <c r="I1058" s="6" t="s">
        <v>3897</v>
      </c>
      <c r="J1058" s="6" t="s">
        <v>3898</v>
      </c>
      <c r="K1058" s="5"/>
      <c r="L1058" s="4" t="s">
        <v>51</v>
      </c>
      <c r="M1058" s="8" t="s">
        <v>79</v>
      </c>
      <c r="N1058" s="9" t="s">
        <v>3635</v>
      </c>
      <c r="O1058" s="5"/>
      <c r="P1058" s="5"/>
      <c r="Q1058" s="6" t="s">
        <v>30</v>
      </c>
      <c r="R1058" s="4" t="s">
        <v>31</v>
      </c>
      <c r="S1058" s="7" t="s">
        <v>32</v>
      </c>
      <c r="T1058" s="5"/>
    </row>
    <row r="1059" customFormat="false" ht="86.25" hidden="false" customHeight="true" outlineLevel="0" collapsed="false">
      <c r="A1059" s="4" t="n">
        <v>1058</v>
      </c>
      <c r="B1059" s="6" t="s">
        <v>1787</v>
      </c>
      <c r="C1059" s="6" t="s">
        <v>3572</v>
      </c>
      <c r="D1059" s="6" t="s">
        <v>3573</v>
      </c>
      <c r="E1059" s="7" t="s">
        <v>21</v>
      </c>
      <c r="F1059" s="6" t="s">
        <v>3899</v>
      </c>
      <c r="G1059" s="6" t="s">
        <v>3900</v>
      </c>
      <c r="H1059" s="6" t="s">
        <v>3901</v>
      </c>
      <c r="I1059" s="6" t="s">
        <v>3902</v>
      </c>
      <c r="J1059" s="6" t="s">
        <v>78</v>
      </c>
      <c r="K1059" s="5"/>
      <c r="L1059" s="4" t="s">
        <v>44</v>
      </c>
      <c r="M1059" s="8" t="s">
        <v>28</v>
      </c>
      <c r="N1059" s="9" t="s">
        <v>3635</v>
      </c>
      <c r="O1059" s="5"/>
      <c r="P1059" s="5"/>
      <c r="Q1059" s="6" t="s">
        <v>30</v>
      </c>
      <c r="R1059" s="4" t="s">
        <v>31</v>
      </c>
      <c r="S1059" s="7" t="s">
        <v>32</v>
      </c>
      <c r="T1059" s="5"/>
    </row>
    <row r="1060" customFormat="false" ht="43.5" hidden="false" customHeight="true" outlineLevel="0" collapsed="false">
      <c r="A1060" s="4" t="n">
        <v>1059</v>
      </c>
      <c r="B1060" s="6" t="s">
        <v>1787</v>
      </c>
      <c r="C1060" s="6" t="s">
        <v>3572</v>
      </c>
      <c r="D1060" s="6" t="s">
        <v>3573</v>
      </c>
      <c r="E1060" s="7" t="s">
        <v>21</v>
      </c>
      <c r="F1060" s="6" t="s">
        <v>3903</v>
      </c>
      <c r="G1060" s="6" t="s">
        <v>3904</v>
      </c>
      <c r="H1060" s="6" t="s">
        <v>3905</v>
      </c>
      <c r="I1060" s="6" t="s">
        <v>3906</v>
      </c>
      <c r="J1060" s="6" t="s">
        <v>3907</v>
      </c>
      <c r="K1060" s="5"/>
      <c r="L1060" s="4" t="s">
        <v>51</v>
      </c>
      <c r="M1060" s="8" t="s">
        <v>79</v>
      </c>
      <c r="N1060" s="9" t="s">
        <v>3635</v>
      </c>
      <c r="O1060" s="5"/>
      <c r="P1060" s="5"/>
      <c r="Q1060" s="6" t="s">
        <v>30</v>
      </c>
      <c r="R1060" s="4" t="s">
        <v>31</v>
      </c>
      <c r="S1060" s="7" t="s">
        <v>32</v>
      </c>
      <c r="T1060" s="5"/>
    </row>
    <row r="1061" customFormat="false" ht="43.5" hidden="false" customHeight="true" outlineLevel="0" collapsed="false">
      <c r="A1061" s="4" t="n">
        <v>1060</v>
      </c>
      <c r="B1061" s="6" t="s">
        <v>1787</v>
      </c>
      <c r="C1061" s="6" t="s">
        <v>3572</v>
      </c>
      <c r="D1061" s="6" t="s">
        <v>3573</v>
      </c>
      <c r="E1061" s="7" t="s">
        <v>21</v>
      </c>
      <c r="F1061" s="6" t="s">
        <v>3908</v>
      </c>
      <c r="G1061" s="6" t="s">
        <v>3909</v>
      </c>
      <c r="H1061" s="6" t="s">
        <v>3910</v>
      </c>
      <c r="I1061" s="6" t="s">
        <v>3911</v>
      </c>
      <c r="J1061" s="6" t="s">
        <v>3912</v>
      </c>
      <c r="K1061" s="5"/>
      <c r="L1061" s="4" t="s">
        <v>62</v>
      </c>
      <c r="M1061" s="8" t="s">
        <v>79</v>
      </c>
      <c r="N1061" s="9" t="s">
        <v>3635</v>
      </c>
      <c r="O1061" s="5"/>
      <c r="P1061" s="5"/>
      <c r="Q1061" s="6" t="s">
        <v>30</v>
      </c>
      <c r="R1061" s="4" t="s">
        <v>31</v>
      </c>
      <c r="S1061" s="7" t="s">
        <v>32</v>
      </c>
      <c r="T1061" s="5"/>
    </row>
    <row r="1062" customFormat="false" ht="72" hidden="false" customHeight="true" outlineLevel="0" collapsed="false">
      <c r="A1062" s="4" t="n">
        <v>1061</v>
      </c>
      <c r="B1062" s="6" t="s">
        <v>1787</v>
      </c>
      <c r="C1062" s="6" t="s">
        <v>3572</v>
      </c>
      <c r="D1062" s="6" t="s">
        <v>3573</v>
      </c>
      <c r="E1062" s="7" t="s">
        <v>21</v>
      </c>
      <c r="F1062" s="6" t="s">
        <v>3913</v>
      </c>
      <c r="G1062" s="6" t="s">
        <v>3914</v>
      </c>
      <c r="H1062" s="6" t="s">
        <v>3915</v>
      </c>
      <c r="I1062" s="6" t="s">
        <v>3916</v>
      </c>
      <c r="J1062" s="6" t="s">
        <v>78</v>
      </c>
      <c r="K1062" s="5"/>
      <c r="L1062" s="4" t="s">
        <v>44</v>
      </c>
      <c r="M1062" s="8" t="s">
        <v>28</v>
      </c>
      <c r="N1062" s="9" t="s">
        <v>3635</v>
      </c>
      <c r="O1062" s="5"/>
      <c r="P1062" s="5"/>
      <c r="Q1062" s="6" t="s">
        <v>30</v>
      </c>
      <c r="R1062" s="4" t="s">
        <v>31</v>
      </c>
      <c r="S1062" s="7" t="s">
        <v>32</v>
      </c>
      <c r="T1062" s="5"/>
    </row>
    <row r="1063" customFormat="false" ht="29.25" hidden="false" customHeight="true" outlineLevel="0" collapsed="false">
      <c r="A1063" s="4" t="n">
        <v>1062</v>
      </c>
      <c r="B1063" s="6" t="s">
        <v>1787</v>
      </c>
      <c r="C1063" s="6" t="s">
        <v>3572</v>
      </c>
      <c r="D1063" s="6" t="s">
        <v>3573</v>
      </c>
      <c r="E1063" s="7" t="s">
        <v>21</v>
      </c>
      <c r="F1063" s="6" t="s">
        <v>3917</v>
      </c>
      <c r="G1063" s="6" t="s">
        <v>3918</v>
      </c>
      <c r="H1063" s="6" t="s">
        <v>3919</v>
      </c>
      <c r="I1063" s="6" t="s">
        <v>3920</v>
      </c>
      <c r="J1063" s="6" t="s">
        <v>3921</v>
      </c>
      <c r="K1063" s="5"/>
      <c r="L1063" s="4" t="s">
        <v>51</v>
      </c>
      <c r="M1063" s="8" t="s">
        <v>79</v>
      </c>
      <c r="N1063" s="9" t="s">
        <v>3635</v>
      </c>
      <c r="O1063" s="5"/>
      <c r="P1063" s="5"/>
      <c r="Q1063" s="6" t="s">
        <v>30</v>
      </c>
      <c r="R1063" s="4" t="s">
        <v>31</v>
      </c>
      <c r="S1063" s="7" t="s">
        <v>32</v>
      </c>
      <c r="T1063" s="5"/>
    </row>
    <row r="1064" customFormat="false" ht="29.25" hidden="false" customHeight="true" outlineLevel="0" collapsed="false">
      <c r="A1064" s="4" t="n">
        <v>1063</v>
      </c>
      <c r="B1064" s="6" t="s">
        <v>1787</v>
      </c>
      <c r="C1064" s="6" t="s">
        <v>3572</v>
      </c>
      <c r="D1064" s="6" t="s">
        <v>3573</v>
      </c>
      <c r="E1064" s="7" t="s">
        <v>21</v>
      </c>
      <c r="F1064" s="6" t="s">
        <v>3922</v>
      </c>
      <c r="G1064" s="6" t="s">
        <v>3579</v>
      </c>
      <c r="H1064" s="6" t="s">
        <v>3923</v>
      </c>
      <c r="I1064" s="6" t="s">
        <v>3924</v>
      </c>
      <c r="J1064" s="6" t="s">
        <v>3925</v>
      </c>
      <c r="K1064" s="5"/>
      <c r="L1064" s="4" t="s">
        <v>44</v>
      </c>
      <c r="M1064" s="8" t="s">
        <v>79</v>
      </c>
      <c r="N1064" s="9" t="s">
        <v>3579</v>
      </c>
      <c r="O1064" s="5"/>
      <c r="P1064" s="5"/>
      <c r="Q1064" s="6" t="s">
        <v>30</v>
      </c>
      <c r="R1064" s="4" t="s">
        <v>31</v>
      </c>
      <c r="S1064" s="7" t="s">
        <v>32</v>
      </c>
      <c r="T1064" s="5"/>
    </row>
    <row r="1065" customFormat="false" ht="29.25" hidden="false" customHeight="true" outlineLevel="0" collapsed="false">
      <c r="A1065" s="4" t="n">
        <v>1064</v>
      </c>
      <c r="B1065" s="6" t="s">
        <v>1787</v>
      </c>
      <c r="C1065" s="6" t="s">
        <v>3572</v>
      </c>
      <c r="D1065" s="6" t="s">
        <v>3573</v>
      </c>
      <c r="E1065" s="7" t="s">
        <v>21</v>
      </c>
      <c r="F1065" s="6" t="s">
        <v>3926</v>
      </c>
      <c r="G1065" s="6" t="s">
        <v>3927</v>
      </c>
      <c r="H1065" s="6" t="s">
        <v>3928</v>
      </c>
      <c r="I1065" s="6" t="s">
        <v>3929</v>
      </c>
      <c r="J1065" s="6" t="s">
        <v>3930</v>
      </c>
      <c r="K1065" s="5"/>
      <c r="L1065" s="4" t="s">
        <v>27</v>
      </c>
      <c r="M1065" s="8" t="s">
        <v>28</v>
      </c>
      <c r="N1065" s="9" t="s">
        <v>3778</v>
      </c>
      <c r="O1065" s="5"/>
      <c r="P1065" s="5"/>
      <c r="Q1065" s="6" t="s">
        <v>30</v>
      </c>
      <c r="R1065" s="4" t="s">
        <v>31</v>
      </c>
      <c r="S1065" s="7" t="s">
        <v>32</v>
      </c>
      <c r="T1065" s="5"/>
    </row>
    <row r="1066" customFormat="false" ht="43.5" hidden="false" customHeight="true" outlineLevel="0" collapsed="false">
      <c r="A1066" s="4" t="n">
        <v>1065</v>
      </c>
      <c r="B1066" s="6" t="s">
        <v>1787</v>
      </c>
      <c r="C1066" s="6" t="s">
        <v>3572</v>
      </c>
      <c r="D1066" s="6" t="s">
        <v>3573</v>
      </c>
      <c r="E1066" s="7" t="s">
        <v>21</v>
      </c>
      <c r="F1066" s="6" t="s">
        <v>3931</v>
      </c>
      <c r="G1066" s="6" t="s">
        <v>3932</v>
      </c>
      <c r="H1066" s="6" t="s">
        <v>3933</v>
      </c>
      <c r="I1066" s="6" t="s">
        <v>3934</v>
      </c>
      <c r="J1066" s="6" t="s">
        <v>3935</v>
      </c>
      <c r="K1066" s="5"/>
      <c r="L1066" s="4" t="s">
        <v>51</v>
      </c>
      <c r="M1066" s="8" t="s">
        <v>79</v>
      </c>
      <c r="N1066" s="9" t="s">
        <v>3579</v>
      </c>
      <c r="O1066" s="5"/>
      <c r="P1066" s="5"/>
      <c r="Q1066" s="6" t="s">
        <v>30</v>
      </c>
      <c r="R1066" s="4" t="s">
        <v>31</v>
      </c>
      <c r="S1066" s="7" t="s">
        <v>32</v>
      </c>
      <c r="T1066" s="5"/>
    </row>
    <row r="1067" customFormat="false" ht="29.25" hidden="false" customHeight="true" outlineLevel="0" collapsed="false">
      <c r="A1067" s="4" t="n">
        <v>1066</v>
      </c>
      <c r="B1067" s="6" t="s">
        <v>1787</v>
      </c>
      <c r="C1067" s="6" t="s">
        <v>3572</v>
      </c>
      <c r="D1067" s="6" t="s">
        <v>3573</v>
      </c>
      <c r="E1067" s="7" t="s">
        <v>21</v>
      </c>
      <c r="F1067" s="6" t="s">
        <v>3936</v>
      </c>
      <c r="G1067" s="6" t="s">
        <v>3937</v>
      </c>
      <c r="H1067" s="6" t="s">
        <v>3938</v>
      </c>
      <c r="I1067" s="6" t="s">
        <v>3939</v>
      </c>
      <c r="J1067" s="6" t="s">
        <v>3940</v>
      </c>
      <c r="K1067" s="5"/>
      <c r="L1067" s="4" t="s">
        <v>62</v>
      </c>
      <c r="M1067" s="8" t="s">
        <v>79</v>
      </c>
      <c r="N1067" s="9" t="s">
        <v>3778</v>
      </c>
      <c r="O1067" s="5"/>
      <c r="P1067" s="5"/>
      <c r="Q1067" s="6" t="s">
        <v>30</v>
      </c>
      <c r="R1067" s="4" t="s">
        <v>31</v>
      </c>
      <c r="S1067" s="7" t="s">
        <v>32</v>
      </c>
      <c r="T1067" s="5"/>
    </row>
    <row r="1068" customFormat="false" ht="15" hidden="false" customHeight="true" outlineLevel="0" collapsed="false">
      <c r="A1068" s="4" t="n">
        <v>1067</v>
      </c>
      <c r="B1068" s="6" t="s">
        <v>1787</v>
      </c>
      <c r="C1068" s="6" t="s">
        <v>3572</v>
      </c>
      <c r="D1068" s="6" t="s">
        <v>3573</v>
      </c>
      <c r="E1068" s="7" t="s">
        <v>21</v>
      </c>
      <c r="F1068" s="6" t="s">
        <v>3941</v>
      </c>
      <c r="G1068" s="6" t="s">
        <v>3942</v>
      </c>
      <c r="H1068" s="6" t="s">
        <v>3943</v>
      </c>
      <c r="I1068" s="6" t="s">
        <v>3944</v>
      </c>
      <c r="J1068" s="6" t="s">
        <v>3940</v>
      </c>
      <c r="K1068" s="5"/>
      <c r="L1068" s="4" t="s">
        <v>27</v>
      </c>
      <c r="M1068" s="8" t="s">
        <v>129</v>
      </c>
      <c r="N1068" s="9" t="s">
        <v>3778</v>
      </c>
      <c r="O1068" s="5"/>
      <c r="P1068" s="5"/>
      <c r="Q1068" s="6" t="s">
        <v>30</v>
      </c>
      <c r="R1068" s="4" t="s">
        <v>31</v>
      </c>
      <c r="S1068" s="7" t="s">
        <v>32</v>
      </c>
      <c r="T1068" s="5"/>
    </row>
    <row r="1069" customFormat="false" ht="29.25" hidden="false" customHeight="true" outlineLevel="0" collapsed="false">
      <c r="A1069" s="4" t="n">
        <v>1068</v>
      </c>
      <c r="B1069" s="6" t="s">
        <v>1787</v>
      </c>
      <c r="C1069" s="6" t="s">
        <v>3572</v>
      </c>
      <c r="D1069" s="6" t="s">
        <v>3573</v>
      </c>
      <c r="E1069" s="7" t="s">
        <v>21</v>
      </c>
      <c r="F1069" s="6" t="s">
        <v>3945</v>
      </c>
      <c r="G1069" s="6" t="s">
        <v>3946</v>
      </c>
      <c r="H1069" s="6" t="s">
        <v>3947</v>
      </c>
      <c r="I1069" s="6" t="s">
        <v>3948</v>
      </c>
      <c r="J1069" s="6" t="s">
        <v>3949</v>
      </c>
      <c r="K1069" s="5"/>
      <c r="L1069" s="4" t="s">
        <v>27</v>
      </c>
      <c r="M1069" s="8" t="s">
        <v>129</v>
      </c>
      <c r="N1069" s="9" t="s">
        <v>3579</v>
      </c>
      <c r="O1069" s="5"/>
      <c r="P1069" s="5"/>
      <c r="Q1069" s="6" t="s">
        <v>30</v>
      </c>
      <c r="R1069" s="4" t="s">
        <v>31</v>
      </c>
      <c r="S1069" s="7" t="s">
        <v>32</v>
      </c>
      <c r="T1069" s="5"/>
    </row>
    <row r="1070" customFormat="false" ht="43.5" hidden="false" customHeight="true" outlineLevel="0" collapsed="false">
      <c r="A1070" s="4" t="n">
        <v>1069</v>
      </c>
      <c r="B1070" s="6" t="s">
        <v>1787</v>
      </c>
      <c r="C1070" s="6" t="s">
        <v>3572</v>
      </c>
      <c r="D1070" s="6" t="s">
        <v>3573</v>
      </c>
      <c r="E1070" s="7" t="s">
        <v>21</v>
      </c>
      <c r="F1070" s="6" t="s">
        <v>3950</v>
      </c>
      <c r="G1070" s="6" t="s">
        <v>3949</v>
      </c>
      <c r="H1070" s="6" t="s">
        <v>3951</v>
      </c>
      <c r="I1070" s="6" t="s">
        <v>3952</v>
      </c>
      <c r="J1070" s="6" t="s">
        <v>3953</v>
      </c>
      <c r="K1070" s="5"/>
      <c r="L1070" s="4" t="s">
        <v>62</v>
      </c>
      <c r="M1070" s="8" t="s">
        <v>129</v>
      </c>
      <c r="N1070" s="9" t="s">
        <v>3579</v>
      </c>
      <c r="O1070" s="5"/>
      <c r="P1070" s="5"/>
      <c r="Q1070" s="6" t="s">
        <v>30</v>
      </c>
      <c r="R1070" s="4" t="s">
        <v>31</v>
      </c>
      <c r="S1070" s="7" t="s">
        <v>32</v>
      </c>
      <c r="T1070" s="5"/>
    </row>
    <row r="1071" customFormat="false" ht="43.5" hidden="false" customHeight="true" outlineLevel="0" collapsed="false">
      <c r="A1071" s="4" t="n">
        <v>1070</v>
      </c>
      <c r="B1071" s="6" t="s">
        <v>1787</v>
      </c>
      <c r="C1071" s="6" t="s">
        <v>3572</v>
      </c>
      <c r="D1071" s="6" t="s">
        <v>3573</v>
      </c>
      <c r="E1071" s="7" t="s">
        <v>21</v>
      </c>
      <c r="F1071" s="6" t="s">
        <v>3954</v>
      </c>
      <c r="G1071" s="6" t="s">
        <v>2193</v>
      </c>
      <c r="H1071" s="6" t="s">
        <v>3955</v>
      </c>
      <c r="I1071" s="6" t="s">
        <v>1429</v>
      </c>
      <c r="J1071" s="6" t="s">
        <v>3956</v>
      </c>
      <c r="K1071" s="5"/>
      <c r="L1071" s="4" t="s">
        <v>51</v>
      </c>
      <c r="M1071" s="8" t="s">
        <v>79</v>
      </c>
      <c r="N1071" s="9" t="s">
        <v>3579</v>
      </c>
      <c r="O1071" s="5"/>
      <c r="P1071" s="5"/>
      <c r="Q1071" s="6" t="s">
        <v>30</v>
      </c>
      <c r="R1071" s="4" t="s">
        <v>31</v>
      </c>
      <c r="S1071" s="7" t="s">
        <v>32</v>
      </c>
      <c r="T1071" s="5"/>
    </row>
    <row r="1072" customFormat="false" ht="29.25" hidden="false" customHeight="true" outlineLevel="0" collapsed="false">
      <c r="A1072" s="4" t="n">
        <v>1071</v>
      </c>
      <c r="B1072" s="6" t="s">
        <v>1787</v>
      </c>
      <c r="C1072" s="6" t="s">
        <v>3572</v>
      </c>
      <c r="D1072" s="6" t="s">
        <v>3573</v>
      </c>
      <c r="E1072" s="7" t="s">
        <v>21</v>
      </c>
      <c r="F1072" s="6" t="s">
        <v>3957</v>
      </c>
      <c r="G1072" s="6" t="s">
        <v>3579</v>
      </c>
      <c r="H1072" s="6" t="s">
        <v>3958</v>
      </c>
      <c r="I1072" s="6" t="s">
        <v>3959</v>
      </c>
      <c r="J1072" s="6" t="s">
        <v>3960</v>
      </c>
      <c r="K1072" s="5"/>
      <c r="L1072" s="4" t="s">
        <v>51</v>
      </c>
      <c r="M1072" s="8" t="s">
        <v>79</v>
      </c>
      <c r="N1072" s="9" t="s">
        <v>3579</v>
      </c>
      <c r="O1072" s="5"/>
      <c r="P1072" s="5"/>
      <c r="Q1072" s="6" t="s">
        <v>30</v>
      </c>
      <c r="R1072" s="4" t="s">
        <v>31</v>
      </c>
      <c r="S1072" s="7" t="s">
        <v>32</v>
      </c>
      <c r="T1072" s="5"/>
    </row>
    <row r="1073" customFormat="false" ht="29.25" hidden="false" customHeight="true" outlineLevel="0" collapsed="false">
      <c r="A1073" s="4" t="n">
        <v>1072</v>
      </c>
      <c r="B1073" s="6" t="s">
        <v>1787</v>
      </c>
      <c r="C1073" s="6" t="s">
        <v>3572</v>
      </c>
      <c r="D1073" s="6" t="s">
        <v>3573</v>
      </c>
      <c r="E1073" s="7" t="s">
        <v>21</v>
      </c>
      <c r="F1073" s="6" t="s">
        <v>3961</v>
      </c>
      <c r="G1073" s="6" t="s">
        <v>3962</v>
      </c>
      <c r="H1073" s="6" t="s">
        <v>3963</v>
      </c>
      <c r="I1073" s="6" t="s">
        <v>3964</v>
      </c>
      <c r="J1073" s="6" t="s">
        <v>3965</v>
      </c>
      <c r="K1073" s="5"/>
      <c r="L1073" s="4" t="s">
        <v>62</v>
      </c>
      <c r="M1073" s="8" t="s">
        <v>79</v>
      </c>
      <c r="N1073" s="9" t="s">
        <v>3579</v>
      </c>
      <c r="O1073" s="5"/>
      <c r="P1073" s="5"/>
      <c r="Q1073" s="6" t="s">
        <v>30</v>
      </c>
      <c r="R1073" s="4" t="s">
        <v>31</v>
      </c>
      <c r="S1073" s="7" t="s">
        <v>32</v>
      </c>
      <c r="T1073" s="5"/>
    </row>
    <row r="1074" customFormat="false" ht="29.25" hidden="false" customHeight="true" outlineLevel="0" collapsed="false">
      <c r="A1074" s="4" t="n">
        <v>1073</v>
      </c>
      <c r="B1074" s="6" t="s">
        <v>1787</v>
      </c>
      <c r="C1074" s="6" t="s">
        <v>3572</v>
      </c>
      <c r="D1074" s="6" t="s">
        <v>3573</v>
      </c>
      <c r="E1074" s="7" t="s">
        <v>21</v>
      </c>
      <c r="F1074" s="6" t="s">
        <v>3966</v>
      </c>
      <c r="G1074" s="6" t="s">
        <v>3967</v>
      </c>
      <c r="H1074" s="6" t="s">
        <v>3962</v>
      </c>
      <c r="I1074" s="6" t="s">
        <v>3965</v>
      </c>
      <c r="J1074" s="6" t="s">
        <v>3968</v>
      </c>
      <c r="K1074" s="5"/>
      <c r="L1074" s="4" t="s">
        <v>44</v>
      </c>
      <c r="M1074" s="8" t="s">
        <v>79</v>
      </c>
      <c r="N1074" s="9" t="s">
        <v>3652</v>
      </c>
      <c r="O1074" s="5"/>
      <c r="P1074" s="5"/>
      <c r="Q1074" s="6" t="s">
        <v>30</v>
      </c>
      <c r="R1074" s="4" t="s">
        <v>31</v>
      </c>
      <c r="S1074" s="7" t="s">
        <v>32</v>
      </c>
      <c r="T1074" s="5"/>
    </row>
    <row r="1075" customFormat="false" ht="72" hidden="false" customHeight="true" outlineLevel="0" collapsed="false">
      <c r="A1075" s="4" t="n">
        <v>1074</v>
      </c>
      <c r="B1075" s="6" t="s">
        <v>1787</v>
      </c>
      <c r="C1075" s="6" t="s">
        <v>3572</v>
      </c>
      <c r="D1075" s="6" t="s">
        <v>3573</v>
      </c>
      <c r="E1075" s="7" t="s">
        <v>21</v>
      </c>
      <c r="F1075" s="6" t="s">
        <v>3969</v>
      </c>
      <c r="G1075" s="6" t="s">
        <v>3970</v>
      </c>
      <c r="H1075" s="6" t="s">
        <v>3971</v>
      </c>
      <c r="I1075" s="6" t="s">
        <v>3972</v>
      </c>
      <c r="J1075" s="6" t="s">
        <v>3682</v>
      </c>
      <c r="K1075" s="5"/>
      <c r="L1075" s="4" t="s">
        <v>44</v>
      </c>
      <c r="M1075" s="8" t="s">
        <v>28</v>
      </c>
      <c r="N1075" s="9" t="s">
        <v>3579</v>
      </c>
      <c r="O1075" s="5"/>
      <c r="P1075" s="5"/>
      <c r="Q1075" s="6" t="s">
        <v>30</v>
      </c>
      <c r="R1075" s="4" t="s">
        <v>31</v>
      </c>
      <c r="S1075" s="7" t="s">
        <v>32</v>
      </c>
      <c r="T1075" s="5"/>
    </row>
    <row r="1076" customFormat="false" ht="29.25" hidden="false" customHeight="true" outlineLevel="0" collapsed="false">
      <c r="A1076" s="4" t="n">
        <v>1075</v>
      </c>
      <c r="B1076" s="6" t="s">
        <v>1787</v>
      </c>
      <c r="C1076" s="6" t="s">
        <v>3572</v>
      </c>
      <c r="D1076" s="6" t="s">
        <v>3573</v>
      </c>
      <c r="E1076" s="7" t="s">
        <v>21</v>
      </c>
      <c r="F1076" s="6" t="s">
        <v>3973</v>
      </c>
      <c r="G1076" s="6" t="s">
        <v>3974</v>
      </c>
      <c r="H1076" s="6" t="s">
        <v>3975</v>
      </c>
      <c r="I1076" s="6" t="s">
        <v>3668</v>
      </c>
      <c r="J1076" s="6" t="s">
        <v>3976</v>
      </c>
      <c r="K1076" s="5"/>
      <c r="L1076" s="4" t="s">
        <v>51</v>
      </c>
      <c r="M1076" s="8" t="s">
        <v>129</v>
      </c>
      <c r="N1076" s="9" t="s">
        <v>3652</v>
      </c>
      <c r="O1076" s="5"/>
      <c r="P1076" s="5"/>
      <c r="Q1076" s="6" t="s">
        <v>30</v>
      </c>
      <c r="R1076" s="4" t="s">
        <v>31</v>
      </c>
      <c r="S1076" s="7" t="s">
        <v>32</v>
      </c>
      <c r="T1076" s="5"/>
    </row>
    <row r="1077" customFormat="false" ht="29.25" hidden="false" customHeight="true" outlineLevel="0" collapsed="false">
      <c r="A1077" s="4" t="n">
        <v>1076</v>
      </c>
      <c r="B1077" s="6" t="s">
        <v>1787</v>
      </c>
      <c r="C1077" s="6" t="s">
        <v>3572</v>
      </c>
      <c r="D1077" s="6" t="s">
        <v>3573</v>
      </c>
      <c r="E1077" s="7" t="s">
        <v>21</v>
      </c>
      <c r="F1077" s="6" t="s">
        <v>3977</v>
      </c>
      <c r="G1077" s="6" t="s">
        <v>3965</v>
      </c>
      <c r="H1077" s="6" t="s">
        <v>3978</v>
      </c>
      <c r="I1077" s="6" t="s">
        <v>3962</v>
      </c>
      <c r="J1077" s="6" t="s">
        <v>3979</v>
      </c>
      <c r="K1077" s="5"/>
      <c r="L1077" s="4" t="s">
        <v>44</v>
      </c>
      <c r="M1077" s="8" t="s">
        <v>79</v>
      </c>
      <c r="N1077" s="9" t="s">
        <v>3579</v>
      </c>
      <c r="O1077" s="5"/>
      <c r="P1077" s="5"/>
      <c r="Q1077" s="6" t="s">
        <v>30</v>
      </c>
      <c r="R1077" s="4" t="s">
        <v>31</v>
      </c>
      <c r="S1077" s="7" t="s">
        <v>32</v>
      </c>
      <c r="T1077" s="5"/>
    </row>
    <row r="1078" customFormat="false" ht="29.25" hidden="false" customHeight="true" outlineLevel="0" collapsed="false">
      <c r="A1078" s="4" t="n">
        <v>1077</v>
      </c>
      <c r="B1078" s="6" t="s">
        <v>1787</v>
      </c>
      <c r="C1078" s="6" t="s">
        <v>3572</v>
      </c>
      <c r="D1078" s="6" t="s">
        <v>3573</v>
      </c>
      <c r="E1078" s="7" t="s">
        <v>21</v>
      </c>
      <c r="F1078" s="6" t="s">
        <v>3980</v>
      </c>
      <c r="G1078" s="6" t="s">
        <v>3981</v>
      </c>
      <c r="H1078" s="6" t="s">
        <v>3982</v>
      </c>
      <c r="I1078" s="6" t="s">
        <v>3965</v>
      </c>
      <c r="J1078" s="6" t="s">
        <v>3979</v>
      </c>
      <c r="K1078" s="5"/>
      <c r="L1078" s="4" t="s">
        <v>27</v>
      </c>
      <c r="M1078" s="8" t="s">
        <v>129</v>
      </c>
      <c r="N1078" s="9" t="s">
        <v>3579</v>
      </c>
      <c r="O1078" s="5"/>
      <c r="P1078" s="5"/>
      <c r="Q1078" s="6" t="s">
        <v>30</v>
      </c>
      <c r="R1078" s="4" t="s">
        <v>31</v>
      </c>
      <c r="S1078" s="7" t="s">
        <v>32</v>
      </c>
      <c r="T1078" s="5"/>
    </row>
    <row r="1079" customFormat="false" ht="29.25" hidden="false" customHeight="true" outlineLevel="0" collapsed="false">
      <c r="A1079" s="4" t="n">
        <v>1078</v>
      </c>
      <c r="B1079" s="6" t="s">
        <v>1787</v>
      </c>
      <c r="C1079" s="6" t="s">
        <v>3572</v>
      </c>
      <c r="D1079" s="6" t="s">
        <v>3573</v>
      </c>
      <c r="E1079" s="7" t="s">
        <v>21</v>
      </c>
      <c r="F1079" s="6" t="s">
        <v>3983</v>
      </c>
      <c r="G1079" s="6" t="s">
        <v>3984</v>
      </c>
      <c r="H1079" s="6" t="s">
        <v>3985</v>
      </c>
      <c r="I1079" s="6" t="s">
        <v>3986</v>
      </c>
      <c r="J1079" s="6" t="s">
        <v>2245</v>
      </c>
      <c r="K1079" s="5"/>
      <c r="L1079" s="4" t="s">
        <v>27</v>
      </c>
      <c r="M1079" s="8" t="s">
        <v>129</v>
      </c>
      <c r="N1079" s="9" t="s">
        <v>3585</v>
      </c>
      <c r="O1079" s="5"/>
      <c r="P1079" s="5"/>
      <c r="Q1079" s="6" t="s">
        <v>30</v>
      </c>
      <c r="R1079" s="4" t="s">
        <v>31</v>
      </c>
      <c r="S1079" s="7" t="s">
        <v>32</v>
      </c>
      <c r="T1079" s="5"/>
    </row>
    <row r="1080" customFormat="false" ht="15" hidden="false" customHeight="true" outlineLevel="0" collapsed="false">
      <c r="A1080" s="4" t="n">
        <v>1079</v>
      </c>
      <c r="B1080" s="6" t="s">
        <v>1787</v>
      </c>
      <c r="C1080" s="6" t="s">
        <v>3572</v>
      </c>
      <c r="D1080" s="6" t="s">
        <v>3573</v>
      </c>
      <c r="E1080" s="7" t="s">
        <v>21</v>
      </c>
      <c r="F1080" s="6" t="s">
        <v>3987</v>
      </c>
      <c r="G1080" s="6" t="s">
        <v>3988</v>
      </c>
      <c r="H1080" s="6" t="s">
        <v>3989</v>
      </c>
      <c r="I1080" s="6" t="s">
        <v>3990</v>
      </c>
      <c r="J1080" s="6" t="s">
        <v>3991</v>
      </c>
      <c r="K1080" s="5"/>
      <c r="L1080" s="4" t="s">
        <v>44</v>
      </c>
      <c r="M1080" s="8" t="s">
        <v>129</v>
      </c>
      <c r="N1080" s="9" t="s">
        <v>3579</v>
      </c>
      <c r="O1080" s="5"/>
      <c r="P1080" s="5"/>
      <c r="Q1080" s="6" t="s">
        <v>30</v>
      </c>
      <c r="R1080" s="4" t="s">
        <v>31</v>
      </c>
      <c r="S1080" s="7" t="s">
        <v>32</v>
      </c>
      <c r="T1080" s="5"/>
    </row>
    <row r="1081" customFormat="false" ht="15" hidden="false" customHeight="true" outlineLevel="0" collapsed="false">
      <c r="A1081" s="4" t="n">
        <v>1080</v>
      </c>
      <c r="B1081" s="6" t="s">
        <v>1787</v>
      </c>
      <c r="C1081" s="6" t="s">
        <v>3572</v>
      </c>
      <c r="D1081" s="6" t="s">
        <v>3573</v>
      </c>
      <c r="E1081" s="7" t="s">
        <v>21</v>
      </c>
      <c r="F1081" s="6" t="s">
        <v>3992</v>
      </c>
      <c r="G1081" s="6" t="s">
        <v>3993</v>
      </c>
      <c r="H1081" s="6" t="s">
        <v>3994</v>
      </c>
      <c r="I1081" s="6" t="s">
        <v>3991</v>
      </c>
      <c r="J1081" s="6" t="s">
        <v>3995</v>
      </c>
      <c r="K1081" s="5"/>
      <c r="L1081" s="4" t="s">
        <v>51</v>
      </c>
      <c r="M1081" s="8" t="s">
        <v>129</v>
      </c>
      <c r="N1081" s="9" t="s">
        <v>3579</v>
      </c>
      <c r="O1081" s="5"/>
      <c r="P1081" s="5"/>
      <c r="Q1081" s="6" t="s">
        <v>30</v>
      </c>
      <c r="R1081" s="4" t="s">
        <v>31</v>
      </c>
      <c r="S1081" s="7" t="s">
        <v>32</v>
      </c>
      <c r="T1081" s="5"/>
    </row>
    <row r="1082" customFormat="false" ht="15" hidden="false" customHeight="true" outlineLevel="0" collapsed="false">
      <c r="A1082" s="4" t="n">
        <v>1081</v>
      </c>
      <c r="B1082" s="6" t="s">
        <v>1787</v>
      </c>
      <c r="C1082" s="6" t="s">
        <v>3572</v>
      </c>
      <c r="D1082" s="6" t="s">
        <v>3573</v>
      </c>
      <c r="E1082" s="7" t="s">
        <v>21</v>
      </c>
      <c r="F1082" s="6" t="s">
        <v>3996</v>
      </c>
      <c r="G1082" s="6" t="s">
        <v>3997</v>
      </c>
      <c r="H1082" s="6" t="s">
        <v>3998</v>
      </c>
      <c r="I1082" s="6" t="s">
        <v>3999</v>
      </c>
      <c r="J1082" s="6" t="s">
        <v>2245</v>
      </c>
      <c r="K1082" s="5"/>
      <c r="L1082" s="4" t="s">
        <v>27</v>
      </c>
      <c r="M1082" s="8" t="s">
        <v>129</v>
      </c>
      <c r="N1082" s="9" t="s">
        <v>3579</v>
      </c>
      <c r="O1082" s="5"/>
      <c r="P1082" s="5"/>
      <c r="Q1082" s="6" t="s">
        <v>30</v>
      </c>
      <c r="R1082" s="4" t="s">
        <v>31</v>
      </c>
      <c r="S1082" s="7" t="s">
        <v>32</v>
      </c>
      <c r="T1082" s="5"/>
    </row>
    <row r="1083" customFormat="false" ht="29.25" hidden="false" customHeight="true" outlineLevel="0" collapsed="false">
      <c r="A1083" s="4" t="n">
        <v>1082</v>
      </c>
      <c r="B1083" s="6" t="s">
        <v>1787</v>
      </c>
      <c r="C1083" s="6" t="s">
        <v>3572</v>
      </c>
      <c r="D1083" s="6" t="s">
        <v>3573</v>
      </c>
      <c r="E1083" s="7" t="s">
        <v>21</v>
      </c>
      <c r="F1083" s="6" t="s">
        <v>4000</v>
      </c>
      <c r="G1083" s="6" t="s">
        <v>4001</v>
      </c>
      <c r="H1083" s="6" t="s">
        <v>4002</v>
      </c>
      <c r="I1083" s="6" t="s">
        <v>4003</v>
      </c>
      <c r="J1083" s="6" t="s">
        <v>78</v>
      </c>
      <c r="K1083" s="5"/>
      <c r="L1083" s="4" t="s">
        <v>27</v>
      </c>
      <c r="M1083" s="8" t="s">
        <v>79</v>
      </c>
      <c r="N1083" s="9" t="s">
        <v>3579</v>
      </c>
      <c r="O1083" s="5"/>
      <c r="P1083" s="5"/>
      <c r="Q1083" s="6" t="s">
        <v>30</v>
      </c>
      <c r="R1083" s="4" t="s">
        <v>31</v>
      </c>
      <c r="S1083" s="7" t="s">
        <v>32</v>
      </c>
      <c r="T1083" s="5"/>
    </row>
    <row r="1084" customFormat="false" ht="15" hidden="false" customHeight="true" outlineLevel="0" collapsed="false">
      <c r="A1084" s="4" t="n">
        <v>1083</v>
      </c>
      <c r="B1084" s="6" t="s">
        <v>1787</v>
      </c>
      <c r="C1084" s="6" t="s">
        <v>3572</v>
      </c>
      <c r="D1084" s="6" t="s">
        <v>3573</v>
      </c>
      <c r="E1084" s="7" t="s">
        <v>21</v>
      </c>
      <c r="F1084" s="6" t="s">
        <v>4004</v>
      </c>
      <c r="G1084" s="6" t="s">
        <v>2629</v>
      </c>
      <c r="H1084" s="6" t="s">
        <v>3040</v>
      </c>
      <c r="I1084" s="6" t="s">
        <v>2626</v>
      </c>
      <c r="J1084" s="6" t="s">
        <v>3187</v>
      </c>
      <c r="K1084" s="5"/>
      <c r="L1084" s="4" t="s">
        <v>51</v>
      </c>
      <c r="M1084" s="8" t="s">
        <v>79</v>
      </c>
      <c r="N1084" s="9" t="s">
        <v>3579</v>
      </c>
      <c r="O1084" s="5"/>
      <c r="P1084" s="5"/>
      <c r="Q1084" s="6" t="s">
        <v>30</v>
      </c>
      <c r="R1084" s="4" t="s">
        <v>31</v>
      </c>
      <c r="S1084" s="7" t="s">
        <v>32</v>
      </c>
      <c r="T1084" s="5"/>
    </row>
    <row r="1085" customFormat="false" ht="15" hidden="false" customHeight="true" outlineLevel="0" collapsed="false">
      <c r="A1085" s="4" t="n">
        <v>1084</v>
      </c>
      <c r="B1085" s="6" t="s">
        <v>1787</v>
      </c>
      <c r="C1085" s="6" t="s">
        <v>3572</v>
      </c>
      <c r="D1085" s="6" t="s">
        <v>3573</v>
      </c>
      <c r="E1085" s="7" t="s">
        <v>21</v>
      </c>
      <c r="F1085" s="6" t="s">
        <v>4005</v>
      </c>
      <c r="G1085" s="6" t="s">
        <v>4006</v>
      </c>
      <c r="H1085" s="6" t="s">
        <v>4007</v>
      </c>
      <c r="I1085" s="6" t="s">
        <v>4008</v>
      </c>
      <c r="J1085" s="6" t="s">
        <v>4009</v>
      </c>
      <c r="K1085" s="5"/>
      <c r="L1085" s="4" t="s">
        <v>27</v>
      </c>
      <c r="M1085" s="8" t="s">
        <v>129</v>
      </c>
      <c r="N1085" s="9" t="s">
        <v>3579</v>
      </c>
      <c r="O1085" s="5"/>
      <c r="P1085" s="5"/>
      <c r="Q1085" s="6" t="s">
        <v>30</v>
      </c>
      <c r="R1085" s="4" t="s">
        <v>31</v>
      </c>
      <c r="S1085" s="7" t="s">
        <v>32</v>
      </c>
      <c r="T1085" s="5"/>
    </row>
    <row r="1086" customFormat="false" ht="15" hidden="false" customHeight="true" outlineLevel="0" collapsed="false">
      <c r="A1086" s="4" t="n">
        <v>1085</v>
      </c>
      <c r="B1086" s="6" t="s">
        <v>1787</v>
      </c>
      <c r="C1086" s="6" t="s">
        <v>3572</v>
      </c>
      <c r="D1086" s="6" t="s">
        <v>3573</v>
      </c>
      <c r="E1086" s="7" t="s">
        <v>21</v>
      </c>
      <c r="F1086" s="6" t="s">
        <v>4010</v>
      </c>
      <c r="G1086" s="6" t="s">
        <v>4006</v>
      </c>
      <c r="H1086" s="6" t="s">
        <v>4007</v>
      </c>
      <c r="I1086" s="6" t="s">
        <v>4008</v>
      </c>
      <c r="J1086" s="6" t="s">
        <v>4009</v>
      </c>
      <c r="K1086" s="5"/>
      <c r="L1086" s="4" t="s">
        <v>44</v>
      </c>
      <c r="M1086" s="8" t="s">
        <v>129</v>
      </c>
      <c r="N1086" s="9" t="s">
        <v>3579</v>
      </c>
      <c r="O1086" s="5"/>
      <c r="P1086" s="5"/>
      <c r="Q1086" s="6" t="s">
        <v>30</v>
      </c>
      <c r="R1086" s="4" t="s">
        <v>31</v>
      </c>
      <c r="S1086" s="7" t="s">
        <v>32</v>
      </c>
      <c r="T1086" s="5"/>
    </row>
    <row r="1087" customFormat="false" ht="15" hidden="false" customHeight="true" outlineLevel="0" collapsed="false">
      <c r="A1087" s="4" t="n">
        <v>1086</v>
      </c>
      <c r="B1087" s="6" t="s">
        <v>1787</v>
      </c>
      <c r="C1087" s="6" t="s">
        <v>3572</v>
      </c>
      <c r="D1087" s="6" t="s">
        <v>3573</v>
      </c>
      <c r="E1087" s="7" t="s">
        <v>21</v>
      </c>
      <c r="F1087" s="6" t="s">
        <v>4011</v>
      </c>
      <c r="G1087" s="6" t="s">
        <v>2629</v>
      </c>
      <c r="H1087" s="6" t="s">
        <v>3040</v>
      </c>
      <c r="I1087" s="6" t="s">
        <v>3354</v>
      </c>
      <c r="J1087" s="6" t="s">
        <v>3187</v>
      </c>
      <c r="K1087" s="5"/>
      <c r="L1087" s="4" t="s">
        <v>27</v>
      </c>
      <c r="M1087" s="8" t="s">
        <v>129</v>
      </c>
      <c r="N1087" s="9" t="s">
        <v>3579</v>
      </c>
      <c r="O1087" s="5"/>
      <c r="P1087" s="5"/>
      <c r="Q1087" s="6" t="s">
        <v>30</v>
      </c>
      <c r="R1087" s="4" t="s">
        <v>31</v>
      </c>
      <c r="S1087" s="7" t="s">
        <v>32</v>
      </c>
      <c r="T1087" s="5"/>
    </row>
    <row r="1088" customFormat="false" ht="29.25" hidden="false" customHeight="true" outlineLevel="0" collapsed="false">
      <c r="A1088" s="4" t="n">
        <v>1087</v>
      </c>
      <c r="B1088" s="6" t="s">
        <v>1787</v>
      </c>
      <c r="C1088" s="6" t="s">
        <v>3572</v>
      </c>
      <c r="D1088" s="6" t="s">
        <v>3573</v>
      </c>
      <c r="E1088" s="7" t="s">
        <v>21</v>
      </c>
      <c r="F1088" s="6" t="s">
        <v>4012</v>
      </c>
      <c r="G1088" s="6" t="s">
        <v>4013</v>
      </c>
      <c r="H1088" s="6" t="s">
        <v>4014</v>
      </c>
      <c r="I1088" s="6" t="s">
        <v>4015</v>
      </c>
      <c r="J1088" s="6" t="s">
        <v>4016</v>
      </c>
      <c r="K1088" s="5"/>
      <c r="L1088" s="4" t="s">
        <v>62</v>
      </c>
      <c r="M1088" s="8" t="s">
        <v>79</v>
      </c>
      <c r="N1088" s="9" t="s">
        <v>4017</v>
      </c>
      <c r="O1088" s="5"/>
      <c r="P1088" s="5"/>
      <c r="Q1088" s="6" t="s">
        <v>30</v>
      </c>
      <c r="R1088" s="4" t="s">
        <v>31</v>
      </c>
      <c r="S1088" s="7" t="s">
        <v>32</v>
      </c>
      <c r="T1088" s="5"/>
    </row>
    <row r="1089" customFormat="false" ht="57.75" hidden="false" customHeight="true" outlineLevel="0" collapsed="false">
      <c r="A1089" s="4" t="n">
        <v>1088</v>
      </c>
      <c r="B1089" s="6" t="s">
        <v>1787</v>
      </c>
      <c r="C1089" s="6" t="s">
        <v>3572</v>
      </c>
      <c r="D1089" s="6" t="s">
        <v>3573</v>
      </c>
      <c r="E1089" s="7" t="s">
        <v>21</v>
      </c>
      <c r="F1089" s="6" t="s">
        <v>4018</v>
      </c>
      <c r="G1089" s="6" t="s">
        <v>4019</v>
      </c>
      <c r="H1089" s="6" t="s">
        <v>4020</v>
      </c>
      <c r="I1089" s="6" t="s">
        <v>4021</v>
      </c>
      <c r="J1089" s="6" t="s">
        <v>4022</v>
      </c>
      <c r="K1089" s="5"/>
      <c r="L1089" s="4" t="s">
        <v>51</v>
      </c>
      <c r="M1089" s="8" t="s">
        <v>28</v>
      </c>
      <c r="N1089" s="9" t="s">
        <v>3579</v>
      </c>
      <c r="O1089" s="5"/>
      <c r="P1089" s="5"/>
      <c r="Q1089" s="6" t="s">
        <v>30</v>
      </c>
      <c r="R1089" s="4" t="s">
        <v>31</v>
      </c>
      <c r="S1089" s="7" t="s">
        <v>32</v>
      </c>
      <c r="T1089" s="5"/>
    </row>
    <row r="1090" customFormat="false" ht="43.5" hidden="false" customHeight="true" outlineLevel="0" collapsed="false">
      <c r="A1090" s="4" t="n">
        <v>1089</v>
      </c>
      <c r="B1090" s="6" t="s">
        <v>1787</v>
      </c>
      <c r="C1090" s="6" t="s">
        <v>3572</v>
      </c>
      <c r="D1090" s="6" t="s">
        <v>3573</v>
      </c>
      <c r="E1090" s="7" t="s">
        <v>21</v>
      </c>
      <c r="F1090" s="6" t="s">
        <v>4023</v>
      </c>
      <c r="G1090" s="6" t="s">
        <v>4024</v>
      </c>
      <c r="H1090" s="6" t="s">
        <v>4025</v>
      </c>
      <c r="I1090" s="6" t="s">
        <v>4026</v>
      </c>
      <c r="J1090" s="6" t="s">
        <v>4027</v>
      </c>
      <c r="K1090" s="5"/>
      <c r="L1090" s="4" t="s">
        <v>27</v>
      </c>
      <c r="M1090" s="8" t="s">
        <v>28</v>
      </c>
      <c r="N1090" s="9" t="s">
        <v>4017</v>
      </c>
      <c r="O1090" s="5"/>
      <c r="P1090" s="5"/>
      <c r="Q1090" s="6" t="s">
        <v>30</v>
      </c>
      <c r="R1090" s="4" t="s">
        <v>31</v>
      </c>
      <c r="S1090" s="7" t="s">
        <v>32</v>
      </c>
      <c r="T1090" s="5"/>
    </row>
    <row r="1091" customFormat="false" ht="43.5" hidden="false" customHeight="true" outlineLevel="0" collapsed="false">
      <c r="A1091" s="4" t="n">
        <v>1090</v>
      </c>
      <c r="B1091" s="6" t="s">
        <v>1787</v>
      </c>
      <c r="C1091" s="6" t="s">
        <v>3572</v>
      </c>
      <c r="D1091" s="6" t="s">
        <v>3573</v>
      </c>
      <c r="E1091" s="7" t="s">
        <v>21</v>
      </c>
      <c r="F1091" s="6" t="s">
        <v>4028</v>
      </c>
      <c r="G1091" s="6" t="s">
        <v>4024</v>
      </c>
      <c r="H1091" s="6" t="s">
        <v>4025</v>
      </c>
      <c r="I1091" s="6" t="s">
        <v>4026</v>
      </c>
      <c r="J1091" s="6" t="s">
        <v>4027</v>
      </c>
      <c r="K1091" s="5"/>
      <c r="L1091" s="4" t="s">
        <v>51</v>
      </c>
      <c r="M1091" s="8" t="s">
        <v>28</v>
      </c>
      <c r="N1091" s="9" t="s">
        <v>4017</v>
      </c>
      <c r="O1091" s="5"/>
      <c r="P1091" s="5"/>
      <c r="Q1091" s="6" t="s">
        <v>30</v>
      </c>
      <c r="R1091" s="4" t="s">
        <v>31</v>
      </c>
      <c r="S1091" s="7" t="s">
        <v>32</v>
      </c>
      <c r="T1091" s="5"/>
    </row>
    <row r="1092" customFormat="false" ht="29.25" hidden="false" customHeight="true" outlineLevel="0" collapsed="false">
      <c r="A1092" s="4" t="n">
        <v>1091</v>
      </c>
      <c r="B1092" s="6" t="s">
        <v>1787</v>
      </c>
      <c r="C1092" s="6" t="s">
        <v>3572</v>
      </c>
      <c r="D1092" s="6" t="s">
        <v>3573</v>
      </c>
      <c r="E1092" s="7" t="s">
        <v>21</v>
      </c>
      <c r="F1092" s="6" t="s">
        <v>4029</v>
      </c>
      <c r="G1092" s="6" t="s">
        <v>4030</v>
      </c>
      <c r="H1092" s="6" t="s">
        <v>4031</v>
      </c>
      <c r="I1092" s="6" t="s">
        <v>4032</v>
      </c>
      <c r="J1092" s="6" t="s">
        <v>4033</v>
      </c>
      <c r="K1092" s="5"/>
      <c r="L1092" s="4" t="s">
        <v>51</v>
      </c>
      <c r="M1092" s="8" t="s">
        <v>28</v>
      </c>
      <c r="N1092" s="9" t="s">
        <v>4017</v>
      </c>
      <c r="O1092" s="5"/>
      <c r="P1092" s="5"/>
      <c r="Q1092" s="6" t="s">
        <v>30</v>
      </c>
      <c r="R1092" s="4" t="s">
        <v>31</v>
      </c>
      <c r="S1092" s="7" t="s">
        <v>32</v>
      </c>
      <c r="T1092" s="5"/>
    </row>
    <row r="1093" customFormat="false" ht="15" hidden="false" customHeight="true" outlineLevel="0" collapsed="false">
      <c r="A1093" s="4" t="n">
        <v>1092</v>
      </c>
      <c r="B1093" s="6" t="s">
        <v>1787</v>
      </c>
      <c r="C1093" s="6" t="s">
        <v>3572</v>
      </c>
      <c r="D1093" s="6" t="s">
        <v>3573</v>
      </c>
      <c r="E1093" s="7" t="s">
        <v>21</v>
      </c>
      <c r="F1093" s="6" t="s">
        <v>4034</v>
      </c>
      <c r="G1093" s="6" t="s">
        <v>4035</v>
      </c>
      <c r="H1093" s="6" t="s">
        <v>4036</v>
      </c>
      <c r="I1093" s="6" t="s">
        <v>4037</v>
      </c>
      <c r="J1093" s="6" t="s">
        <v>3994</v>
      </c>
      <c r="K1093" s="5"/>
      <c r="L1093" s="4" t="s">
        <v>27</v>
      </c>
      <c r="M1093" s="8" t="s">
        <v>129</v>
      </c>
      <c r="N1093" s="9" t="s">
        <v>3579</v>
      </c>
      <c r="O1093" s="5"/>
      <c r="P1093" s="5"/>
      <c r="Q1093" s="6" t="s">
        <v>30</v>
      </c>
      <c r="R1093" s="4" t="s">
        <v>31</v>
      </c>
      <c r="S1093" s="7" t="s">
        <v>32</v>
      </c>
      <c r="T1093" s="5"/>
    </row>
    <row r="1094" customFormat="false" ht="15" hidden="false" customHeight="true" outlineLevel="0" collapsed="false">
      <c r="A1094" s="4" t="n">
        <v>1093</v>
      </c>
      <c r="B1094" s="6" t="s">
        <v>1787</v>
      </c>
      <c r="C1094" s="6" t="s">
        <v>3572</v>
      </c>
      <c r="D1094" s="6" t="s">
        <v>3573</v>
      </c>
      <c r="E1094" s="7" t="s">
        <v>21</v>
      </c>
      <c r="F1094" s="6" t="s">
        <v>4038</v>
      </c>
      <c r="G1094" s="6" t="s">
        <v>4039</v>
      </c>
      <c r="H1094" s="6" t="s">
        <v>4040</v>
      </c>
      <c r="I1094" s="6" t="s">
        <v>4041</v>
      </c>
      <c r="J1094" s="6" t="s">
        <v>4042</v>
      </c>
      <c r="K1094" s="5"/>
      <c r="L1094" s="4" t="s">
        <v>44</v>
      </c>
      <c r="M1094" s="8" t="s">
        <v>129</v>
      </c>
      <c r="N1094" s="9" t="s">
        <v>4043</v>
      </c>
      <c r="O1094" s="5"/>
      <c r="P1094" s="5"/>
      <c r="Q1094" s="6" t="s">
        <v>30</v>
      </c>
      <c r="R1094" s="4" t="s">
        <v>31</v>
      </c>
      <c r="S1094" s="7" t="s">
        <v>32</v>
      </c>
      <c r="T1094" s="5"/>
    </row>
    <row r="1095" customFormat="false" ht="29.25" hidden="false" customHeight="true" outlineLevel="0" collapsed="false">
      <c r="A1095" s="4" t="n">
        <v>1094</v>
      </c>
      <c r="B1095" s="6" t="s">
        <v>1787</v>
      </c>
      <c r="C1095" s="6" t="s">
        <v>3572</v>
      </c>
      <c r="D1095" s="6" t="s">
        <v>3573</v>
      </c>
      <c r="E1095" s="7" t="s">
        <v>21</v>
      </c>
      <c r="F1095" s="6" t="s">
        <v>4044</v>
      </c>
      <c r="G1095" s="6" t="s">
        <v>4045</v>
      </c>
      <c r="H1095" s="6" t="s">
        <v>4039</v>
      </c>
      <c r="I1095" s="6" t="s">
        <v>4046</v>
      </c>
      <c r="J1095" s="6" t="s">
        <v>322</v>
      </c>
      <c r="K1095" s="5"/>
      <c r="L1095" s="4" t="s">
        <v>62</v>
      </c>
      <c r="M1095" s="8" t="s">
        <v>79</v>
      </c>
      <c r="N1095" s="9" t="s">
        <v>3579</v>
      </c>
      <c r="O1095" s="5"/>
      <c r="P1095" s="5"/>
      <c r="Q1095" s="6" t="s">
        <v>30</v>
      </c>
      <c r="R1095" s="4" t="s">
        <v>31</v>
      </c>
      <c r="S1095" s="7" t="s">
        <v>32</v>
      </c>
      <c r="T1095" s="5"/>
    </row>
    <row r="1096" customFormat="false" ht="29.25" hidden="false" customHeight="true" outlineLevel="0" collapsed="false">
      <c r="A1096" s="4" t="n">
        <v>1095</v>
      </c>
      <c r="B1096" s="6" t="s">
        <v>1787</v>
      </c>
      <c r="C1096" s="6" t="s">
        <v>3572</v>
      </c>
      <c r="D1096" s="6" t="s">
        <v>3573</v>
      </c>
      <c r="E1096" s="7" t="s">
        <v>21</v>
      </c>
      <c r="F1096" s="6" t="s">
        <v>4047</v>
      </c>
      <c r="G1096" s="6" t="s">
        <v>4048</v>
      </c>
      <c r="H1096" s="6" t="s">
        <v>4049</v>
      </c>
      <c r="I1096" s="6" t="s">
        <v>4050</v>
      </c>
      <c r="J1096" s="6" t="s">
        <v>4051</v>
      </c>
      <c r="K1096" s="5"/>
      <c r="L1096" s="4" t="s">
        <v>62</v>
      </c>
      <c r="M1096" s="8" t="s">
        <v>79</v>
      </c>
      <c r="N1096" s="9" t="s">
        <v>3579</v>
      </c>
      <c r="O1096" s="5"/>
      <c r="P1096" s="5"/>
      <c r="Q1096" s="6" t="s">
        <v>30</v>
      </c>
      <c r="R1096" s="4" t="s">
        <v>31</v>
      </c>
      <c r="S1096" s="7" t="s">
        <v>32</v>
      </c>
      <c r="T1096" s="5"/>
    </row>
    <row r="1097" customFormat="false" ht="43.5" hidden="false" customHeight="true" outlineLevel="0" collapsed="false">
      <c r="A1097" s="4" t="n">
        <v>1096</v>
      </c>
      <c r="B1097" s="6" t="s">
        <v>1787</v>
      </c>
      <c r="C1097" s="6" t="s">
        <v>3572</v>
      </c>
      <c r="D1097" s="6" t="s">
        <v>3573</v>
      </c>
      <c r="E1097" s="7" t="s">
        <v>21</v>
      </c>
      <c r="F1097" s="6" t="s">
        <v>4052</v>
      </c>
      <c r="G1097" s="6" t="s">
        <v>4053</v>
      </c>
      <c r="H1097" s="6" t="s">
        <v>4054</v>
      </c>
      <c r="I1097" s="6" t="s">
        <v>4055</v>
      </c>
      <c r="J1097" s="6" t="s">
        <v>4056</v>
      </c>
      <c r="K1097" s="5"/>
      <c r="L1097" s="4" t="s">
        <v>51</v>
      </c>
      <c r="M1097" s="8" t="s">
        <v>79</v>
      </c>
      <c r="N1097" s="9" t="s">
        <v>3579</v>
      </c>
      <c r="O1097" s="5"/>
      <c r="P1097" s="5"/>
      <c r="Q1097" s="6" t="s">
        <v>30</v>
      </c>
      <c r="R1097" s="4" t="s">
        <v>31</v>
      </c>
      <c r="S1097" s="7" t="s">
        <v>32</v>
      </c>
      <c r="T1097" s="5"/>
    </row>
    <row r="1098" customFormat="false" ht="29.25" hidden="false" customHeight="true" outlineLevel="0" collapsed="false">
      <c r="A1098" s="4" t="n">
        <v>1097</v>
      </c>
      <c r="B1098" s="6" t="s">
        <v>1787</v>
      </c>
      <c r="C1098" s="6" t="s">
        <v>3572</v>
      </c>
      <c r="D1098" s="6" t="s">
        <v>3573</v>
      </c>
      <c r="E1098" s="7" t="s">
        <v>21</v>
      </c>
      <c r="F1098" s="6" t="s">
        <v>4057</v>
      </c>
      <c r="G1098" s="6" t="s">
        <v>4058</v>
      </c>
      <c r="H1098" s="6" t="s">
        <v>4059</v>
      </c>
      <c r="I1098" s="6" t="s">
        <v>4060</v>
      </c>
      <c r="J1098" s="6" t="s">
        <v>4061</v>
      </c>
      <c r="K1098" s="5"/>
      <c r="L1098" s="4" t="s">
        <v>44</v>
      </c>
      <c r="M1098" s="8" t="s">
        <v>79</v>
      </c>
      <c r="N1098" s="9" t="s">
        <v>3778</v>
      </c>
      <c r="O1098" s="5"/>
      <c r="P1098" s="5"/>
      <c r="Q1098" s="6" t="s">
        <v>30</v>
      </c>
      <c r="R1098" s="4" t="s">
        <v>31</v>
      </c>
      <c r="S1098" s="7" t="s">
        <v>32</v>
      </c>
      <c r="T1098" s="5"/>
    </row>
    <row r="1099" customFormat="false" ht="15" hidden="false" customHeight="true" outlineLevel="0" collapsed="false">
      <c r="A1099" s="4" t="n">
        <v>1098</v>
      </c>
      <c r="B1099" s="6" t="s">
        <v>1787</v>
      </c>
      <c r="C1099" s="6" t="s">
        <v>3572</v>
      </c>
      <c r="D1099" s="6" t="s">
        <v>3573</v>
      </c>
      <c r="E1099" s="7" t="s">
        <v>21</v>
      </c>
      <c r="F1099" s="6" t="s">
        <v>4062</v>
      </c>
      <c r="G1099" s="6" t="s">
        <v>4063</v>
      </c>
      <c r="H1099" s="6" t="s">
        <v>2068</v>
      </c>
      <c r="I1099" s="6" t="s">
        <v>2280</v>
      </c>
      <c r="J1099" s="6" t="s">
        <v>2052</v>
      </c>
      <c r="K1099" s="5"/>
      <c r="L1099" s="4" t="s">
        <v>51</v>
      </c>
      <c r="M1099" s="8" t="s">
        <v>79</v>
      </c>
      <c r="N1099" s="9" t="s">
        <v>3579</v>
      </c>
      <c r="O1099" s="5"/>
      <c r="P1099" s="5"/>
      <c r="Q1099" s="6" t="s">
        <v>30</v>
      </c>
      <c r="R1099" s="4" t="s">
        <v>31</v>
      </c>
      <c r="S1099" s="7" t="s">
        <v>32</v>
      </c>
      <c r="T1099" s="5"/>
    </row>
    <row r="1100" customFormat="false" ht="15" hidden="false" customHeight="true" outlineLevel="0" collapsed="false">
      <c r="A1100" s="4" t="n">
        <v>1099</v>
      </c>
      <c r="B1100" s="6" t="s">
        <v>1787</v>
      </c>
      <c r="C1100" s="6" t="s">
        <v>3572</v>
      </c>
      <c r="D1100" s="6" t="s">
        <v>3573</v>
      </c>
      <c r="E1100" s="7" t="s">
        <v>21</v>
      </c>
      <c r="F1100" s="6" t="s">
        <v>4064</v>
      </c>
      <c r="G1100" s="6" t="s">
        <v>4065</v>
      </c>
      <c r="H1100" s="6" t="s">
        <v>4066</v>
      </c>
      <c r="I1100" s="6" t="s">
        <v>2062</v>
      </c>
      <c r="J1100" s="6" t="s">
        <v>4067</v>
      </c>
      <c r="K1100" s="5"/>
      <c r="L1100" s="4" t="s">
        <v>44</v>
      </c>
      <c r="M1100" s="8" t="s">
        <v>28</v>
      </c>
      <c r="N1100" s="9" t="s">
        <v>3579</v>
      </c>
      <c r="O1100" s="5"/>
      <c r="P1100" s="5"/>
      <c r="Q1100" s="6" t="s">
        <v>30</v>
      </c>
      <c r="R1100" s="4" t="s">
        <v>31</v>
      </c>
      <c r="S1100" s="7" t="s">
        <v>32</v>
      </c>
      <c r="T1100" s="5"/>
    </row>
    <row r="1101" customFormat="false" ht="29.25" hidden="false" customHeight="true" outlineLevel="0" collapsed="false">
      <c r="A1101" s="4" t="n">
        <v>1100</v>
      </c>
      <c r="B1101" s="6" t="s">
        <v>1787</v>
      </c>
      <c r="C1101" s="6" t="s">
        <v>3572</v>
      </c>
      <c r="D1101" s="6" t="s">
        <v>3573</v>
      </c>
      <c r="E1101" s="7" t="s">
        <v>21</v>
      </c>
      <c r="F1101" s="6" t="s">
        <v>4068</v>
      </c>
      <c r="G1101" s="6" t="s">
        <v>4069</v>
      </c>
      <c r="H1101" s="6" t="s">
        <v>4070</v>
      </c>
      <c r="I1101" s="6" t="s">
        <v>4071</v>
      </c>
      <c r="J1101" s="6" t="s">
        <v>4072</v>
      </c>
      <c r="K1101" s="5"/>
      <c r="L1101" s="4" t="s">
        <v>44</v>
      </c>
      <c r="M1101" s="8" t="s">
        <v>79</v>
      </c>
      <c r="N1101" s="9" t="s">
        <v>3579</v>
      </c>
      <c r="O1101" s="5"/>
      <c r="P1101" s="5"/>
      <c r="Q1101" s="6" t="s">
        <v>30</v>
      </c>
      <c r="R1101" s="4" t="s">
        <v>31</v>
      </c>
      <c r="S1101" s="7" t="s">
        <v>32</v>
      </c>
      <c r="T1101" s="5"/>
    </row>
    <row r="1102" customFormat="false" ht="29.25" hidden="false" customHeight="true" outlineLevel="0" collapsed="false">
      <c r="A1102" s="4" t="n">
        <v>1101</v>
      </c>
      <c r="B1102" s="6" t="s">
        <v>1787</v>
      </c>
      <c r="C1102" s="6" t="s">
        <v>3572</v>
      </c>
      <c r="D1102" s="6" t="s">
        <v>3573</v>
      </c>
      <c r="E1102" s="7" t="s">
        <v>21</v>
      </c>
      <c r="F1102" s="6" t="s">
        <v>4073</v>
      </c>
      <c r="G1102" s="6" t="s">
        <v>4074</v>
      </c>
      <c r="H1102" s="6" t="s">
        <v>4075</v>
      </c>
      <c r="I1102" s="6" t="s">
        <v>4076</v>
      </c>
      <c r="J1102" s="6" t="s">
        <v>4077</v>
      </c>
      <c r="K1102" s="5"/>
      <c r="L1102" s="4" t="s">
        <v>27</v>
      </c>
      <c r="M1102" s="8" t="s">
        <v>28</v>
      </c>
      <c r="N1102" s="9" t="s">
        <v>3579</v>
      </c>
      <c r="O1102" s="5"/>
      <c r="P1102" s="5"/>
      <c r="Q1102" s="6" t="s">
        <v>30</v>
      </c>
      <c r="R1102" s="4" t="s">
        <v>31</v>
      </c>
      <c r="S1102" s="7" t="s">
        <v>32</v>
      </c>
      <c r="T1102" s="5"/>
    </row>
    <row r="1103" customFormat="false" ht="29.25" hidden="false" customHeight="true" outlineLevel="0" collapsed="false">
      <c r="A1103" s="4" t="n">
        <v>1102</v>
      </c>
      <c r="B1103" s="6" t="s">
        <v>1787</v>
      </c>
      <c r="C1103" s="6" t="s">
        <v>3572</v>
      </c>
      <c r="D1103" s="6" t="s">
        <v>3573</v>
      </c>
      <c r="E1103" s="7" t="s">
        <v>21</v>
      </c>
      <c r="F1103" s="6" t="s">
        <v>4078</v>
      </c>
      <c r="G1103" s="6" t="s">
        <v>4079</v>
      </c>
      <c r="H1103" s="6" t="s">
        <v>4080</v>
      </c>
      <c r="I1103" s="6" t="s">
        <v>4081</v>
      </c>
      <c r="J1103" s="6" t="s">
        <v>4082</v>
      </c>
      <c r="K1103" s="5"/>
      <c r="L1103" s="4" t="s">
        <v>62</v>
      </c>
      <c r="M1103" s="8" t="s">
        <v>28</v>
      </c>
      <c r="N1103" s="9" t="s">
        <v>3579</v>
      </c>
      <c r="O1103" s="5"/>
      <c r="P1103" s="5"/>
      <c r="Q1103" s="6" t="s">
        <v>30</v>
      </c>
      <c r="R1103" s="4" t="s">
        <v>31</v>
      </c>
      <c r="S1103" s="7" t="s">
        <v>32</v>
      </c>
      <c r="T1103" s="5"/>
    </row>
    <row r="1104" customFormat="false" ht="29.25" hidden="false" customHeight="true" outlineLevel="0" collapsed="false">
      <c r="A1104" s="4" t="n">
        <v>1103</v>
      </c>
      <c r="B1104" s="6" t="s">
        <v>1787</v>
      </c>
      <c r="C1104" s="6" t="s">
        <v>3572</v>
      </c>
      <c r="D1104" s="6" t="s">
        <v>3573</v>
      </c>
      <c r="E1104" s="7" t="s">
        <v>21</v>
      </c>
      <c r="F1104" s="6" t="s">
        <v>4083</v>
      </c>
      <c r="G1104" s="6" t="s">
        <v>4084</v>
      </c>
      <c r="H1104" s="6" t="s">
        <v>4085</v>
      </c>
      <c r="I1104" s="6" t="s">
        <v>4086</v>
      </c>
      <c r="J1104" s="6" t="s">
        <v>4087</v>
      </c>
      <c r="K1104" s="5"/>
      <c r="L1104" s="4" t="s">
        <v>62</v>
      </c>
      <c r="M1104" s="8" t="s">
        <v>79</v>
      </c>
      <c r="N1104" s="9" t="s">
        <v>3585</v>
      </c>
      <c r="O1104" s="5"/>
      <c r="P1104" s="5"/>
      <c r="Q1104" s="6" t="s">
        <v>30</v>
      </c>
      <c r="R1104" s="4" t="s">
        <v>31</v>
      </c>
      <c r="S1104" s="7" t="s">
        <v>32</v>
      </c>
      <c r="T1104" s="5"/>
    </row>
    <row r="1105" customFormat="false" ht="15" hidden="false" customHeight="true" outlineLevel="0" collapsed="false">
      <c r="A1105" s="4" t="n">
        <v>1104</v>
      </c>
      <c r="B1105" s="6" t="s">
        <v>1787</v>
      </c>
      <c r="C1105" s="6" t="s">
        <v>3572</v>
      </c>
      <c r="D1105" s="6" t="s">
        <v>3573</v>
      </c>
      <c r="E1105" s="7" t="s">
        <v>21</v>
      </c>
      <c r="F1105" s="6" t="s">
        <v>4088</v>
      </c>
      <c r="G1105" s="6" t="s">
        <v>4089</v>
      </c>
      <c r="H1105" s="6" t="s">
        <v>4090</v>
      </c>
      <c r="I1105" s="6" t="s">
        <v>4091</v>
      </c>
      <c r="J1105" s="6" t="s">
        <v>4092</v>
      </c>
      <c r="K1105" s="5"/>
      <c r="L1105" s="4" t="s">
        <v>44</v>
      </c>
      <c r="M1105" s="8" t="s">
        <v>129</v>
      </c>
      <c r="N1105" s="9" t="s">
        <v>3579</v>
      </c>
      <c r="O1105" s="5"/>
      <c r="P1105" s="5"/>
      <c r="Q1105" s="6" t="s">
        <v>30</v>
      </c>
      <c r="R1105" s="4" t="s">
        <v>31</v>
      </c>
      <c r="S1105" s="7" t="s">
        <v>32</v>
      </c>
      <c r="T1105" s="5"/>
    </row>
    <row r="1106" customFormat="false" ht="43.5" hidden="false" customHeight="true" outlineLevel="0" collapsed="false">
      <c r="A1106" s="4" t="n">
        <v>1105</v>
      </c>
      <c r="B1106" s="6" t="s">
        <v>1787</v>
      </c>
      <c r="C1106" s="6" t="s">
        <v>3572</v>
      </c>
      <c r="D1106" s="6" t="s">
        <v>3573</v>
      </c>
      <c r="E1106" s="7" t="s">
        <v>21</v>
      </c>
      <c r="F1106" s="6" t="s">
        <v>4093</v>
      </c>
      <c r="G1106" s="6" t="s">
        <v>4094</v>
      </c>
      <c r="H1106" s="6" t="s">
        <v>4095</v>
      </c>
      <c r="I1106" s="6" t="s">
        <v>4091</v>
      </c>
      <c r="J1106" s="6" t="s">
        <v>4096</v>
      </c>
      <c r="K1106" s="5"/>
      <c r="L1106" s="4" t="s">
        <v>44</v>
      </c>
      <c r="M1106" s="8" t="s">
        <v>28</v>
      </c>
      <c r="N1106" s="9" t="s">
        <v>3579</v>
      </c>
      <c r="O1106" s="5"/>
      <c r="P1106" s="5"/>
      <c r="Q1106" s="6" t="s">
        <v>30</v>
      </c>
      <c r="R1106" s="4" t="s">
        <v>31</v>
      </c>
      <c r="S1106" s="7" t="s">
        <v>32</v>
      </c>
      <c r="T1106" s="5"/>
    </row>
    <row r="1107" customFormat="false" ht="57.75" hidden="false" customHeight="true" outlineLevel="0" collapsed="false">
      <c r="A1107" s="4" t="n">
        <v>1106</v>
      </c>
      <c r="B1107" s="6" t="s">
        <v>1787</v>
      </c>
      <c r="C1107" s="6" t="s">
        <v>3572</v>
      </c>
      <c r="D1107" s="6" t="s">
        <v>3573</v>
      </c>
      <c r="E1107" s="7" t="s">
        <v>21</v>
      </c>
      <c r="F1107" s="6" t="s">
        <v>4097</v>
      </c>
      <c r="G1107" s="6" t="s">
        <v>4098</v>
      </c>
      <c r="H1107" s="6" t="s">
        <v>4099</v>
      </c>
      <c r="I1107" s="6" t="s">
        <v>4100</v>
      </c>
      <c r="J1107" s="6" t="s">
        <v>4101</v>
      </c>
      <c r="K1107" s="5"/>
      <c r="L1107" s="4" t="s">
        <v>51</v>
      </c>
      <c r="M1107" s="8" t="s">
        <v>28</v>
      </c>
      <c r="N1107" s="9" t="s">
        <v>3579</v>
      </c>
      <c r="O1107" s="5"/>
      <c r="P1107" s="5"/>
      <c r="Q1107" s="6" t="s">
        <v>30</v>
      </c>
      <c r="R1107" s="4" t="s">
        <v>31</v>
      </c>
      <c r="S1107" s="7" t="s">
        <v>32</v>
      </c>
      <c r="T1107" s="5"/>
    </row>
    <row r="1108" customFormat="false" ht="43.5" hidden="false" customHeight="true" outlineLevel="0" collapsed="false">
      <c r="A1108" s="4" t="n">
        <v>1107</v>
      </c>
      <c r="B1108" s="6" t="s">
        <v>1787</v>
      </c>
      <c r="C1108" s="6" t="s">
        <v>3572</v>
      </c>
      <c r="D1108" s="6" t="s">
        <v>3573</v>
      </c>
      <c r="E1108" s="7" t="s">
        <v>21</v>
      </c>
      <c r="F1108" s="6" t="s">
        <v>4102</v>
      </c>
      <c r="G1108" s="6" t="s">
        <v>4103</v>
      </c>
      <c r="H1108" s="6" t="s">
        <v>4104</v>
      </c>
      <c r="I1108" s="6" t="s">
        <v>4105</v>
      </c>
      <c r="J1108" s="6" t="s">
        <v>4106</v>
      </c>
      <c r="K1108" s="5"/>
      <c r="L1108" s="4" t="s">
        <v>62</v>
      </c>
      <c r="M1108" s="8" t="s">
        <v>28</v>
      </c>
      <c r="N1108" s="9" t="s">
        <v>3716</v>
      </c>
      <c r="O1108" s="5"/>
      <c r="P1108" s="5"/>
      <c r="Q1108" s="6" t="s">
        <v>30</v>
      </c>
      <c r="R1108" s="4" t="s">
        <v>31</v>
      </c>
      <c r="S1108" s="7" t="s">
        <v>32</v>
      </c>
      <c r="T1108" s="5"/>
    </row>
    <row r="1109" customFormat="false" ht="29.25" hidden="false" customHeight="true" outlineLevel="0" collapsed="false">
      <c r="A1109" s="4" t="n">
        <v>1108</v>
      </c>
      <c r="B1109" s="6" t="s">
        <v>1787</v>
      </c>
      <c r="C1109" s="6" t="s">
        <v>3572</v>
      </c>
      <c r="D1109" s="6" t="s">
        <v>3573</v>
      </c>
      <c r="E1109" s="7" t="s">
        <v>21</v>
      </c>
      <c r="F1109" s="6" t="s">
        <v>4107</v>
      </c>
      <c r="G1109" s="6" t="s">
        <v>4108</v>
      </c>
      <c r="H1109" s="6" t="s">
        <v>4109</v>
      </c>
      <c r="I1109" s="6" t="s">
        <v>4110</v>
      </c>
      <c r="J1109" s="6" t="s">
        <v>4111</v>
      </c>
      <c r="K1109" s="5"/>
      <c r="L1109" s="4" t="s">
        <v>51</v>
      </c>
      <c r="M1109" s="8" t="s">
        <v>28</v>
      </c>
      <c r="N1109" s="9" t="s">
        <v>3716</v>
      </c>
      <c r="O1109" s="5"/>
      <c r="P1109" s="5"/>
      <c r="Q1109" s="6" t="s">
        <v>30</v>
      </c>
      <c r="R1109" s="4" t="s">
        <v>31</v>
      </c>
      <c r="S1109" s="7" t="s">
        <v>32</v>
      </c>
      <c r="T1109" s="5"/>
    </row>
    <row r="1110" customFormat="false" ht="29.25" hidden="false" customHeight="true" outlineLevel="0" collapsed="false">
      <c r="A1110" s="4" t="n">
        <v>1109</v>
      </c>
      <c r="B1110" s="6" t="s">
        <v>1787</v>
      </c>
      <c r="C1110" s="6" t="s">
        <v>3572</v>
      </c>
      <c r="D1110" s="6" t="s">
        <v>3573</v>
      </c>
      <c r="E1110" s="7" t="s">
        <v>21</v>
      </c>
      <c r="F1110" s="6" t="s">
        <v>4112</v>
      </c>
      <c r="G1110" s="6" t="s">
        <v>4113</v>
      </c>
      <c r="H1110" s="6" t="s">
        <v>4114</v>
      </c>
      <c r="I1110" s="6" t="s">
        <v>4115</v>
      </c>
      <c r="J1110" s="6" t="s">
        <v>4116</v>
      </c>
      <c r="K1110" s="5"/>
      <c r="L1110" s="4" t="s">
        <v>44</v>
      </c>
      <c r="M1110" s="8" t="s">
        <v>79</v>
      </c>
      <c r="N1110" s="9" t="s">
        <v>3579</v>
      </c>
      <c r="O1110" s="5"/>
      <c r="P1110" s="5"/>
      <c r="Q1110" s="6" t="s">
        <v>30</v>
      </c>
      <c r="R1110" s="4" t="s">
        <v>31</v>
      </c>
      <c r="S1110" s="7" t="s">
        <v>32</v>
      </c>
      <c r="T1110" s="5"/>
    </row>
    <row r="1111" customFormat="false" ht="29.25" hidden="false" customHeight="true" outlineLevel="0" collapsed="false">
      <c r="A1111" s="4" t="n">
        <v>1110</v>
      </c>
      <c r="B1111" s="6" t="s">
        <v>1787</v>
      </c>
      <c r="C1111" s="6" t="s">
        <v>3572</v>
      </c>
      <c r="D1111" s="6" t="s">
        <v>3573</v>
      </c>
      <c r="E1111" s="7" t="s">
        <v>21</v>
      </c>
      <c r="F1111" s="6" t="s">
        <v>4117</v>
      </c>
      <c r="G1111" s="6" t="s">
        <v>4118</v>
      </c>
      <c r="H1111" s="6" t="s">
        <v>4119</v>
      </c>
      <c r="I1111" s="6" t="s">
        <v>4120</v>
      </c>
      <c r="J1111" s="6" t="s">
        <v>4121</v>
      </c>
      <c r="K1111" s="5"/>
      <c r="L1111" s="4" t="s">
        <v>51</v>
      </c>
      <c r="M1111" s="8" t="s">
        <v>79</v>
      </c>
      <c r="N1111" s="9" t="s">
        <v>3579</v>
      </c>
      <c r="O1111" s="5"/>
      <c r="P1111" s="5"/>
      <c r="Q1111" s="6" t="s">
        <v>30</v>
      </c>
      <c r="R1111" s="4" t="s">
        <v>31</v>
      </c>
      <c r="S1111" s="7" t="s">
        <v>32</v>
      </c>
      <c r="T1111" s="5"/>
    </row>
    <row r="1112" customFormat="false" ht="15" hidden="false" customHeight="true" outlineLevel="0" collapsed="false">
      <c r="A1112" s="4" t="n">
        <v>1111</v>
      </c>
      <c r="B1112" s="6" t="s">
        <v>1787</v>
      </c>
      <c r="C1112" s="6" t="s">
        <v>3572</v>
      </c>
      <c r="D1112" s="6" t="s">
        <v>3573</v>
      </c>
      <c r="E1112" s="7" t="s">
        <v>21</v>
      </c>
      <c r="F1112" s="6" t="s">
        <v>4122</v>
      </c>
      <c r="G1112" s="6" t="s">
        <v>4123</v>
      </c>
      <c r="H1112" s="6" t="s">
        <v>3655</v>
      </c>
      <c r="I1112" s="6" t="s">
        <v>3587</v>
      </c>
      <c r="J1112" s="6" t="s">
        <v>1817</v>
      </c>
      <c r="K1112" s="5"/>
      <c r="L1112" s="4" t="s">
        <v>51</v>
      </c>
      <c r="M1112" s="8" t="s">
        <v>129</v>
      </c>
      <c r="N1112" s="9" t="s">
        <v>3579</v>
      </c>
      <c r="O1112" s="5"/>
      <c r="P1112" s="5"/>
      <c r="Q1112" s="6" t="s">
        <v>30</v>
      </c>
      <c r="R1112" s="4" t="s">
        <v>31</v>
      </c>
      <c r="S1112" s="7" t="s">
        <v>32</v>
      </c>
      <c r="T1112" s="5"/>
    </row>
    <row r="1113" customFormat="false" ht="29.25" hidden="false" customHeight="true" outlineLevel="0" collapsed="false">
      <c r="A1113" s="4" t="n">
        <v>1112</v>
      </c>
      <c r="B1113" s="6" t="s">
        <v>1787</v>
      </c>
      <c r="C1113" s="6" t="s">
        <v>3572</v>
      </c>
      <c r="D1113" s="6" t="s">
        <v>3573</v>
      </c>
      <c r="E1113" s="7" t="s">
        <v>21</v>
      </c>
      <c r="F1113" s="6" t="s">
        <v>4124</v>
      </c>
      <c r="G1113" s="6" t="s">
        <v>4125</v>
      </c>
      <c r="H1113" s="6" t="s">
        <v>4126</v>
      </c>
      <c r="I1113" s="6" t="s">
        <v>4116</v>
      </c>
      <c r="J1113" s="6" t="s">
        <v>4127</v>
      </c>
      <c r="K1113" s="5"/>
      <c r="L1113" s="4" t="s">
        <v>62</v>
      </c>
      <c r="M1113" s="8" t="s">
        <v>28</v>
      </c>
      <c r="N1113" s="9" t="s">
        <v>3579</v>
      </c>
      <c r="O1113" s="5"/>
      <c r="P1113" s="5"/>
      <c r="Q1113" s="6" t="s">
        <v>30</v>
      </c>
      <c r="R1113" s="4" t="s">
        <v>31</v>
      </c>
      <c r="S1113" s="7" t="s">
        <v>32</v>
      </c>
      <c r="T1113" s="5"/>
    </row>
    <row r="1114" customFormat="false" ht="15" hidden="false" customHeight="true" outlineLevel="0" collapsed="false">
      <c r="A1114" s="4" t="n">
        <v>1113</v>
      </c>
      <c r="B1114" s="6" t="s">
        <v>1787</v>
      </c>
      <c r="C1114" s="6" t="s">
        <v>3572</v>
      </c>
      <c r="D1114" s="6" t="s">
        <v>3573</v>
      </c>
      <c r="E1114" s="7" t="s">
        <v>21</v>
      </c>
      <c r="F1114" s="6" t="s">
        <v>4128</v>
      </c>
      <c r="G1114" s="6" t="s">
        <v>4129</v>
      </c>
      <c r="H1114" s="6" t="s">
        <v>4130</v>
      </c>
      <c r="I1114" s="6" t="s">
        <v>4131</v>
      </c>
      <c r="J1114" s="6" t="s">
        <v>78</v>
      </c>
      <c r="K1114" s="5"/>
      <c r="L1114" s="4" t="s">
        <v>44</v>
      </c>
      <c r="M1114" s="8" t="s">
        <v>79</v>
      </c>
      <c r="N1114" s="9" t="s">
        <v>3579</v>
      </c>
      <c r="O1114" s="5"/>
      <c r="P1114" s="5"/>
      <c r="Q1114" s="6" t="s">
        <v>30</v>
      </c>
      <c r="R1114" s="4" t="s">
        <v>31</v>
      </c>
      <c r="S1114" s="7" t="s">
        <v>32</v>
      </c>
      <c r="T1114" s="5"/>
    </row>
    <row r="1115" customFormat="false" ht="29.25" hidden="false" customHeight="true" outlineLevel="0" collapsed="false">
      <c r="A1115" s="4" t="n">
        <v>1114</v>
      </c>
      <c r="B1115" s="6" t="s">
        <v>1787</v>
      </c>
      <c r="C1115" s="6" t="s">
        <v>3572</v>
      </c>
      <c r="D1115" s="6" t="s">
        <v>3573</v>
      </c>
      <c r="E1115" s="7" t="s">
        <v>21</v>
      </c>
      <c r="F1115" s="6" t="s">
        <v>4132</v>
      </c>
      <c r="G1115" s="5" t="s">
        <v>4133</v>
      </c>
      <c r="H1115" s="5" t="s">
        <v>3616</v>
      </c>
      <c r="I1115" s="5" t="s">
        <v>3613</v>
      </c>
      <c r="J1115" s="5" t="s">
        <v>4134</v>
      </c>
      <c r="K1115" s="5"/>
      <c r="L1115" s="4" t="s">
        <v>51</v>
      </c>
      <c r="M1115" s="8" t="s">
        <v>28</v>
      </c>
      <c r="N1115" s="9" t="s">
        <v>3579</v>
      </c>
      <c r="O1115" s="5"/>
      <c r="P1115" s="5"/>
      <c r="Q1115" s="6" t="s">
        <v>30</v>
      </c>
      <c r="R1115" s="4" t="s">
        <v>31</v>
      </c>
      <c r="S1115" s="7" t="s">
        <v>32</v>
      </c>
      <c r="T1115" s="5"/>
    </row>
    <row r="1116" customFormat="false" ht="43.5" hidden="false" customHeight="true" outlineLevel="0" collapsed="false">
      <c r="A1116" s="4" t="n">
        <v>1115</v>
      </c>
      <c r="B1116" s="6" t="s">
        <v>1787</v>
      </c>
      <c r="C1116" s="6" t="s">
        <v>3572</v>
      </c>
      <c r="D1116" s="6" t="s">
        <v>3573</v>
      </c>
      <c r="E1116" s="7" t="s">
        <v>21</v>
      </c>
      <c r="F1116" s="6" t="s">
        <v>4135</v>
      </c>
      <c r="G1116" s="5" t="s">
        <v>4136</v>
      </c>
      <c r="H1116" s="5" t="s">
        <v>4137</v>
      </c>
      <c r="I1116" s="5" t="s">
        <v>4138</v>
      </c>
      <c r="J1116" s="5" t="s">
        <v>4139</v>
      </c>
      <c r="K1116" s="5"/>
      <c r="L1116" s="4" t="s">
        <v>62</v>
      </c>
      <c r="M1116" s="8" t="s">
        <v>28</v>
      </c>
      <c r="N1116" s="9" t="s">
        <v>3579</v>
      </c>
      <c r="O1116" s="5"/>
      <c r="P1116" s="5"/>
      <c r="Q1116" s="6" t="s">
        <v>30</v>
      </c>
      <c r="R1116" s="4" t="s">
        <v>31</v>
      </c>
      <c r="S1116" s="7" t="s">
        <v>32</v>
      </c>
      <c r="T1116" s="5"/>
    </row>
    <row r="1117" customFormat="false" ht="43.5" hidden="false" customHeight="true" outlineLevel="0" collapsed="false">
      <c r="A1117" s="4" t="n">
        <v>1116</v>
      </c>
      <c r="B1117" s="6" t="s">
        <v>1787</v>
      </c>
      <c r="C1117" s="6" t="s">
        <v>3572</v>
      </c>
      <c r="D1117" s="6" t="s">
        <v>3573</v>
      </c>
      <c r="E1117" s="7" t="s">
        <v>21</v>
      </c>
      <c r="F1117" s="6" t="s">
        <v>4140</v>
      </c>
      <c r="G1117" s="6" t="s">
        <v>4141</v>
      </c>
      <c r="H1117" s="6" t="s">
        <v>4142</v>
      </c>
      <c r="I1117" s="6" t="s">
        <v>4143</v>
      </c>
      <c r="J1117" s="6" t="s">
        <v>932</v>
      </c>
      <c r="K1117" s="5"/>
      <c r="L1117" s="4" t="s">
        <v>51</v>
      </c>
      <c r="M1117" s="8" t="s">
        <v>28</v>
      </c>
      <c r="N1117" s="9" t="s">
        <v>3579</v>
      </c>
      <c r="O1117" s="5"/>
      <c r="P1117" s="5"/>
      <c r="Q1117" s="6" t="s">
        <v>30</v>
      </c>
      <c r="R1117" s="4" t="s">
        <v>31</v>
      </c>
      <c r="S1117" s="7" t="s">
        <v>32</v>
      </c>
      <c r="T1117" s="5"/>
    </row>
    <row r="1118" customFormat="false" ht="29.25" hidden="false" customHeight="true" outlineLevel="0" collapsed="false">
      <c r="A1118" s="4" t="n">
        <v>1117</v>
      </c>
      <c r="B1118" s="6" t="s">
        <v>1787</v>
      </c>
      <c r="C1118" s="6" t="s">
        <v>3572</v>
      </c>
      <c r="D1118" s="6" t="s">
        <v>3573</v>
      </c>
      <c r="E1118" s="7" t="s">
        <v>21</v>
      </c>
      <c r="F1118" s="6" t="s">
        <v>4144</v>
      </c>
      <c r="G1118" s="6" t="s">
        <v>4145</v>
      </c>
      <c r="H1118" s="6" t="s">
        <v>4146</v>
      </c>
      <c r="I1118" s="6" t="s">
        <v>4147</v>
      </c>
      <c r="J1118" s="6" t="s">
        <v>4148</v>
      </c>
      <c r="K1118" s="5"/>
      <c r="L1118" s="4" t="s">
        <v>27</v>
      </c>
      <c r="M1118" s="8" t="s">
        <v>79</v>
      </c>
      <c r="N1118" s="9" t="s">
        <v>3579</v>
      </c>
      <c r="O1118" s="5"/>
      <c r="P1118" s="5"/>
      <c r="Q1118" s="6" t="s">
        <v>30</v>
      </c>
      <c r="R1118" s="4" t="s">
        <v>31</v>
      </c>
      <c r="S1118" s="7" t="s">
        <v>32</v>
      </c>
      <c r="T1118" s="5"/>
    </row>
    <row r="1119" customFormat="false" ht="29.25" hidden="false" customHeight="true" outlineLevel="0" collapsed="false">
      <c r="A1119" s="4" t="n">
        <v>1118</v>
      </c>
      <c r="B1119" s="6" t="s">
        <v>1787</v>
      </c>
      <c r="C1119" s="6" t="s">
        <v>3572</v>
      </c>
      <c r="D1119" s="6" t="s">
        <v>3573</v>
      </c>
      <c r="E1119" s="7" t="s">
        <v>21</v>
      </c>
      <c r="F1119" s="6" t="s">
        <v>4149</v>
      </c>
      <c r="G1119" s="6" t="s">
        <v>4150</v>
      </c>
      <c r="H1119" s="6" t="s">
        <v>3924</v>
      </c>
      <c r="I1119" s="6" t="s">
        <v>4151</v>
      </c>
      <c r="J1119" s="6" t="s">
        <v>322</v>
      </c>
      <c r="K1119" s="5"/>
      <c r="L1119" s="4" t="s">
        <v>44</v>
      </c>
      <c r="M1119" s="8" t="s">
        <v>79</v>
      </c>
      <c r="N1119" s="9" t="s">
        <v>3579</v>
      </c>
      <c r="O1119" s="5"/>
      <c r="P1119" s="5"/>
      <c r="Q1119" s="6" t="s">
        <v>30</v>
      </c>
      <c r="R1119" s="4" t="s">
        <v>31</v>
      </c>
      <c r="S1119" s="7" t="s">
        <v>32</v>
      </c>
      <c r="T1119" s="5"/>
    </row>
    <row r="1120" customFormat="false" ht="143.25" hidden="false" customHeight="true" outlineLevel="0" collapsed="false">
      <c r="A1120" s="4" t="n">
        <v>1119</v>
      </c>
      <c r="B1120" s="6" t="s">
        <v>1787</v>
      </c>
      <c r="C1120" s="6" t="s">
        <v>3572</v>
      </c>
      <c r="D1120" s="6" t="s">
        <v>3573</v>
      </c>
      <c r="E1120" s="7" t="s">
        <v>21</v>
      </c>
      <c r="F1120" s="6" t="s">
        <v>4152</v>
      </c>
      <c r="G1120" s="6" t="s">
        <v>4153</v>
      </c>
      <c r="H1120" s="6" t="s">
        <v>4154</v>
      </c>
      <c r="I1120" s="6" t="s">
        <v>4155</v>
      </c>
      <c r="J1120" s="6" t="s">
        <v>3682</v>
      </c>
      <c r="K1120" s="5"/>
      <c r="L1120" s="4" t="s">
        <v>44</v>
      </c>
      <c r="M1120" s="8" t="s">
        <v>28</v>
      </c>
      <c r="N1120" s="9" t="s">
        <v>3778</v>
      </c>
      <c r="O1120" s="5"/>
      <c r="P1120" s="5"/>
      <c r="Q1120" s="6" t="s">
        <v>30</v>
      </c>
      <c r="R1120" s="4" t="s">
        <v>31</v>
      </c>
      <c r="S1120" s="7" t="s">
        <v>32</v>
      </c>
      <c r="T1120" s="5"/>
    </row>
    <row r="1121" customFormat="false" ht="15" hidden="false" customHeight="true" outlineLevel="0" collapsed="false">
      <c r="A1121" s="4" t="n">
        <v>1120</v>
      </c>
      <c r="B1121" s="6" t="s">
        <v>1787</v>
      </c>
      <c r="C1121" s="6" t="s">
        <v>3572</v>
      </c>
      <c r="D1121" s="6" t="s">
        <v>3573</v>
      </c>
      <c r="E1121" s="7" t="s">
        <v>21</v>
      </c>
      <c r="F1121" s="6" t="s">
        <v>4156</v>
      </c>
      <c r="G1121" s="6" t="s">
        <v>4157</v>
      </c>
      <c r="H1121" s="6" t="s">
        <v>4158</v>
      </c>
      <c r="I1121" s="6" t="s">
        <v>4159</v>
      </c>
      <c r="J1121" s="6" t="s">
        <v>75</v>
      </c>
      <c r="K1121" s="5"/>
      <c r="L1121" s="4" t="s">
        <v>62</v>
      </c>
      <c r="M1121" s="8" t="s">
        <v>79</v>
      </c>
      <c r="N1121" s="9" t="s">
        <v>3579</v>
      </c>
      <c r="O1121" s="5"/>
      <c r="P1121" s="5"/>
      <c r="Q1121" s="6" t="s">
        <v>30</v>
      </c>
      <c r="R1121" s="4" t="s">
        <v>31</v>
      </c>
      <c r="S1121" s="7" t="s">
        <v>32</v>
      </c>
      <c r="T1121" s="5"/>
    </row>
    <row r="1122" customFormat="false" ht="15" hidden="false" customHeight="true" outlineLevel="0" collapsed="false">
      <c r="A1122" s="4" t="n">
        <v>1121</v>
      </c>
      <c r="B1122" s="6" t="s">
        <v>1787</v>
      </c>
      <c r="C1122" s="6" t="s">
        <v>3572</v>
      </c>
      <c r="D1122" s="6" t="s">
        <v>3573</v>
      </c>
      <c r="E1122" s="7" t="s">
        <v>21</v>
      </c>
      <c r="F1122" s="6" t="s">
        <v>4160</v>
      </c>
      <c r="G1122" s="6" t="s">
        <v>4161</v>
      </c>
      <c r="H1122" s="6" t="s">
        <v>4162</v>
      </c>
      <c r="I1122" s="6" t="s">
        <v>4163</v>
      </c>
      <c r="J1122" s="6" t="s">
        <v>4164</v>
      </c>
      <c r="K1122" s="5"/>
      <c r="L1122" s="4" t="s">
        <v>27</v>
      </c>
      <c r="M1122" s="8" t="s">
        <v>129</v>
      </c>
      <c r="N1122" s="9" t="s">
        <v>3579</v>
      </c>
      <c r="O1122" s="5"/>
      <c r="P1122" s="5"/>
      <c r="Q1122" s="6" t="s">
        <v>30</v>
      </c>
      <c r="R1122" s="4" t="s">
        <v>31</v>
      </c>
      <c r="S1122" s="7" t="s">
        <v>32</v>
      </c>
      <c r="T1122" s="5"/>
    </row>
    <row r="1123" customFormat="false" ht="29.25" hidden="false" customHeight="true" outlineLevel="0" collapsed="false">
      <c r="A1123" s="4" t="n">
        <v>1122</v>
      </c>
      <c r="B1123" s="6" t="s">
        <v>1787</v>
      </c>
      <c r="C1123" s="6" t="s">
        <v>3572</v>
      </c>
      <c r="D1123" s="6" t="s">
        <v>3573</v>
      </c>
      <c r="E1123" s="7" t="s">
        <v>21</v>
      </c>
      <c r="F1123" s="6" t="s">
        <v>4165</v>
      </c>
      <c r="G1123" s="6" t="s">
        <v>4166</v>
      </c>
      <c r="H1123" s="6" t="s">
        <v>4145</v>
      </c>
      <c r="I1123" s="6" t="s">
        <v>4146</v>
      </c>
      <c r="J1123" s="6" t="s">
        <v>4148</v>
      </c>
      <c r="K1123" s="5"/>
      <c r="L1123" s="4" t="s">
        <v>27</v>
      </c>
      <c r="M1123" s="8" t="s">
        <v>79</v>
      </c>
      <c r="N1123" s="9" t="s">
        <v>3579</v>
      </c>
      <c r="O1123" s="5"/>
      <c r="P1123" s="5"/>
      <c r="Q1123" s="6" t="s">
        <v>30</v>
      </c>
      <c r="R1123" s="4" t="s">
        <v>31</v>
      </c>
      <c r="S1123" s="7" t="s">
        <v>32</v>
      </c>
      <c r="T1123" s="5"/>
    </row>
    <row r="1124" customFormat="false" ht="29.25" hidden="false" customHeight="true" outlineLevel="0" collapsed="false">
      <c r="A1124" s="4" t="n">
        <v>1123</v>
      </c>
      <c r="B1124" s="6" t="s">
        <v>1787</v>
      </c>
      <c r="C1124" s="6" t="s">
        <v>3572</v>
      </c>
      <c r="D1124" s="6" t="s">
        <v>3573</v>
      </c>
      <c r="E1124" s="7" t="s">
        <v>21</v>
      </c>
      <c r="F1124" s="6" t="s">
        <v>4167</v>
      </c>
      <c r="G1124" s="6" t="s">
        <v>4168</v>
      </c>
      <c r="H1124" s="6" t="s">
        <v>4169</v>
      </c>
      <c r="I1124" s="6" t="s">
        <v>4170</v>
      </c>
      <c r="J1124" s="6" t="s">
        <v>4171</v>
      </c>
      <c r="K1124" s="5"/>
      <c r="L1124" s="4" t="s">
        <v>44</v>
      </c>
      <c r="M1124" s="8" t="s">
        <v>79</v>
      </c>
      <c r="N1124" s="9" t="s">
        <v>3579</v>
      </c>
      <c r="O1124" s="5"/>
      <c r="P1124" s="5"/>
      <c r="Q1124" s="6" t="s">
        <v>30</v>
      </c>
      <c r="R1124" s="4" t="s">
        <v>31</v>
      </c>
      <c r="S1124" s="7" t="s">
        <v>32</v>
      </c>
      <c r="T1124" s="5"/>
    </row>
    <row r="1125" customFormat="false" ht="29.25" hidden="false" customHeight="true" outlineLevel="0" collapsed="false">
      <c r="A1125" s="4" t="n">
        <v>1124</v>
      </c>
      <c r="B1125" s="6" t="s">
        <v>1787</v>
      </c>
      <c r="C1125" s="6" t="s">
        <v>3572</v>
      </c>
      <c r="D1125" s="6" t="s">
        <v>3573</v>
      </c>
      <c r="E1125" s="7" t="s">
        <v>21</v>
      </c>
      <c r="F1125" s="6" t="s">
        <v>4172</v>
      </c>
      <c r="G1125" s="6" t="s">
        <v>4173</v>
      </c>
      <c r="H1125" s="6" t="s">
        <v>4174</v>
      </c>
      <c r="I1125" s="6" t="s">
        <v>4175</v>
      </c>
      <c r="J1125" s="6" t="s">
        <v>4151</v>
      </c>
      <c r="K1125" s="5"/>
      <c r="L1125" s="4" t="s">
        <v>44</v>
      </c>
      <c r="M1125" s="8" t="s">
        <v>129</v>
      </c>
      <c r="N1125" s="9" t="s">
        <v>3579</v>
      </c>
      <c r="O1125" s="5"/>
      <c r="P1125" s="5"/>
      <c r="Q1125" s="6" t="s">
        <v>30</v>
      </c>
      <c r="R1125" s="4" t="s">
        <v>31</v>
      </c>
      <c r="S1125" s="7" t="s">
        <v>32</v>
      </c>
      <c r="T1125" s="5"/>
    </row>
    <row r="1126" customFormat="false" ht="100.5" hidden="false" customHeight="true" outlineLevel="0" collapsed="false">
      <c r="A1126" s="4" t="n">
        <v>1125</v>
      </c>
      <c r="B1126" s="6" t="s">
        <v>1787</v>
      </c>
      <c r="C1126" s="6" t="s">
        <v>3572</v>
      </c>
      <c r="D1126" s="6" t="s">
        <v>3573</v>
      </c>
      <c r="E1126" s="7" t="s">
        <v>21</v>
      </c>
      <c r="F1126" s="6" t="s">
        <v>4176</v>
      </c>
      <c r="G1126" s="6" t="s">
        <v>4177</v>
      </c>
      <c r="H1126" s="6" t="s">
        <v>4178</v>
      </c>
      <c r="I1126" s="6" t="s">
        <v>4179</v>
      </c>
      <c r="J1126" s="6" t="s">
        <v>78</v>
      </c>
      <c r="K1126" s="5"/>
      <c r="L1126" s="4" t="s">
        <v>44</v>
      </c>
      <c r="M1126" s="8" t="s">
        <v>28</v>
      </c>
      <c r="N1126" s="9" t="s">
        <v>3635</v>
      </c>
      <c r="O1126" s="5"/>
      <c r="P1126" s="5"/>
      <c r="Q1126" s="6" t="s">
        <v>30</v>
      </c>
      <c r="R1126" s="4" t="s">
        <v>31</v>
      </c>
      <c r="S1126" s="7" t="s">
        <v>32</v>
      </c>
      <c r="T1126" s="5"/>
    </row>
    <row r="1127" customFormat="false" ht="29.25" hidden="false" customHeight="true" outlineLevel="0" collapsed="false">
      <c r="A1127" s="4" t="n">
        <v>1126</v>
      </c>
      <c r="B1127" s="6" t="s">
        <v>1787</v>
      </c>
      <c r="C1127" s="6" t="s">
        <v>3572</v>
      </c>
      <c r="D1127" s="6" t="s">
        <v>3573</v>
      </c>
      <c r="E1127" s="7" t="s">
        <v>21</v>
      </c>
      <c r="F1127" s="6" t="s">
        <v>4180</v>
      </c>
      <c r="G1127" s="6" t="s">
        <v>4151</v>
      </c>
      <c r="H1127" s="6" t="s">
        <v>4162</v>
      </c>
      <c r="I1127" s="6" t="s">
        <v>4181</v>
      </c>
      <c r="J1127" s="6" t="s">
        <v>4182</v>
      </c>
      <c r="K1127" s="5"/>
      <c r="L1127" s="4" t="s">
        <v>51</v>
      </c>
      <c r="M1127" s="8" t="s">
        <v>79</v>
      </c>
      <c r="N1127" s="9" t="s">
        <v>4183</v>
      </c>
      <c r="O1127" s="5"/>
      <c r="P1127" s="5"/>
      <c r="Q1127" s="6" t="s">
        <v>30</v>
      </c>
      <c r="R1127" s="4" t="s">
        <v>31</v>
      </c>
      <c r="S1127" s="7" t="s">
        <v>32</v>
      </c>
      <c r="T1127" s="5"/>
    </row>
    <row r="1128" customFormat="false" ht="15" hidden="false" customHeight="true" outlineLevel="0" collapsed="false">
      <c r="A1128" s="4" t="n">
        <v>1127</v>
      </c>
      <c r="B1128" s="6" t="s">
        <v>1787</v>
      </c>
      <c r="C1128" s="6" t="s">
        <v>3572</v>
      </c>
      <c r="D1128" s="6" t="s">
        <v>3573</v>
      </c>
      <c r="E1128" s="7" t="s">
        <v>21</v>
      </c>
      <c r="F1128" s="6" t="s">
        <v>4184</v>
      </c>
      <c r="G1128" s="5" t="s">
        <v>4185</v>
      </c>
      <c r="H1128" s="5" t="s">
        <v>4186</v>
      </c>
      <c r="I1128" s="5" t="s">
        <v>4187</v>
      </c>
      <c r="J1128" s="5" t="s">
        <v>4188</v>
      </c>
      <c r="K1128" s="5"/>
      <c r="L1128" s="4" t="s">
        <v>44</v>
      </c>
      <c r="M1128" s="8" t="s">
        <v>79</v>
      </c>
      <c r="N1128" s="9" t="s">
        <v>3579</v>
      </c>
      <c r="O1128" s="5"/>
      <c r="P1128" s="5"/>
      <c r="Q1128" s="6" t="s">
        <v>30</v>
      </c>
      <c r="R1128" s="4" t="s">
        <v>31</v>
      </c>
      <c r="S1128" s="7" t="s">
        <v>32</v>
      </c>
      <c r="T1128" s="5"/>
    </row>
    <row r="1129" customFormat="false" ht="29.25" hidden="false" customHeight="true" outlineLevel="0" collapsed="false">
      <c r="A1129" s="4" t="n">
        <v>1128</v>
      </c>
      <c r="B1129" s="6" t="s">
        <v>1787</v>
      </c>
      <c r="C1129" s="6" t="s">
        <v>3572</v>
      </c>
      <c r="D1129" s="6" t="s">
        <v>3573</v>
      </c>
      <c r="E1129" s="7" t="s">
        <v>21</v>
      </c>
      <c r="F1129" s="6" t="s">
        <v>4189</v>
      </c>
      <c r="G1129" s="5" t="s">
        <v>4185</v>
      </c>
      <c r="H1129" s="5" t="s">
        <v>4186</v>
      </c>
      <c r="I1129" s="5" t="s">
        <v>4190</v>
      </c>
      <c r="J1129" s="5" t="s">
        <v>4191</v>
      </c>
      <c r="K1129" s="5"/>
      <c r="L1129" s="4" t="s">
        <v>44</v>
      </c>
      <c r="M1129" s="8" t="s">
        <v>28</v>
      </c>
      <c r="N1129" s="9" t="s">
        <v>3579</v>
      </c>
      <c r="O1129" s="5"/>
      <c r="P1129" s="5"/>
      <c r="Q1129" s="6" t="s">
        <v>30</v>
      </c>
      <c r="R1129" s="4" t="s">
        <v>31</v>
      </c>
      <c r="S1129" s="7" t="s">
        <v>32</v>
      </c>
      <c r="T1129" s="5"/>
    </row>
    <row r="1130" customFormat="false" ht="15" hidden="false" customHeight="true" outlineLevel="0" collapsed="false">
      <c r="A1130" s="4" t="n">
        <v>1129</v>
      </c>
      <c r="B1130" s="6" t="s">
        <v>1787</v>
      </c>
      <c r="C1130" s="6" t="s">
        <v>3572</v>
      </c>
      <c r="D1130" s="6" t="s">
        <v>3573</v>
      </c>
      <c r="E1130" s="7" t="s">
        <v>21</v>
      </c>
      <c r="F1130" s="6" t="s">
        <v>4192</v>
      </c>
      <c r="G1130" s="6" t="s">
        <v>4193</v>
      </c>
      <c r="H1130" s="6" t="s">
        <v>4194</v>
      </c>
      <c r="I1130" s="6" t="s">
        <v>4195</v>
      </c>
      <c r="J1130" s="6" t="s">
        <v>4196</v>
      </c>
      <c r="K1130" s="5"/>
      <c r="L1130" s="4" t="s">
        <v>51</v>
      </c>
      <c r="M1130" s="8" t="s">
        <v>79</v>
      </c>
      <c r="N1130" s="9" t="s">
        <v>3579</v>
      </c>
      <c r="O1130" s="5"/>
      <c r="P1130" s="5"/>
      <c r="Q1130" s="6" t="s">
        <v>30</v>
      </c>
      <c r="R1130" s="4" t="s">
        <v>31</v>
      </c>
      <c r="S1130" s="7" t="s">
        <v>32</v>
      </c>
      <c r="T1130" s="5"/>
    </row>
    <row r="1131" customFormat="false" ht="29.25" hidden="false" customHeight="true" outlineLevel="0" collapsed="false">
      <c r="A1131" s="4" t="n">
        <v>1130</v>
      </c>
      <c r="B1131" s="6" t="s">
        <v>1787</v>
      </c>
      <c r="C1131" s="6" t="s">
        <v>3572</v>
      </c>
      <c r="D1131" s="6" t="s">
        <v>3573</v>
      </c>
      <c r="E1131" s="7" t="s">
        <v>21</v>
      </c>
      <c r="F1131" s="6" t="s">
        <v>4197</v>
      </c>
      <c r="G1131" s="6" t="s">
        <v>4198</v>
      </c>
      <c r="H1131" s="6" t="s">
        <v>4199</v>
      </c>
      <c r="I1131" s="6" t="s">
        <v>4200</v>
      </c>
      <c r="J1131" s="6" t="s">
        <v>4201</v>
      </c>
      <c r="K1131" s="5"/>
      <c r="L1131" s="4" t="s">
        <v>62</v>
      </c>
      <c r="M1131" s="8" t="s">
        <v>28</v>
      </c>
      <c r="N1131" s="9" t="s">
        <v>3579</v>
      </c>
      <c r="O1131" s="5"/>
      <c r="P1131" s="5"/>
      <c r="Q1131" s="6" t="s">
        <v>30</v>
      </c>
      <c r="R1131" s="4" t="s">
        <v>31</v>
      </c>
      <c r="S1131" s="7" t="s">
        <v>32</v>
      </c>
      <c r="T1131" s="5"/>
    </row>
    <row r="1132" customFormat="false" ht="15" hidden="false" customHeight="true" outlineLevel="0" collapsed="false">
      <c r="A1132" s="4" t="n">
        <v>1131</v>
      </c>
      <c r="B1132" s="6" t="s">
        <v>1787</v>
      </c>
      <c r="C1132" s="6" t="s">
        <v>3572</v>
      </c>
      <c r="D1132" s="6" t="s">
        <v>3573</v>
      </c>
      <c r="E1132" s="7" t="s">
        <v>21</v>
      </c>
      <c r="F1132" s="6" t="s">
        <v>4202</v>
      </c>
      <c r="G1132" s="6" t="s">
        <v>3281</v>
      </c>
      <c r="H1132" s="6" t="s">
        <v>4203</v>
      </c>
      <c r="I1132" s="6" t="s">
        <v>4204</v>
      </c>
      <c r="J1132" s="6" t="s">
        <v>4205</v>
      </c>
      <c r="K1132" s="5"/>
      <c r="L1132" s="4" t="s">
        <v>44</v>
      </c>
      <c r="M1132" s="8" t="s">
        <v>79</v>
      </c>
      <c r="N1132" s="9" t="s">
        <v>3579</v>
      </c>
      <c r="O1132" s="5"/>
      <c r="P1132" s="5"/>
      <c r="Q1132" s="6" t="s">
        <v>30</v>
      </c>
      <c r="R1132" s="4" t="s">
        <v>31</v>
      </c>
      <c r="S1132" s="7" t="s">
        <v>32</v>
      </c>
      <c r="T1132" s="5"/>
    </row>
    <row r="1133" customFormat="false" ht="43.5" hidden="false" customHeight="true" outlineLevel="0" collapsed="false">
      <c r="A1133" s="4" t="n">
        <v>1132</v>
      </c>
      <c r="B1133" s="6" t="s">
        <v>1787</v>
      </c>
      <c r="C1133" s="6" t="s">
        <v>3572</v>
      </c>
      <c r="D1133" s="6" t="s">
        <v>3573</v>
      </c>
      <c r="E1133" s="7" t="s">
        <v>21</v>
      </c>
      <c r="F1133" s="6" t="s">
        <v>4206</v>
      </c>
      <c r="G1133" s="6" t="s">
        <v>4207</v>
      </c>
      <c r="H1133" s="6" t="s">
        <v>4208</v>
      </c>
      <c r="I1133" s="6" t="s">
        <v>4209</v>
      </c>
      <c r="J1133" s="6" t="s">
        <v>4210</v>
      </c>
      <c r="K1133" s="5"/>
      <c r="L1133" s="4" t="s">
        <v>62</v>
      </c>
      <c r="M1133" s="8" t="s">
        <v>28</v>
      </c>
      <c r="N1133" s="9" t="s">
        <v>3579</v>
      </c>
      <c r="O1133" s="5"/>
      <c r="P1133" s="5"/>
      <c r="Q1133" s="6" t="s">
        <v>30</v>
      </c>
      <c r="R1133" s="4" t="s">
        <v>31</v>
      </c>
      <c r="S1133" s="7" t="s">
        <v>32</v>
      </c>
      <c r="T1133" s="5"/>
    </row>
    <row r="1134" customFormat="false" ht="29.25" hidden="false" customHeight="true" outlineLevel="0" collapsed="false">
      <c r="A1134" s="4" t="n">
        <v>1133</v>
      </c>
      <c r="B1134" s="6" t="s">
        <v>1787</v>
      </c>
      <c r="C1134" s="6" t="s">
        <v>3572</v>
      </c>
      <c r="D1134" s="6" t="s">
        <v>3573</v>
      </c>
      <c r="E1134" s="7" t="s">
        <v>21</v>
      </c>
      <c r="F1134" s="6" t="s">
        <v>4211</v>
      </c>
      <c r="G1134" s="6" t="s">
        <v>4212</v>
      </c>
      <c r="H1134" s="6" t="s">
        <v>4213</v>
      </c>
      <c r="I1134" s="6" t="s">
        <v>4214</v>
      </c>
      <c r="J1134" s="6" t="s">
        <v>4215</v>
      </c>
      <c r="K1134" s="5"/>
      <c r="L1134" s="4" t="s">
        <v>62</v>
      </c>
      <c r="M1134" s="8" t="s">
        <v>28</v>
      </c>
      <c r="N1134" s="9" t="s">
        <v>3579</v>
      </c>
      <c r="O1134" s="5"/>
      <c r="P1134" s="5"/>
      <c r="Q1134" s="6" t="s">
        <v>30</v>
      </c>
      <c r="R1134" s="4" t="s">
        <v>31</v>
      </c>
      <c r="S1134" s="7" t="s">
        <v>32</v>
      </c>
      <c r="T1134" s="5"/>
    </row>
    <row r="1135" customFormat="false" ht="29.25" hidden="false" customHeight="true" outlineLevel="0" collapsed="false">
      <c r="A1135" s="4" t="n">
        <v>1134</v>
      </c>
      <c r="B1135" s="6" t="s">
        <v>1787</v>
      </c>
      <c r="C1135" s="6" t="s">
        <v>3572</v>
      </c>
      <c r="D1135" s="6" t="s">
        <v>3573</v>
      </c>
      <c r="E1135" s="7" t="s">
        <v>21</v>
      </c>
      <c r="F1135" s="6" t="s">
        <v>4216</v>
      </c>
      <c r="G1135" s="6" t="s">
        <v>4217</v>
      </c>
      <c r="H1135" s="6" t="s">
        <v>4218</v>
      </c>
      <c r="I1135" s="6" t="s">
        <v>4219</v>
      </c>
      <c r="J1135" s="6" t="s">
        <v>4220</v>
      </c>
      <c r="K1135" s="5"/>
      <c r="L1135" s="4" t="s">
        <v>51</v>
      </c>
      <c r="M1135" s="8" t="s">
        <v>79</v>
      </c>
      <c r="N1135" s="9" t="s">
        <v>3579</v>
      </c>
      <c r="O1135" s="5"/>
      <c r="P1135" s="5"/>
      <c r="Q1135" s="6" t="s">
        <v>30</v>
      </c>
      <c r="R1135" s="4" t="s">
        <v>31</v>
      </c>
      <c r="S1135" s="7" t="s">
        <v>32</v>
      </c>
      <c r="T1135" s="5"/>
    </row>
    <row r="1136" customFormat="false" ht="29.25" hidden="false" customHeight="true" outlineLevel="0" collapsed="false">
      <c r="A1136" s="4" t="n">
        <v>1135</v>
      </c>
      <c r="B1136" s="6" t="s">
        <v>1787</v>
      </c>
      <c r="C1136" s="6" t="s">
        <v>3572</v>
      </c>
      <c r="D1136" s="6" t="s">
        <v>3573</v>
      </c>
      <c r="E1136" s="7" t="s">
        <v>21</v>
      </c>
      <c r="F1136" s="6" t="s">
        <v>4221</v>
      </c>
      <c r="G1136" s="6" t="s">
        <v>4222</v>
      </c>
      <c r="H1136" s="6" t="s">
        <v>4223</v>
      </c>
      <c r="I1136" s="5" t="s">
        <v>4224</v>
      </c>
      <c r="J1136" s="6" t="s">
        <v>4225</v>
      </c>
      <c r="K1136" s="5"/>
      <c r="L1136" s="4" t="s">
        <v>27</v>
      </c>
      <c r="M1136" s="8" t="s">
        <v>79</v>
      </c>
      <c r="N1136" s="9" t="s">
        <v>3579</v>
      </c>
      <c r="O1136" s="5"/>
      <c r="P1136" s="5"/>
      <c r="Q1136" s="6" t="s">
        <v>30</v>
      </c>
      <c r="R1136" s="4" t="s">
        <v>31</v>
      </c>
      <c r="S1136" s="7" t="s">
        <v>32</v>
      </c>
      <c r="T1136" s="5"/>
    </row>
    <row r="1137" customFormat="false" ht="29.25" hidden="false" customHeight="true" outlineLevel="0" collapsed="false">
      <c r="A1137" s="4" t="n">
        <v>1136</v>
      </c>
      <c r="B1137" s="6" t="s">
        <v>1787</v>
      </c>
      <c r="C1137" s="6" t="s">
        <v>3572</v>
      </c>
      <c r="D1137" s="6" t="s">
        <v>3573</v>
      </c>
      <c r="E1137" s="7" t="s">
        <v>21</v>
      </c>
      <c r="F1137" s="6" t="s">
        <v>4226</v>
      </c>
      <c r="G1137" s="6" t="s">
        <v>4227</v>
      </c>
      <c r="H1137" s="6" t="s">
        <v>4228</v>
      </c>
      <c r="I1137" s="6" t="s">
        <v>4229</v>
      </c>
      <c r="J1137" s="6" t="s">
        <v>4230</v>
      </c>
      <c r="K1137" s="5"/>
      <c r="L1137" s="4" t="s">
        <v>62</v>
      </c>
      <c r="M1137" s="8" t="s">
        <v>28</v>
      </c>
      <c r="N1137" s="9" t="s">
        <v>3579</v>
      </c>
      <c r="O1137" s="5"/>
      <c r="P1137" s="5"/>
      <c r="Q1137" s="6" t="s">
        <v>30</v>
      </c>
      <c r="R1137" s="4" t="s">
        <v>31</v>
      </c>
      <c r="S1137" s="7" t="s">
        <v>32</v>
      </c>
      <c r="T1137" s="5"/>
    </row>
    <row r="1138" customFormat="false" ht="15" hidden="false" customHeight="true" outlineLevel="0" collapsed="false">
      <c r="A1138" s="4" t="n">
        <v>1137</v>
      </c>
      <c r="B1138" s="6" t="s">
        <v>1787</v>
      </c>
      <c r="C1138" s="6" t="s">
        <v>3572</v>
      </c>
      <c r="D1138" s="6" t="s">
        <v>3573</v>
      </c>
      <c r="E1138" s="7" t="s">
        <v>21</v>
      </c>
      <c r="F1138" s="6" t="s">
        <v>4231</v>
      </c>
      <c r="G1138" s="6" t="s">
        <v>4194</v>
      </c>
      <c r="H1138" s="6" t="s">
        <v>4195</v>
      </c>
      <c r="I1138" s="6" t="s">
        <v>4193</v>
      </c>
      <c r="J1138" s="6" t="s">
        <v>4232</v>
      </c>
      <c r="K1138" s="5"/>
      <c r="L1138" s="4" t="s">
        <v>27</v>
      </c>
      <c r="M1138" s="8" t="s">
        <v>79</v>
      </c>
      <c r="N1138" s="9" t="s">
        <v>3579</v>
      </c>
      <c r="O1138" s="5"/>
      <c r="P1138" s="5"/>
      <c r="Q1138" s="6" t="s">
        <v>30</v>
      </c>
      <c r="R1138" s="4" t="s">
        <v>31</v>
      </c>
      <c r="S1138" s="7" t="s">
        <v>32</v>
      </c>
      <c r="T1138" s="5"/>
    </row>
    <row r="1139" customFormat="false" ht="29.25" hidden="false" customHeight="true" outlineLevel="0" collapsed="false">
      <c r="A1139" s="4" t="n">
        <v>1138</v>
      </c>
      <c r="B1139" s="6" t="s">
        <v>1787</v>
      </c>
      <c r="C1139" s="6" t="s">
        <v>3572</v>
      </c>
      <c r="D1139" s="6" t="s">
        <v>3573</v>
      </c>
      <c r="E1139" s="7" t="s">
        <v>21</v>
      </c>
      <c r="F1139" s="6" t="s">
        <v>4233</v>
      </c>
      <c r="G1139" s="6" t="s">
        <v>1930</v>
      </c>
      <c r="H1139" s="6" t="s">
        <v>4234</v>
      </c>
      <c r="I1139" s="6" t="s">
        <v>4235</v>
      </c>
      <c r="J1139" s="6" t="s">
        <v>1929</v>
      </c>
      <c r="K1139" s="5"/>
      <c r="L1139" s="4" t="s">
        <v>44</v>
      </c>
      <c r="M1139" s="8" t="s">
        <v>79</v>
      </c>
      <c r="N1139" s="9" t="s">
        <v>3579</v>
      </c>
      <c r="O1139" s="5"/>
      <c r="P1139" s="5"/>
      <c r="Q1139" s="6" t="s">
        <v>30</v>
      </c>
      <c r="R1139" s="4" t="s">
        <v>31</v>
      </c>
      <c r="S1139" s="7" t="s">
        <v>32</v>
      </c>
      <c r="T1139" s="5"/>
    </row>
    <row r="1140" customFormat="false" ht="43.5" hidden="false" customHeight="true" outlineLevel="0" collapsed="false">
      <c r="A1140" s="4" t="n">
        <v>1139</v>
      </c>
      <c r="B1140" s="6" t="s">
        <v>1787</v>
      </c>
      <c r="C1140" s="6" t="s">
        <v>3572</v>
      </c>
      <c r="D1140" s="6" t="s">
        <v>3573</v>
      </c>
      <c r="E1140" s="7" t="s">
        <v>21</v>
      </c>
      <c r="F1140" s="6" t="s">
        <v>4236</v>
      </c>
      <c r="G1140" s="5" t="s">
        <v>4237</v>
      </c>
      <c r="H1140" s="5" t="s">
        <v>4238</v>
      </c>
      <c r="I1140" s="6" t="s">
        <v>4239</v>
      </c>
      <c r="J1140" s="5" t="s">
        <v>4240</v>
      </c>
      <c r="K1140" s="5"/>
      <c r="L1140" s="4" t="s">
        <v>51</v>
      </c>
      <c r="M1140" s="8" t="s">
        <v>28</v>
      </c>
      <c r="N1140" s="9" t="s">
        <v>3579</v>
      </c>
      <c r="O1140" s="5"/>
      <c r="P1140" s="5"/>
      <c r="Q1140" s="6" t="s">
        <v>30</v>
      </c>
      <c r="R1140" s="4" t="s">
        <v>31</v>
      </c>
      <c r="S1140" s="7" t="s">
        <v>32</v>
      </c>
      <c r="T1140" s="5"/>
    </row>
    <row r="1141" customFormat="false" ht="15" hidden="false" customHeight="true" outlineLevel="0" collapsed="false">
      <c r="A1141" s="4" t="n">
        <v>1140</v>
      </c>
      <c r="B1141" s="6" t="s">
        <v>1787</v>
      </c>
      <c r="C1141" s="6" t="s">
        <v>3572</v>
      </c>
      <c r="D1141" s="6" t="s">
        <v>3573</v>
      </c>
      <c r="E1141" s="7" t="s">
        <v>21</v>
      </c>
      <c r="F1141" s="6" t="s">
        <v>4241</v>
      </c>
      <c r="G1141" s="6" t="s">
        <v>4242</v>
      </c>
      <c r="H1141" s="6" t="s">
        <v>4243</v>
      </c>
      <c r="I1141" s="6" t="s">
        <v>4244</v>
      </c>
      <c r="J1141" s="6" t="s">
        <v>4245</v>
      </c>
      <c r="K1141" s="5"/>
      <c r="L1141" s="4" t="s">
        <v>44</v>
      </c>
      <c r="M1141" s="8" t="s">
        <v>129</v>
      </c>
      <c r="N1141" s="9" t="s">
        <v>3579</v>
      </c>
      <c r="O1141" s="5"/>
      <c r="P1141" s="5"/>
      <c r="Q1141" s="6" t="s">
        <v>30</v>
      </c>
      <c r="R1141" s="4" t="s">
        <v>31</v>
      </c>
      <c r="S1141" s="7" t="s">
        <v>32</v>
      </c>
      <c r="T1141" s="5"/>
    </row>
    <row r="1142" customFormat="false" ht="29.25" hidden="false" customHeight="true" outlineLevel="0" collapsed="false">
      <c r="A1142" s="4" t="n">
        <v>1141</v>
      </c>
      <c r="B1142" s="6" t="s">
        <v>1787</v>
      </c>
      <c r="C1142" s="6" t="s">
        <v>3572</v>
      </c>
      <c r="D1142" s="6" t="s">
        <v>3573</v>
      </c>
      <c r="E1142" s="7" t="s">
        <v>21</v>
      </c>
      <c r="F1142" s="5" t="s">
        <v>4246</v>
      </c>
      <c r="G1142" s="6" t="s">
        <v>4247</v>
      </c>
      <c r="H1142" s="6" t="s">
        <v>4248</v>
      </c>
      <c r="I1142" s="6" t="s">
        <v>4249</v>
      </c>
      <c r="J1142" s="6" t="s">
        <v>322</v>
      </c>
      <c r="K1142" s="5"/>
      <c r="L1142" s="4" t="s">
        <v>62</v>
      </c>
      <c r="M1142" s="8" t="s">
        <v>79</v>
      </c>
      <c r="N1142" s="9" t="s">
        <v>3579</v>
      </c>
      <c r="O1142" s="5"/>
      <c r="P1142" s="5"/>
      <c r="Q1142" s="6" t="s">
        <v>30</v>
      </c>
      <c r="R1142" s="4" t="s">
        <v>31</v>
      </c>
      <c r="S1142" s="7" t="s">
        <v>32</v>
      </c>
      <c r="T1142" s="5"/>
    </row>
    <row r="1143" customFormat="false" ht="15" hidden="false" customHeight="true" outlineLevel="0" collapsed="false">
      <c r="A1143" s="4" t="n">
        <v>1142</v>
      </c>
      <c r="B1143" s="6" t="s">
        <v>1787</v>
      </c>
      <c r="C1143" s="6" t="s">
        <v>3572</v>
      </c>
      <c r="D1143" s="6" t="s">
        <v>3573</v>
      </c>
      <c r="E1143" s="7" t="s">
        <v>21</v>
      </c>
      <c r="F1143" s="6" t="s">
        <v>4250</v>
      </c>
      <c r="G1143" s="6" t="s">
        <v>3592</v>
      </c>
      <c r="H1143" s="6" t="s">
        <v>4251</v>
      </c>
      <c r="I1143" s="6" t="s">
        <v>334</v>
      </c>
      <c r="J1143" s="6" t="s">
        <v>4252</v>
      </c>
      <c r="K1143" s="5"/>
      <c r="L1143" s="4" t="s">
        <v>62</v>
      </c>
      <c r="M1143" s="8" t="s">
        <v>79</v>
      </c>
      <c r="N1143" s="9" t="s">
        <v>3579</v>
      </c>
      <c r="O1143" s="5"/>
      <c r="P1143" s="5"/>
      <c r="Q1143" s="6" t="s">
        <v>30</v>
      </c>
      <c r="R1143" s="4" t="s">
        <v>31</v>
      </c>
      <c r="S1143" s="7" t="s">
        <v>32</v>
      </c>
      <c r="T1143" s="5"/>
    </row>
    <row r="1144" customFormat="false" ht="15" hidden="false" customHeight="true" outlineLevel="0" collapsed="false">
      <c r="A1144" s="4" t="n">
        <v>1143</v>
      </c>
      <c r="B1144" s="6" t="s">
        <v>1787</v>
      </c>
      <c r="C1144" s="6" t="s">
        <v>3572</v>
      </c>
      <c r="D1144" s="6" t="s">
        <v>3573</v>
      </c>
      <c r="E1144" s="7" t="s">
        <v>21</v>
      </c>
      <c r="F1144" s="6" t="s">
        <v>4253</v>
      </c>
      <c r="G1144" s="5" t="s">
        <v>4254</v>
      </c>
      <c r="H1144" s="5" t="s">
        <v>4255</v>
      </c>
      <c r="I1144" s="5" t="s">
        <v>4256</v>
      </c>
      <c r="J1144" s="5" t="s">
        <v>4257</v>
      </c>
      <c r="K1144" s="5"/>
      <c r="L1144" s="4" t="s">
        <v>27</v>
      </c>
      <c r="M1144" s="8" t="s">
        <v>129</v>
      </c>
      <c r="N1144" s="9" t="s">
        <v>3579</v>
      </c>
      <c r="O1144" s="5"/>
      <c r="P1144" s="5"/>
      <c r="Q1144" s="6" t="s">
        <v>30</v>
      </c>
      <c r="R1144" s="4" t="s">
        <v>31</v>
      </c>
      <c r="S1144" s="7" t="s">
        <v>32</v>
      </c>
      <c r="T1144" s="5"/>
    </row>
    <row r="1145" customFormat="false" ht="15" hidden="false" customHeight="true" outlineLevel="0" collapsed="false">
      <c r="A1145" s="4" t="n">
        <v>1144</v>
      </c>
      <c r="B1145" s="6" t="s">
        <v>1787</v>
      </c>
      <c r="C1145" s="6" t="s">
        <v>3572</v>
      </c>
      <c r="D1145" s="6" t="s">
        <v>3573</v>
      </c>
      <c r="E1145" s="7" t="s">
        <v>21</v>
      </c>
      <c r="F1145" s="6" t="s">
        <v>4258</v>
      </c>
      <c r="G1145" s="6" t="s">
        <v>4259</v>
      </c>
      <c r="H1145" s="6" t="s">
        <v>4260</v>
      </c>
      <c r="I1145" s="6" t="s">
        <v>4261</v>
      </c>
      <c r="J1145" s="6" t="s">
        <v>78</v>
      </c>
      <c r="K1145" s="5"/>
      <c r="L1145" s="4" t="s">
        <v>44</v>
      </c>
      <c r="M1145" s="8" t="s">
        <v>79</v>
      </c>
      <c r="N1145" s="9" t="s">
        <v>3579</v>
      </c>
      <c r="O1145" s="5"/>
      <c r="P1145" s="5"/>
      <c r="Q1145" s="6" t="s">
        <v>30</v>
      </c>
      <c r="R1145" s="4" t="s">
        <v>31</v>
      </c>
      <c r="S1145" s="7" t="s">
        <v>32</v>
      </c>
      <c r="T1145" s="5"/>
    </row>
    <row r="1146" customFormat="false" ht="15" hidden="false" customHeight="true" outlineLevel="0" collapsed="false">
      <c r="A1146" s="4" t="n">
        <v>1145</v>
      </c>
      <c r="B1146" s="6" t="s">
        <v>1787</v>
      </c>
      <c r="C1146" s="6" t="s">
        <v>3572</v>
      </c>
      <c r="D1146" s="6" t="s">
        <v>3573</v>
      </c>
      <c r="E1146" s="7" t="s">
        <v>21</v>
      </c>
      <c r="F1146" s="6" t="s">
        <v>4262</v>
      </c>
      <c r="G1146" s="5" t="s">
        <v>4133</v>
      </c>
      <c r="H1146" s="5" t="s">
        <v>4263</v>
      </c>
      <c r="I1146" s="5" t="s">
        <v>4264</v>
      </c>
      <c r="J1146" s="5" t="s">
        <v>4134</v>
      </c>
      <c r="K1146" s="5"/>
      <c r="L1146" s="4" t="s">
        <v>27</v>
      </c>
      <c r="M1146" s="8" t="s">
        <v>129</v>
      </c>
      <c r="N1146" s="9" t="s">
        <v>3579</v>
      </c>
      <c r="O1146" s="5"/>
      <c r="P1146" s="5"/>
      <c r="Q1146" s="6" t="s">
        <v>30</v>
      </c>
      <c r="R1146" s="4" t="s">
        <v>31</v>
      </c>
      <c r="S1146" s="7" t="s">
        <v>32</v>
      </c>
      <c r="T1146" s="5"/>
    </row>
    <row r="1147" customFormat="false" ht="43.5" hidden="false" customHeight="true" outlineLevel="0" collapsed="false">
      <c r="A1147" s="4" t="n">
        <v>1146</v>
      </c>
      <c r="B1147" s="6" t="s">
        <v>1787</v>
      </c>
      <c r="C1147" s="6" t="s">
        <v>3572</v>
      </c>
      <c r="D1147" s="6" t="s">
        <v>3573</v>
      </c>
      <c r="E1147" s="7" t="s">
        <v>21</v>
      </c>
      <c r="F1147" s="6" t="s">
        <v>4265</v>
      </c>
      <c r="G1147" s="6" t="s">
        <v>4266</v>
      </c>
      <c r="H1147" s="6" t="s">
        <v>4267</v>
      </c>
      <c r="I1147" s="6" t="s">
        <v>4268</v>
      </c>
      <c r="J1147" s="6" t="s">
        <v>78</v>
      </c>
      <c r="K1147" s="5"/>
      <c r="L1147" s="4" t="s">
        <v>44</v>
      </c>
      <c r="M1147" s="8" t="s">
        <v>28</v>
      </c>
      <c r="N1147" s="9" t="s">
        <v>3579</v>
      </c>
      <c r="O1147" s="5"/>
      <c r="P1147" s="5"/>
      <c r="Q1147" s="6" t="s">
        <v>30</v>
      </c>
      <c r="R1147" s="4" t="s">
        <v>31</v>
      </c>
      <c r="S1147" s="7" t="s">
        <v>32</v>
      </c>
      <c r="T1147" s="5"/>
    </row>
    <row r="1148" customFormat="false" ht="15" hidden="false" customHeight="true" outlineLevel="0" collapsed="false">
      <c r="A1148" s="4" t="n">
        <v>1147</v>
      </c>
      <c r="B1148" s="6" t="s">
        <v>1787</v>
      </c>
      <c r="C1148" s="6" t="s">
        <v>3572</v>
      </c>
      <c r="D1148" s="6" t="s">
        <v>3573</v>
      </c>
      <c r="E1148" s="7" t="s">
        <v>21</v>
      </c>
      <c r="F1148" s="6" t="s">
        <v>4269</v>
      </c>
      <c r="G1148" s="5" t="s">
        <v>4270</v>
      </c>
      <c r="H1148" s="5" t="s">
        <v>3613</v>
      </c>
      <c r="I1148" s="5" t="s">
        <v>3616</v>
      </c>
      <c r="J1148" s="5" t="s">
        <v>4271</v>
      </c>
      <c r="K1148" s="5"/>
      <c r="L1148" s="4" t="s">
        <v>27</v>
      </c>
      <c r="M1148" s="8" t="s">
        <v>79</v>
      </c>
      <c r="N1148" s="9" t="s">
        <v>3579</v>
      </c>
      <c r="O1148" s="5"/>
      <c r="P1148" s="5"/>
      <c r="Q1148" s="6" t="s">
        <v>30</v>
      </c>
      <c r="R1148" s="4" t="s">
        <v>31</v>
      </c>
      <c r="S1148" s="7" t="s">
        <v>32</v>
      </c>
      <c r="T1148" s="5"/>
    </row>
    <row r="1149" customFormat="false" ht="15" hidden="false" customHeight="true" outlineLevel="0" collapsed="false">
      <c r="A1149" s="4" t="n">
        <v>1148</v>
      </c>
      <c r="B1149" s="6" t="s">
        <v>1787</v>
      </c>
      <c r="C1149" s="6" t="s">
        <v>3572</v>
      </c>
      <c r="D1149" s="6" t="s">
        <v>3573</v>
      </c>
      <c r="E1149" s="7" t="s">
        <v>21</v>
      </c>
      <c r="F1149" s="6" t="s">
        <v>4272</v>
      </c>
      <c r="G1149" s="6" t="s">
        <v>4273</v>
      </c>
      <c r="H1149" s="6" t="s">
        <v>3587</v>
      </c>
      <c r="I1149" s="6" t="s">
        <v>4274</v>
      </c>
      <c r="J1149" s="6" t="s">
        <v>4275</v>
      </c>
      <c r="K1149" s="5"/>
      <c r="L1149" s="4" t="s">
        <v>51</v>
      </c>
      <c r="M1149" s="8" t="s">
        <v>79</v>
      </c>
      <c r="N1149" s="9" t="s">
        <v>3579</v>
      </c>
      <c r="O1149" s="5"/>
      <c r="P1149" s="5"/>
      <c r="Q1149" s="6" t="s">
        <v>30</v>
      </c>
      <c r="R1149" s="4" t="s">
        <v>31</v>
      </c>
      <c r="S1149" s="7" t="s">
        <v>32</v>
      </c>
      <c r="T1149" s="5"/>
    </row>
    <row r="1150" customFormat="false" ht="15" hidden="false" customHeight="true" outlineLevel="0" collapsed="false">
      <c r="A1150" s="4" t="n">
        <v>1149</v>
      </c>
      <c r="B1150" s="6" t="s">
        <v>1787</v>
      </c>
      <c r="C1150" s="6" t="s">
        <v>3572</v>
      </c>
      <c r="D1150" s="6" t="s">
        <v>3573</v>
      </c>
      <c r="E1150" s="7" t="s">
        <v>21</v>
      </c>
      <c r="F1150" s="5" t="s">
        <v>4276</v>
      </c>
      <c r="G1150" s="6" t="s">
        <v>3639</v>
      </c>
      <c r="H1150" s="6" t="s">
        <v>3587</v>
      </c>
      <c r="I1150" s="6" t="s">
        <v>3640</v>
      </c>
      <c r="J1150" s="6" t="s">
        <v>3589</v>
      </c>
      <c r="K1150" s="5"/>
      <c r="L1150" s="4" t="s">
        <v>51</v>
      </c>
      <c r="M1150" s="8" t="s">
        <v>129</v>
      </c>
      <c r="N1150" s="9" t="s">
        <v>3579</v>
      </c>
      <c r="O1150" s="5"/>
      <c r="P1150" s="5"/>
      <c r="Q1150" s="6" t="s">
        <v>30</v>
      </c>
      <c r="R1150" s="4" t="s">
        <v>31</v>
      </c>
      <c r="S1150" s="7" t="s">
        <v>32</v>
      </c>
      <c r="T1150" s="5"/>
    </row>
    <row r="1151" customFormat="false" ht="29.25" hidden="false" customHeight="true" outlineLevel="0" collapsed="false">
      <c r="A1151" s="4" t="n">
        <v>1150</v>
      </c>
      <c r="B1151" s="6" t="s">
        <v>1787</v>
      </c>
      <c r="C1151" s="6" t="s">
        <v>3572</v>
      </c>
      <c r="D1151" s="6" t="s">
        <v>3573</v>
      </c>
      <c r="E1151" s="7" t="s">
        <v>21</v>
      </c>
      <c r="F1151" s="6" t="s">
        <v>4277</v>
      </c>
      <c r="G1151" s="6" t="s">
        <v>3589</v>
      </c>
      <c r="H1151" s="6" t="s">
        <v>3587</v>
      </c>
      <c r="I1151" s="6" t="s">
        <v>4274</v>
      </c>
      <c r="J1151" s="6" t="s">
        <v>4275</v>
      </c>
      <c r="K1151" s="5"/>
      <c r="L1151" s="4" t="s">
        <v>62</v>
      </c>
      <c r="M1151" s="8" t="s">
        <v>79</v>
      </c>
      <c r="N1151" s="9" t="s">
        <v>3579</v>
      </c>
      <c r="O1151" s="5"/>
      <c r="P1151" s="5"/>
      <c r="Q1151" s="6" t="s">
        <v>30</v>
      </c>
      <c r="R1151" s="4" t="s">
        <v>31</v>
      </c>
      <c r="S1151" s="7" t="s">
        <v>32</v>
      </c>
      <c r="T1151" s="5"/>
    </row>
    <row r="1152" customFormat="false" ht="15" hidden="false" customHeight="true" outlineLevel="0" collapsed="false">
      <c r="A1152" s="4" t="n">
        <v>1151</v>
      </c>
      <c r="B1152" s="6" t="s">
        <v>1787</v>
      </c>
      <c r="C1152" s="6" t="s">
        <v>3572</v>
      </c>
      <c r="D1152" s="6" t="s">
        <v>3573</v>
      </c>
      <c r="E1152" s="7" t="s">
        <v>21</v>
      </c>
      <c r="F1152" s="6" t="s">
        <v>4278</v>
      </c>
      <c r="G1152" s="6" t="s">
        <v>4279</v>
      </c>
      <c r="H1152" s="6" t="s">
        <v>4280</v>
      </c>
      <c r="I1152" s="6" t="s">
        <v>4281</v>
      </c>
      <c r="J1152" s="6" t="s">
        <v>4282</v>
      </c>
      <c r="K1152" s="5"/>
      <c r="L1152" s="4" t="s">
        <v>62</v>
      </c>
      <c r="M1152" s="8" t="s">
        <v>129</v>
      </c>
      <c r="N1152" s="9" t="s">
        <v>3579</v>
      </c>
      <c r="O1152" s="5"/>
      <c r="P1152" s="5"/>
      <c r="Q1152" s="6" t="s">
        <v>30</v>
      </c>
      <c r="R1152" s="4" t="s">
        <v>31</v>
      </c>
      <c r="S1152" s="7" t="s">
        <v>32</v>
      </c>
      <c r="T1152" s="5"/>
    </row>
    <row r="1153" customFormat="false" ht="15" hidden="false" customHeight="true" outlineLevel="0" collapsed="false">
      <c r="A1153" s="4" t="n">
        <v>1152</v>
      </c>
      <c r="B1153" s="6" t="s">
        <v>1787</v>
      </c>
      <c r="C1153" s="6" t="s">
        <v>3572</v>
      </c>
      <c r="D1153" s="6" t="s">
        <v>3573</v>
      </c>
      <c r="E1153" s="7" t="s">
        <v>21</v>
      </c>
      <c r="F1153" s="6" t="s">
        <v>4283</v>
      </c>
      <c r="G1153" s="6" t="s">
        <v>4284</v>
      </c>
      <c r="H1153" s="6" t="s">
        <v>4285</v>
      </c>
      <c r="I1153" s="6" t="s">
        <v>4286</v>
      </c>
      <c r="J1153" s="6" t="s">
        <v>4287</v>
      </c>
      <c r="K1153" s="5"/>
      <c r="L1153" s="4" t="s">
        <v>27</v>
      </c>
      <c r="M1153" s="8" t="s">
        <v>28</v>
      </c>
      <c r="N1153" s="9" t="s">
        <v>3579</v>
      </c>
      <c r="O1153" s="5"/>
      <c r="P1153" s="5"/>
      <c r="Q1153" s="6" t="s">
        <v>30</v>
      </c>
      <c r="R1153" s="4" t="s">
        <v>31</v>
      </c>
      <c r="S1153" s="7" t="s">
        <v>32</v>
      </c>
      <c r="T1153" s="5"/>
    </row>
    <row r="1154" customFormat="false" ht="15" hidden="false" customHeight="true" outlineLevel="0" collapsed="false">
      <c r="A1154" s="4" t="n">
        <v>1153</v>
      </c>
      <c r="B1154" s="6" t="s">
        <v>1787</v>
      </c>
      <c r="C1154" s="6" t="s">
        <v>3572</v>
      </c>
      <c r="D1154" s="6" t="s">
        <v>3573</v>
      </c>
      <c r="E1154" s="7" t="s">
        <v>21</v>
      </c>
      <c r="F1154" s="6" t="s">
        <v>4288</v>
      </c>
      <c r="G1154" s="5" t="s">
        <v>4134</v>
      </c>
      <c r="H1154" s="5" t="s">
        <v>3616</v>
      </c>
      <c r="I1154" s="5" t="s">
        <v>3614</v>
      </c>
      <c r="J1154" s="5" t="s">
        <v>4289</v>
      </c>
      <c r="K1154" s="5"/>
      <c r="L1154" s="4" t="s">
        <v>51</v>
      </c>
      <c r="M1154" s="8" t="s">
        <v>129</v>
      </c>
      <c r="N1154" s="9" t="s">
        <v>3579</v>
      </c>
      <c r="O1154" s="5"/>
      <c r="P1154" s="5"/>
      <c r="Q1154" s="6" t="s">
        <v>30</v>
      </c>
      <c r="R1154" s="4" t="s">
        <v>31</v>
      </c>
      <c r="S1154" s="7" t="s">
        <v>32</v>
      </c>
      <c r="T1154" s="5"/>
    </row>
    <row r="1155" customFormat="false" ht="15" hidden="false" customHeight="true" outlineLevel="0" collapsed="false">
      <c r="A1155" s="4" t="n">
        <v>1154</v>
      </c>
      <c r="B1155" s="6" t="s">
        <v>1787</v>
      </c>
      <c r="C1155" s="6" t="s">
        <v>3572</v>
      </c>
      <c r="D1155" s="6" t="s">
        <v>3573</v>
      </c>
      <c r="E1155" s="7" t="s">
        <v>21</v>
      </c>
      <c r="F1155" s="6" t="s">
        <v>4288</v>
      </c>
      <c r="G1155" s="5" t="s">
        <v>4290</v>
      </c>
      <c r="H1155" s="5" t="s">
        <v>4291</v>
      </c>
      <c r="I1155" s="5" t="s">
        <v>3614</v>
      </c>
      <c r="J1155" s="5" t="s">
        <v>4289</v>
      </c>
      <c r="K1155" s="5"/>
      <c r="L1155" s="4" t="s">
        <v>62</v>
      </c>
      <c r="M1155" s="8" t="s">
        <v>129</v>
      </c>
      <c r="N1155" s="9" t="s">
        <v>3579</v>
      </c>
      <c r="O1155" s="5"/>
      <c r="P1155" s="5"/>
      <c r="Q1155" s="6" t="s">
        <v>30</v>
      </c>
      <c r="R1155" s="4" t="s">
        <v>31</v>
      </c>
      <c r="S1155" s="7" t="s">
        <v>32</v>
      </c>
      <c r="T1155" s="5"/>
    </row>
    <row r="1156" customFormat="false" ht="15" hidden="false" customHeight="true" outlineLevel="0" collapsed="false">
      <c r="A1156" s="4" t="n">
        <v>1155</v>
      </c>
      <c r="B1156" s="6" t="s">
        <v>1787</v>
      </c>
      <c r="C1156" s="6" t="s">
        <v>3572</v>
      </c>
      <c r="D1156" s="6" t="s">
        <v>3573</v>
      </c>
      <c r="E1156" s="7" t="s">
        <v>21</v>
      </c>
      <c r="F1156" s="6" t="s">
        <v>4292</v>
      </c>
      <c r="G1156" s="5" t="s">
        <v>4290</v>
      </c>
      <c r="H1156" s="5" t="s">
        <v>4291</v>
      </c>
      <c r="I1156" s="5" t="s">
        <v>3614</v>
      </c>
      <c r="J1156" s="5" t="s">
        <v>4289</v>
      </c>
      <c r="K1156" s="5"/>
      <c r="L1156" s="4" t="s">
        <v>44</v>
      </c>
      <c r="M1156" s="8" t="s">
        <v>129</v>
      </c>
      <c r="N1156" s="9" t="s">
        <v>3579</v>
      </c>
      <c r="O1156" s="5"/>
      <c r="P1156" s="5"/>
      <c r="Q1156" s="6" t="s">
        <v>30</v>
      </c>
      <c r="R1156" s="4" t="s">
        <v>31</v>
      </c>
      <c r="S1156" s="7" t="s">
        <v>32</v>
      </c>
      <c r="T1156" s="5"/>
    </row>
    <row r="1157" customFormat="false" ht="15" hidden="false" customHeight="true" outlineLevel="0" collapsed="false">
      <c r="A1157" s="4" t="n">
        <v>1156</v>
      </c>
      <c r="B1157" s="6" t="s">
        <v>1787</v>
      </c>
      <c r="C1157" s="6" t="s">
        <v>3572</v>
      </c>
      <c r="D1157" s="6" t="s">
        <v>3573</v>
      </c>
      <c r="E1157" s="7" t="s">
        <v>21</v>
      </c>
      <c r="F1157" s="6" t="s">
        <v>4293</v>
      </c>
      <c r="G1157" s="6" t="s">
        <v>4294</v>
      </c>
      <c r="H1157" s="6" t="s">
        <v>4295</v>
      </c>
      <c r="I1157" s="6" t="s">
        <v>4296</v>
      </c>
      <c r="J1157" s="6" t="s">
        <v>4297</v>
      </c>
      <c r="K1157" s="5"/>
      <c r="L1157" s="4" t="s">
        <v>62</v>
      </c>
      <c r="M1157" s="8" t="s">
        <v>79</v>
      </c>
      <c r="N1157" s="9" t="s">
        <v>3579</v>
      </c>
      <c r="O1157" s="5"/>
      <c r="P1157" s="5"/>
      <c r="Q1157" s="6" t="s">
        <v>30</v>
      </c>
      <c r="R1157" s="4" t="s">
        <v>31</v>
      </c>
      <c r="S1157" s="7" t="s">
        <v>32</v>
      </c>
      <c r="T1157" s="5"/>
    </row>
    <row r="1158" customFormat="false" ht="15" hidden="false" customHeight="true" outlineLevel="0" collapsed="false">
      <c r="A1158" s="4" t="n">
        <v>1157</v>
      </c>
      <c r="B1158" s="6" t="s">
        <v>1787</v>
      </c>
      <c r="C1158" s="6" t="s">
        <v>3572</v>
      </c>
      <c r="D1158" s="6" t="s">
        <v>3573</v>
      </c>
      <c r="E1158" s="7" t="s">
        <v>21</v>
      </c>
      <c r="F1158" s="6" t="s">
        <v>4298</v>
      </c>
      <c r="G1158" s="6" t="s">
        <v>4299</v>
      </c>
      <c r="H1158" s="6" t="s">
        <v>4284</v>
      </c>
      <c r="I1158" s="6" t="s">
        <v>4285</v>
      </c>
      <c r="J1158" s="6" t="s">
        <v>4300</v>
      </c>
      <c r="K1158" s="5"/>
      <c r="L1158" s="4" t="s">
        <v>44</v>
      </c>
      <c r="M1158" s="8" t="s">
        <v>129</v>
      </c>
      <c r="N1158" s="9" t="s">
        <v>3579</v>
      </c>
      <c r="O1158" s="5"/>
      <c r="P1158" s="5"/>
      <c r="Q1158" s="6" t="s">
        <v>30</v>
      </c>
      <c r="R1158" s="4" t="s">
        <v>31</v>
      </c>
      <c r="S1158" s="7" t="s">
        <v>32</v>
      </c>
      <c r="T1158" s="5"/>
    </row>
    <row r="1159" customFormat="false" ht="29.25" hidden="false" customHeight="true" outlineLevel="0" collapsed="false">
      <c r="A1159" s="4" t="n">
        <v>1158</v>
      </c>
      <c r="B1159" s="6" t="s">
        <v>1787</v>
      </c>
      <c r="C1159" s="6" t="s">
        <v>3572</v>
      </c>
      <c r="D1159" s="6" t="s">
        <v>3573</v>
      </c>
      <c r="E1159" s="7" t="s">
        <v>21</v>
      </c>
      <c r="F1159" s="6" t="s">
        <v>4301</v>
      </c>
      <c r="G1159" s="5" t="s">
        <v>4302</v>
      </c>
      <c r="H1159" s="5" t="s">
        <v>4303</v>
      </c>
      <c r="I1159" s="5" t="s">
        <v>4304</v>
      </c>
      <c r="J1159" s="5" t="s">
        <v>4305</v>
      </c>
      <c r="K1159" s="5"/>
      <c r="L1159" s="4" t="s">
        <v>44</v>
      </c>
      <c r="M1159" s="8" t="s">
        <v>28</v>
      </c>
      <c r="N1159" s="9" t="s">
        <v>3579</v>
      </c>
      <c r="O1159" s="5"/>
      <c r="P1159" s="5"/>
      <c r="Q1159" s="6" t="s">
        <v>30</v>
      </c>
      <c r="R1159" s="4" t="s">
        <v>31</v>
      </c>
      <c r="S1159" s="7" t="s">
        <v>32</v>
      </c>
      <c r="T1159" s="5"/>
    </row>
    <row r="1160" customFormat="false" ht="15" hidden="false" customHeight="true" outlineLevel="0" collapsed="false">
      <c r="A1160" s="4" t="n">
        <v>1159</v>
      </c>
      <c r="B1160" s="6" t="s">
        <v>1787</v>
      </c>
      <c r="C1160" s="6" t="s">
        <v>3572</v>
      </c>
      <c r="D1160" s="6" t="s">
        <v>3573</v>
      </c>
      <c r="E1160" s="7" t="s">
        <v>21</v>
      </c>
      <c r="F1160" s="6" t="s">
        <v>4306</v>
      </c>
      <c r="G1160" s="5" t="s">
        <v>4307</v>
      </c>
      <c r="H1160" s="5" t="s">
        <v>4308</v>
      </c>
      <c r="I1160" s="5" t="s">
        <v>4309</v>
      </c>
      <c r="J1160" s="5" t="s">
        <v>4310</v>
      </c>
      <c r="K1160" s="5"/>
      <c r="L1160" s="4" t="s">
        <v>51</v>
      </c>
      <c r="M1160" s="8" t="s">
        <v>79</v>
      </c>
      <c r="N1160" s="9" t="s">
        <v>3579</v>
      </c>
      <c r="O1160" s="5"/>
      <c r="P1160" s="5"/>
      <c r="Q1160" s="6" t="s">
        <v>30</v>
      </c>
      <c r="R1160" s="4" t="s">
        <v>31</v>
      </c>
      <c r="S1160" s="7" t="s">
        <v>32</v>
      </c>
      <c r="T1160" s="5"/>
    </row>
    <row r="1161" customFormat="false" ht="29.25" hidden="false" customHeight="true" outlineLevel="0" collapsed="false">
      <c r="A1161" s="4" t="n">
        <v>1160</v>
      </c>
      <c r="B1161" s="6" t="s">
        <v>1787</v>
      </c>
      <c r="C1161" s="6" t="s">
        <v>3572</v>
      </c>
      <c r="D1161" s="6" t="s">
        <v>3573</v>
      </c>
      <c r="E1161" s="7" t="s">
        <v>21</v>
      </c>
      <c r="F1161" s="6" t="s">
        <v>4311</v>
      </c>
      <c r="G1161" s="6" t="s">
        <v>4312</v>
      </c>
      <c r="H1161" s="6" t="s">
        <v>4313</v>
      </c>
      <c r="I1161" s="6" t="s">
        <v>4314</v>
      </c>
      <c r="J1161" s="6" t="s">
        <v>4315</v>
      </c>
      <c r="K1161" s="5"/>
      <c r="L1161" s="4" t="s">
        <v>44</v>
      </c>
      <c r="M1161" s="8" t="s">
        <v>28</v>
      </c>
      <c r="N1161" s="9" t="s">
        <v>3579</v>
      </c>
      <c r="O1161" s="5"/>
      <c r="P1161" s="5"/>
      <c r="Q1161" s="6" t="s">
        <v>30</v>
      </c>
      <c r="R1161" s="4" t="s">
        <v>31</v>
      </c>
      <c r="S1161" s="7" t="s">
        <v>32</v>
      </c>
      <c r="T1161" s="5"/>
    </row>
    <row r="1162" customFormat="false" ht="29.25" hidden="false" customHeight="true" outlineLevel="0" collapsed="false">
      <c r="A1162" s="4" t="n">
        <v>1161</v>
      </c>
      <c r="B1162" s="6" t="s">
        <v>1787</v>
      </c>
      <c r="C1162" s="6" t="s">
        <v>3572</v>
      </c>
      <c r="D1162" s="6" t="s">
        <v>3573</v>
      </c>
      <c r="E1162" s="7" t="s">
        <v>21</v>
      </c>
      <c r="F1162" s="6" t="s">
        <v>4316</v>
      </c>
      <c r="G1162" s="6" t="s">
        <v>4317</v>
      </c>
      <c r="H1162" s="6" t="s">
        <v>4318</v>
      </c>
      <c r="I1162" s="6" t="s">
        <v>4319</v>
      </c>
      <c r="J1162" s="6" t="s">
        <v>4320</v>
      </c>
      <c r="K1162" s="5"/>
      <c r="L1162" s="4" t="s">
        <v>62</v>
      </c>
      <c r="M1162" s="8" t="s">
        <v>28</v>
      </c>
      <c r="N1162" s="9" t="s">
        <v>3579</v>
      </c>
      <c r="O1162" s="5"/>
      <c r="P1162" s="5"/>
      <c r="Q1162" s="6" t="s">
        <v>30</v>
      </c>
      <c r="R1162" s="4" t="s">
        <v>31</v>
      </c>
      <c r="S1162" s="7" t="s">
        <v>32</v>
      </c>
      <c r="T1162" s="5"/>
    </row>
    <row r="1163" customFormat="false" ht="15" hidden="false" customHeight="true" outlineLevel="0" collapsed="false">
      <c r="A1163" s="4" t="n">
        <v>1162</v>
      </c>
      <c r="B1163" s="6" t="s">
        <v>1787</v>
      </c>
      <c r="C1163" s="6" t="s">
        <v>3572</v>
      </c>
      <c r="D1163" s="6" t="s">
        <v>3573</v>
      </c>
      <c r="E1163" s="7" t="s">
        <v>21</v>
      </c>
      <c r="F1163" s="5" t="s">
        <v>4321</v>
      </c>
      <c r="G1163" s="6" t="s">
        <v>4322</v>
      </c>
      <c r="H1163" s="6" t="s">
        <v>4323</v>
      </c>
      <c r="I1163" s="6" t="s">
        <v>2193</v>
      </c>
      <c r="J1163" s="6" t="s">
        <v>4324</v>
      </c>
      <c r="K1163" s="5"/>
      <c r="L1163" s="4" t="s">
        <v>51</v>
      </c>
      <c r="M1163" s="8" t="s">
        <v>129</v>
      </c>
      <c r="N1163" s="9" t="s">
        <v>3579</v>
      </c>
      <c r="O1163" s="5"/>
      <c r="P1163" s="5"/>
      <c r="Q1163" s="6" t="s">
        <v>30</v>
      </c>
      <c r="R1163" s="4" t="s">
        <v>31</v>
      </c>
      <c r="S1163" s="7" t="s">
        <v>32</v>
      </c>
      <c r="T1163" s="5"/>
    </row>
    <row r="1164" customFormat="false" ht="15" hidden="false" customHeight="true" outlineLevel="0" collapsed="false">
      <c r="A1164" s="4" t="n">
        <v>1163</v>
      </c>
      <c r="B1164" s="6" t="s">
        <v>1787</v>
      </c>
      <c r="C1164" s="6" t="s">
        <v>3572</v>
      </c>
      <c r="D1164" s="6" t="s">
        <v>3573</v>
      </c>
      <c r="E1164" s="7" t="s">
        <v>21</v>
      </c>
      <c r="F1164" s="5" t="s">
        <v>4325</v>
      </c>
      <c r="G1164" s="6" t="s">
        <v>4322</v>
      </c>
      <c r="H1164" s="6" t="s">
        <v>4323</v>
      </c>
      <c r="I1164" s="6" t="s">
        <v>2193</v>
      </c>
      <c r="J1164" s="6" t="s">
        <v>4324</v>
      </c>
      <c r="K1164" s="5"/>
      <c r="L1164" s="4" t="s">
        <v>62</v>
      </c>
      <c r="M1164" s="8" t="s">
        <v>129</v>
      </c>
      <c r="N1164" s="9" t="s">
        <v>3579</v>
      </c>
      <c r="O1164" s="5"/>
      <c r="P1164" s="5"/>
      <c r="Q1164" s="6" t="s">
        <v>30</v>
      </c>
      <c r="R1164" s="4" t="s">
        <v>31</v>
      </c>
      <c r="S1164" s="7" t="s">
        <v>32</v>
      </c>
      <c r="T1164" s="5"/>
    </row>
    <row r="1165" customFormat="false" ht="15" hidden="false" customHeight="true" outlineLevel="0" collapsed="false">
      <c r="A1165" s="4" t="n">
        <v>1164</v>
      </c>
      <c r="B1165" s="6" t="s">
        <v>1787</v>
      </c>
      <c r="C1165" s="6" t="s">
        <v>3572</v>
      </c>
      <c r="D1165" s="6" t="s">
        <v>3573</v>
      </c>
      <c r="E1165" s="7" t="s">
        <v>21</v>
      </c>
      <c r="F1165" s="5" t="s">
        <v>4326</v>
      </c>
      <c r="G1165" s="6" t="s">
        <v>4322</v>
      </c>
      <c r="H1165" s="6" t="s">
        <v>4323</v>
      </c>
      <c r="I1165" s="6" t="s">
        <v>2193</v>
      </c>
      <c r="J1165" s="6" t="s">
        <v>4324</v>
      </c>
      <c r="K1165" s="5"/>
      <c r="L1165" s="4" t="s">
        <v>27</v>
      </c>
      <c r="M1165" s="8" t="s">
        <v>129</v>
      </c>
      <c r="N1165" s="9" t="s">
        <v>3579</v>
      </c>
      <c r="O1165" s="5"/>
      <c r="P1165" s="5"/>
      <c r="Q1165" s="6" t="s">
        <v>30</v>
      </c>
      <c r="R1165" s="4" t="s">
        <v>31</v>
      </c>
      <c r="S1165" s="7" t="s">
        <v>32</v>
      </c>
      <c r="T1165" s="5"/>
    </row>
    <row r="1166" customFormat="false" ht="15" hidden="false" customHeight="true" outlineLevel="0" collapsed="false">
      <c r="A1166" s="4" t="n">
        <v>1165</v>
      </c>
      <c r="B1166" s="6" t="s">
        <v>1787</v>
      </c>
      <c r="C1166" s="6" t="s">
        <v>3572</v>
      </c>
      <c r="D1166" s="6" t="s">
        <v>3573</v>
      </c>
      <c r="E1166" s="7" t="s">
        <v>21</v>
      </c>
      <c r="F1166" s="5" t="s">
        <v>4327</v>
      </c>
      <c r="G1166" s="6" t="s">
        <v>4322</v>
      </c>
      <c r="H1166" s="6" t="s">
        <v>4323</v>
      </c>
      <c r="I1166" s="6" t="s">
        <v>2193</v>
      </c>
      <c r="J1166" s="6" t="s">
        <v>4324</v>
      </c>
      <c r="K1166" s="5"/>
      <c r="L1166" s="4" t="s">
        <v>44</v>
      </c>
      <c r="M1166" s="8" t="s">
        <v>129</v>
      </c>
      <c r="N1166" s="9" t="s">
        <v>3579</v>
      </c>
      <c r="O1166" s="5"/>
      <c r="P1166" s="5"/>
      <c r="Q1166" s="6" t="s">
        <v>30</v>
      </c>
      <c r="R1166" s="4" t="s">
        <v>31</v>
      </c>
      <c r="S1166" s="7" t="s">
        <v>32</v>
      </c>
      <c r="T1166" s="5"/>
    </row>
    <row r="1167" customFormat="false" ht="57.75" hidden="false" customHeight="true" outlineLevel="0" collapsed="false">
      <c r="A1167" s="4" t="n">
        <v>1166</v>
      </c>
      <c r="B1167" s="6" t="s">
        <v>1787</v>
      </c>
      <c r="C1167" s="6" t="s">
        <v>3572</v>
      </c>
      <c r="D1167" s="6" t="s">
        <v>3573</v>
      </c>
      <c r="E1167" s="7" t="s">
        <v>21</v>
      </c>
      <c r="F1167" s="6" t="s">
        <v>4328</v>
      </c>
      <c r="G1167" s="5" t="s">
        <v>4329</v>
      </c>
      <c r="H1167" s="6" t="s">
        <v>4330</v>
      </c>
      <c r="I1167" s="5" t="s">
        <v>4331</v>
      </c>
      <c r="J1167" s="5" t="s">
        <v>4332</v>
      </c>
      <c r="K1167" s="5"/>
      <c r="L1167" s="4" t="s">
        <v>44</v>
      </c>
      <c r="M1167" s="8" t="s">
        <v>28</v>
      </c>
      <c r="N1167" s="9" t="s">
        <v>3579</v>
      </c>
      <c r="O1167" s="5"/>
      <c r="P1167" s="5"/>
      <c r="Q1167" s="6" t="s">
        <v>30</v>
      </c>
      <c r="R1167" s="4" t="s">
        <v>31</v>
      </c>
      <c r="S1167" s="7" t="s">
        <v>32</v>
      </c>
      <c r="T1167" s="5"/>
    </row>
    <row r="1168" customFormat="false" ht="43.5" hidden="false" customHeight="true" outlineLevel="0" collapsed="false">
      <c r="A1168" s="4" t="n">
        <v>1167</v>
      </c>
      <c r="B1168" s="6" t="s">
        <v>1787</v>
      </c>
      <c r="C1168" s="6" t="s">
        <v>3572</v>
      </c>
      <c r="D1168" s="6" t="s">
        <v>3573</v>
      </c>
      <c r="E1168" s="7" t="s">
        <v>21</v>
      </c>
      <c r="F1168" s="6" t="s">
        <v>4333</v>
      </c>
      <c r="G1168" s="6" t="s">
        <v>4334</v>
      </c>
      <c r="H1168" s="5" t="s">
        <v>4335</v>
      </c>
      <c r="I1168" s="5" t="s">
        <v>4336</v>
      </c>
      <c r="J1168" s="5" t="s">
        <v>4337</v>
      </c>
      <c r="K1168" s="5"/>
      <c r="L1168" s="4" t="s">
        <v>51</v>
      </c>
      <c r="M1168" s="8" t="s">
        <v>79</v>
      </c>
      <c r="N1168" s="9" t="s">
        <v>3579</v>
      </c>
      <c r="O1168" s="5"/>
      <c r="P1168" s="5"/>
      <c r="Q1168" s="6" t="s">
        <v>30</v>
      </c>
      <c r="R1168" s="4" t="s">
        <v>31</v>
      </c>
      <c r="S1168" s="7" t="s">
        <v>32</v>
      </c>
      <c r="T1168" s="5"/>
    </row>
    <row r="1169" customFormat="false" ht="29.25" hidden="false" customHeight="true" outlineLevel="0" collapsed="false">
      <c r="A1169" s="4" t="n">
        <v>1168</v>
      </c>
      <c r="B1169" s="6" t="s">
        <v>1787</v>
      </c>
      <c r="C1169" s="6" t="s">
        <v>3572</v>
      </c>
      <c r="D1169" s="6" t="s">
        <v>3573</v>
      </c>
      <c r="E1169" s="7" t="s">
        <v>21</v>
      </c>
      <c r="F1169" s="6" t="s">
        <v>4338</v>
      </c>
      <c r="G1169" s="6" t="s">
        <v>4339</v>
      </c>
      <c r="H1169" s="6" t="s">
        <v>4340</v>
      </c>
      <c r="I1169" s="6" t="s">
        <v>4341</v>
      </c>
      <c r="J1169" s="6" t="s">
        <v>4342</v>
      </c>
      <c r="K1169" s="5"/>
      <c r="L1169" s="4" t="s">
        <v>27</v>
      </c>
      <c r="M1169" s="8" t="s">
        <v>79</v>
      </c>
      <c r="N1169" s="9" t="s">
        <v>3579</v>
      </c>
      <c r="O1169" s="5"/>
      <c r="P1169" s="5"/>
      <c r="Q1169" s="6" t="s">
        <v>30</v>
      </c>
      <c r="R1169" s="4" t="s">
        <v>31</v>
      </c>
      <c r="S1169" s="7" t="s">
        <v>32</v>
      </c>
      <c r="T1169" s="5"/>
    </row>
    <row r="1170" customFormat="false" ht="57.75" hidden="false" customHeight="true" outlineLevel="0" collapsed="false">
      <c r="A1170" s="4" t="n">
        <v>1169</v>
      </c>
      <c r="B1170" s="6" t="s">
        <v>1787</v>
      </c>
      <c r="C1170" s="6" t="s">
        <v>3572</v>
      </c>
      <c r="D1170" s="6" t="s">
        <v>3573</v>
      </c>
      <c r="E1170" s="7" t="s">
        <v>21</v>
      </c>
      <c r="F1170" s="5" t="s">
        <v>4343</v>
      </c>
      <c r="G1170" s="6" t="s">
        <v>4344</v>
      </c>
      <c r="H1170" s="6" t="s">
        <v>4345</v>
      </c>
      <c r="I1170" s="6" t="s">
        <v>4346</v>
      </c>
      <c r="J1170" s="6" t="s">
        <v>4347</v>
      </c>
      <c r="K1170" s="5"/>
      <c r="L1170" s="4" t="s">
        <v>51</v>
      </c>
      <c r="M1170" s="8" t="s">
        <v>28</v>
      </c>
      <c r="N1170" s="9" t="s">
        <v>3579</v>
      </c>
      <c r="O1170" s="5"/>
      <c r="P1170" s="5"/>
      <c r="Q1170" s="6" t="s">
        <v>30</v>
      </c>
      <c r="R1170" s="4" t="s">
        <v>31</v>
      </c>
      <c r="S1170" s="7" t="s">
        <v>32</v>
      </c>
      <c r="T1170" s="5"/>
    </row>
    <row r="1171" customFormat="false" ht="29.25" hidden="false" customHeight="true" outlineLevel="0" collapsed="false">
      <c r="A1171" s="4" t="n">
        <v>1170</v>
      </c>
      <c r="B1171" s="6" t="s">
        <v>1787</v>
      </c>
      <c r="C1171" s="6" t="s">
        <v>3572</v>
      </c>
      <c r="D1171" s="6" t="s">
        <v>3573</v>
      </c>
      <c r="E1171" s="7" t="s">
        <v>21</v>
      </c>
      <c r="F1171" s="6" t="s">
        <v>4348</v>
      </c>
      <c r="G1171" s="6" t="s">
        <v>4349</v>
      </c>
      <c r="H1171" s="6" t="s">
        <v>4350</v>
      </c>
      <c r="I1171" s="6" t="s">
        <v>4351</v>
      </c>
      <c r="J1171" s="6" t="s">
        <v>150</v>
      </c>
      <c r="K1171" s="5"/>
      <c r="L1171" s="4" t="s">
        <v>27</v>
      </c>
      <c r="M1171" s="8" t="s">
        <v>79</v>
      </c>
      <c r="N1171" s="9" t="s">
        <v>3579</v>
      </c>
      <c r="O1171" s="5"/>
      <c r="P1171" s="5"/>
      <c r="Q1171" s="6" t="s">
        <v>30</v>
      </c>
      <c r="R1171" s="4" t="s">
        <v>31</v>
      </c>
      <c r="S1171" s="7" t="s">
        <v>32</v>
      </c>
      <c r="T1171" s="5"/>
    </row>
    <row r="1172" customFormat="false" ht="29.25" hidden="false" customHeight="true" outlineLevel="0" collapsed="false">
      <c r="A1172" s="4" t="n">
        <v>1171</v>
      </c>
      <c r="B1172" s="6" t="s">
        <v>1787</v>
      </c>
      <c r="C1172" s="6" t="s">
        <v>3572</v>
      </c>
      <c r="D1172" s="6" t="s">
        <v>3573</v>
      </c>
      <c r="E1172" s="7" t="s">
        <v>21</v>
      </c>
      <c r="F1172" s="6" t="s">
        <v>4352</v>
      </c>
      <c r="G1172" s="6" t="s">
        <v>4353</v>
      </c>
      <c r="H1172" s="6" t="s">
        <v>4354</v>
      </c>
      <c r="I1172" s="6" t="s">
        <v>4355</v>
      </c>
      <c r="J1172" s="6" t="s">
        <v>150</v>
      </c>
      <c r="K1172" s="5"/>
      <c r="L1172" s="4" t="s">
        <v>51</v>
      </c>
      <c r="M1172" s="8" t="s">
        <v>28</v>
      </c>
      <c r="N1172" s="9" t="s">
        <v>3579</v>
      </c>
      <c r="O1172" s="5"/>
      <c r="P1172" s="5"/>
      <c r="Q1172" s="6" t="s">
        <v>30</v>
      </c>
      <c r="R1172" s="4" t="s">
        <v>31</v>
      </c>
      <c r="S1172" s="7" t="s">
        <v>32</v>
      </c>
      <c r="T1172" s="5"/>
    </row>
    <row r="1173" customFormat="false" ht="29.25" hidden="false" customHeight="true" outlineLevel="0" collapsed="false">
      <c r="A1173" s="4" t="n">
        <v>1172</v>
      </c>
      <c r="B1173" s="6" t="s">
        <v>1787</v>
      </c>
      <c r="C1173" s="6" t="s">
        <v>3572</v>
      </c>
      <c r="D1173" s="6" t="s">
        <v>3573</v>
      </c>
      <c r="E1173" s="7" t="s">
        <v>21</v>
      </c>
      <c r="F1173" s="5" t="s">
        <v>4356</v>
      </c>
      <c r="G1173" s="6" t="s">
        <v>4353</v>
      </c>
      <c r="H1173" s="6" t="s">
        <v>4354</v>
      </c>
      <c r="I1173" s="6" t="s">
        <v>4355</v>
      </c>
      <c r="J1173" s="6" t="s">
        <v>150</v>
      </c>
      <c r="K1173" s="5"/>
      <c r="L1173" s="4" t="s">
        <v>51</v>
      </c>
      <c r="M1173" s="8" t="s">
        <v>28</v>
      </c>
      <c r="N1173" s="9" t="s">
        <v>3579</v>
      </c>
      <c r="O1173" s="5"/>
      <c r="P1173" s="5"/>
      <c r="Q1173" s="6" t="s">
        <v>30</v>
      </c>
      <c r="R1173" s="4" t="s">
        <v>31</v>
      </c>
      <c r="S1173" s="7" t="s">
        <v>32</v>
      </c>
      <c r="T1173" s="5"/>
    </row>
    <row r="1174" customFormat="false" ht="29.25" hidden="false" customHeight="true" outlineLevel="0" collapsed="false">
      <c r="A1174" s="4" t="n">
        <v>1173</v>
      </c>
      <c r="B1174" s="6" t="s">
        <v>1787</v>
      </c>
      <c r="C1174" s="6" t="s">
        <v>3572</v>
      </c>
      <c r="D1174" s="6" t="s">
        <v>3573</v>
      </c>
      <c r="E1174" s="7" t="s">
        <v>21</v>
      </c>
      <c r="F1174" s="6" t="s">
        <v>4357</v>
      </c>
      <c r="G1174" s="6" t="s">
        <v>4339</v>
      </c>
      <c r="H1174" s="6" t="s">
        <v>4342</v>
      </c>
      <c r="I1174" s="6" t="s">
        <v>4358</v>
      </c>
      <c r="J1174" s="6" t="s">
        <v>4359</v>
      </c>
      <c r="K1174" s="5"/>
      <c r="L1174" s="4" t="s">
        <v>27</v>
      </c>
      <c r="M1174" s="8" t="s">
        <v>28</v>
      </c>
      <c r="N1174" s="9" t="s">
        <v>3579</v>
      </c>
      <c r="O1174" s="5"/>
      <c r="P1174" s="5"/>
      <c r="Q1174" s="6" t="s">
        <v>30</v>
      </c>
      <c r="R1174" s="4" t="s">
        <v>31</v>
      </c>
      <c r="S1174" s="7" t="s">
        <v>32</v>
      </c>
      <c r="T1174" s="5"/>
    </row>
    <row r="1175" customFormat="false" ht="29.25" hidden="false" customHeight="true" outlineLevel="0" collapsed="false">
      <c r="A1175" s="4" t="n">
        <v>1174</v>
      </c>
      <c r="B1175" s="6" t="s">
        <v>1787</v>
      </c>
      <c r="C1175" s="6" t="s">
        <v>3572</v>
      </c>
      <c r="D1175" s="6" t="s">
        <v>3573</v>
      </c>
      <c r="E1175" s="7" t="s">
        <v>21</v>
      </c>
      <c r="F1175" s="6" t="s">
        <v>4357</v>
      </c>
      <c r="G1175" s="6" t="s">
        <v>4339</v>
      </c>
      <c r="H1175" s="6" t="s">
        <v>4342</v>
      </c>
      <c r="I1175" s="6" t="s">
        <v>4341</v>
      </c>
      <c r="J1175" s="6" t="s">
        <v>4360</v>
      </c>
      <c r="K1175" s="5"/>
      <c r="L1175" s="4" t="s">
        <v>27</v>
      </c>
      <c r="M1175" s="8" t="s">
        <v>28</v>
      </c>
      <c r="N1175" s="9" t="s">
        <v>3579</v>
      </c>
      <c r="O1175" s="5"/>
      <c r="P1175" s="5"/>
      <c r="Q1175" s="6" t="s">
        <v>30</v>
      </c>
      <c r="R1175" s="4" t="s">
        <v>31</v>
      </c>
      <c r="S1175" s="7" t="s">
        <v>32</v>
      </c>
      <c r="T1175" s="5"/>
    </row>
    <row r="1176" customFormat="false" ht="15" hidden="false" customHeight="true" outlineLevel="0" collapsed="false">
      <c r="A1176" s="4" t="n">
        <v>1175</v>
      </c>
      <c r="B1176" s="6" t="s">
        <v>1787</v>
      </c>
      <c r="C1176" s="6" t="s">
        <v>3572</v>
      </c>
      <c r="D1176" s="6" t="s">
        <v>3573</v>
      </c>
      <c r="E1176" s="7" t="s">
        <v>21</v>
      </c>
      <c r="F1176" s="6" t="s">
        <v>4361</v>
      </c>
      <c r="G1176" s="6" t="s">
        <v>4362</v>
      </c>
      <c r="H1176" s="6" t="s">
        <v>4339</v>
      </c>
      <c r="I1176" s="6" t="s">
        <v>4358</v>
      </c>
      <c r="J1176" s="6" t="s">
        <v>4341</v>
      </c>
      <c r="K1176" s="5"/>
      <c r="L1176" s="4" t="s">
        <v>62</v>
      </c>
      <c r="M1176" s="8" t="s">
        <v>79</v>
      </c>
      <c r="N1176" s="9" t="s">
        <v>3579</v>
      </c>
      <c r="O1176" s="5"/>
      <c r="P1176" s="5"/>
      <c r="Q1176" s="6" t="s">
        <v>30</v>
      </c>
      <c r="R1176" s="4" t="s">
        <v>31</v>
      </c>
      <c r="S1176" s="7" t="s">
        <v>32</v>
      </c>
      <c r="T1176" s="5"/>
    </row>
    <row r="1177" customFormat="false" ht="15" hidden="false" customHeight="true" outlineLevel="0" collapsed="false">
      <c r="A1177" s="4" t="n">
        <v>1176</v>
      </c>
      <c r="B1177" s="6" t="s">
        <v>1787</v>
      </c>
      <c r="C1177" s="6" t="s">
        <v>3572</v>
      </c>
      <c r="D1177" s="6" t="s">
        <v>3573</v>
      </c>
      <c r="E1177" s="7" t="s">
        <v>21</v>
      </c>
      <c r="F1177" s="6" t="s">
        <v>4361</v>
      </c>
      <c r="G1177" s="6" t="s">
        <v>4363</v>
      </c>
      <c r="H1177" s="6" t="s">
        <v>4342</v>
      </c>
      <c r="I1177" s="6" t="s">
        <v>4358</v>
      </c>
      <c r="J1177" s="6" t="s">
        <v>4341</v>
      </c>
      <c r="K1177" s="5"/>
      <c r="L1177" s="4" t="s">
        <v>62</v>
      </c>
      <c r="M1177" s="8" t="s">
        <v>79</v>
      </c>
      <c r="N1177" s="9" t="s">
        <v>3579</v>
      </c>
      <c r="O1177" s="5"/>
      <c r="P1177" s="5"/>
      <c r="Q1177" s="6" t="s">
        <v>30</v>
      </c>
      <c r="R1177" s="4" t="s">
        <v>31</v>
      </c>
      <c r="S1177" s="7" t="s">
        <v>32</v>
      </c>
      <c r="T1177" s="5"/>
    </row>
    <row r="1178" customFormat="false" ht="43.5" hidden="false" customHeight="true" outlineLevel="0" collapsed="false">
      <c r="A1178" s="4" t="n">
        <v>1177</v>
      </c>
      <c r="B1178" s="6" t="s">
        <v>1787</v>
      </c>
      <c r="C1178" s="6" t="s">
        <v>3572</v>
      </c>
      <c r="D1178" s="6" t="s">
        <v>3573</v>
      </c>
      <c r="E1178" s="7" t="s">
        <v>21</v>
      </c>
      <c r="F1178" s="6" t="s">
        <v>4364</v>
      </c>
      <c r="G1178" s="6" t="s">
        <v>4365</v>
      </c>
      <c r="H1178" s="6" t="s">
        <v>4366</v>
      </c>
      <c r="I1178" s="6" t="s">
        <v>4367</v>
      </c>
      <c r="J1178" s="6" t="s">
        <v>4368</v>
      </c>
      <c r="K1178" s="5"/>
      <c r="L1178" s="4" t="s">
        <v>44</v>
      </c>
      <c r="M1178" s="8" t="s">
        <v>79</v>
      </c>
      <c r="N1178" s="9" t="s">
        <v>3579</v>
      </c>
      <c r="O1178" s="5"/>
      <c r="P1178" s="5"/>
      <c r="Q1178" s="6" t="s">
        <v>30</v>
      </c>
      <c r="R1178" s="4" t="s">
        <v>31</v>
      </c>
      <c r="S1178" s="7" t="s">
        <v>32</v>
      </c>
      <c r="T1178" s="5"/>
    </row>
    <row r="1179" customFormat="false" ht="29.25" hidden="false" customHeight="true" outlineLevel="0" collapsed="false">
      <c r="A1179" s="4" t="n">
        <v>1178</v>
      </c>
      <c r="B1179" s="6" t="s">
        <v>1787</v>
      </c>
      <c r="C1179" s="6" t="s">
        <v>3572</v>
      </c>
      <c r="D1179" s="6" t="s">
        <v>3573</v>
      </c>
      <c r="E1179" s="7" t="s">
        <v>21</v>
      </c>
      <c r="F1179" s="6" t="s">
        <v>4369</v>
      </c>
      <c r="G1179" s="6" t="s">
        <v>4370</v>
      </c>
      <c r="H1179" s="6" t="s">
        <v>4371</v>
      </c>
      <c r="I1179" s="6" t="s">
        <v>4372</v>
      </c>
      <c r="J1179" s="6" t="s">
        <v>4373</v>
      </c>
      <c r="K1179" s="5"/>
      <c r="L1179" s="4" t="s">
        <v>44</v>
      </c>
      <c r="M1179" s="8" t="s">
        <v>28</v>
      </c>
      <c r="N1179" s="9" t="s">
        <v>3579</v>
      </c>
      <c r="O1179" s="5"/>
      <c r="P1179" s="5"/>
      <c r="Q1179" s="6" t="s">
        <v>30</v>
      </c>
      <c r="R1179" s="4" t="s">
        <v>31</v>
      </c>
      <c r="S1179" s="7" t="s">
        <v>32</v>
      </c>
      <c r="T1179" s="5"/>
    </row>
    <row r="1180" customFormat="false" ht="29.25" hidden="false" customHeight="true" outlineLevel="0" collapsed="false">
      <c r="A1180" s="4" t="n">
        <v>1179</v>
      </c>
      <c r="B1180" s="6" t="s">
        <v>1787</v>
      </c>
      <c r="C1180" s="6" t="s">
        <v>3572</v>
      </c>
      <c r="D1180" s="6" t="s">
        <v>3573</v>
      </c>
      <c r="E1180" s="7" t="s">
        <v>21</v>
      </c>
      <c r="F1180" s="6" t="s">
        <v>4374</v>
      </c>
      <c r="G1180" s="6" t="s">
        <v>4375</v>
      </c>
      <c r="H1180" s="6" t="s">
        <v>4376</v>
      </c>
      <c r="I1180" s="6" t="s">
        <v>4377</v>
      </c>
      <c r="J1180" s="6" t="s">
        <v>4378</v>
      </c>
      <c r="K1180" s="5"/>
      <c r="L1180" s="4" t="s">
        <v>27</v>
      </c>
      <c r="M1180" s="8" t="s">
        <v>28</v>
      </c>
      <c r="N1180" s="9" t="s">
        <v>3579</v>
      </c>
      <c r="O1180" s="5"/>
      <c r="P1180" s="5"/>
      <c r="Q1180" s="6" t="s">
        <v>30</v>
      </c>
      <c r="R1180" s="4" t="s">
        <v>31</v>
      </c>
      <c r="S1180" s="7" t="s">
        <v>32</v>
      </c>
      <c r="T1180" s="5"/>
    </row>
    <row r="1181" customFormat="false" ht="15" hidden="false" customHeight="true" outlineLevel="0" collapsed="false">
      <c r="A1181" s="4" t="n">
        <v>1180</v>
      </c>
      <c r="B1181" s="6" t="s">
        <v>1787</v>
      </c>
      <c r="C1181" s="6" t="s">
        <v>3572</v>
      </c>
      <c r="D1181" s="6" t="s">
        <v>3573</v>
      </c>
      <c r="E1181" s="7" t="s">
        <v>21</v>
      </c>
      <c r="F1181" s="6" t="s">
        <v>4379</v>
      </c>
      <c r="G1181" s="6" t="s">
        <v>4380</v>
      </c>
      <c r="H1181" s="6" t="s">
        <v>4381</v>
      </c>
      <c r="I1181" s="6" t="s">
        <v>4382</v>
      </c>
      <c r="J1181" s="5" t="s">
        <v>4185</v>
      </c>
      <c r="K1181" s="5"/>
      <c r="L1181" s="4" t="s">
        <v>44</v>
      </c>
      <c r="M1181" s="8" t="s">
        <v>129</v>
      </c>
      <c r="N1181" s="9" t="s">
        <v>3579</v>
      </c>
      <c r="O1181" s="5"/>
      <c r="P1181" s="5"/>
      <c r="Q1181" s="6" t="s">
        <v>30</v>
      </c>
      <c r="R1181" s="4" t="s">
        <v>31</v>
      </c>
      <c r="S1181" s="7" t="s">
        <v>32</v>
      </c>
      <c r="T1181" s="5"/>
    </row>
    <row r="1182" customFormat="false" ht="15" hidden="false" customHeight="true" outlineLevel="0" collapsed="false">
      <c r="A1182" s="4" t="n">
        <v>1181</v>
      </c>
      <c r="B1182" s="6" t="s">
        <v>1787</v>
      </c>
      <c r="C1182" s="6" t="s">
        <v>3572</v>
      </c>
      <c r="D1182" s="6" t="s">
        <v>3573</v>
      </c>
      <c r="E1182" s="7" t="s">
        <v>21</v>
      </c>
      <c r="F1182" s="6" t="s">
        <v>4383</v>
      </c>
      <c r="G1182" s="6" t="s">
        <v>4384</v>
      </c>
      <c r="H1182" s="6" t="s">
        <v>3592</v>
      </c>
      <c r="I1182" s="6" t="s">
        <v>4143</v>
      </c>
      <c r="J1182" s="6" t="s">
        <v>334</v>
      </c>
      <c r="K1182" s="5"/>
      <c r="L1182" s="4" t="s">
        <v>62</v>
      </c>
      <c r="M1182" s="8" t="s">
        <v>79</v>
      </c>
      <c r="N1182" s="9" t="s">
        <v>3579</v>
      </c>
      <c r="O1182" s="5"/>
      <c r="P1182" s="5"/>
      <c r="Q1182" s="6" t="s">
        <v>30</v>
      </c>
      <c r="R1182" s="4" t="s">
        <v>31</v>
      </c>
      <c r="S1182" s="7" t="s">
        <v>32</v>
      </c>
      <c r="T1182" s="5"/>
    </row>
    <row r="1183" customFormat="false" ht="15" hidden="false" customHeight="true" outlineLevel="0" collapsed="false">
      <c r="A1183" s="4" t="n">
        <v>1182</v>
      </c>
      <c r="B1183" s="6" t="s">
        <v>1787</v>
      </c>
      <c r="C1183" s="6" t="s">
        <v>3572</v>
      </c>
      <c r="D1183" s="6" t="s">
        <v>3573</v>
      </c>
      <c r="E1183" s="7" t="s">
        <v>21</v>
      </c>
      <c r="F1183" s="6" t="s">
        <v>4385</v>
      </c>
      <c r="G1183" s="6" t="s">
        <v>4386</v>
      </c>
      <c r="H1183" s="6" t="s">
        <v>4387</v>
      </c>
      <c r="I1183" s="6" t="s">
        <v>4388</v>
      </c>
      <c r="J1183" s="6" t="s">
        <v>4389</v>
      </c>
      <c r="K1183" s="5"/>
      <c r="L1183" s="4" t="s">
        <v>27</v>
      </c>
      <c r="M1183" s="8" t="s">
        <v>79</v>
      </c>
      <c r="N1183" s="9" t="s">
        <v>4390</v>
      </c>
      <c r="O1183" s="5"/>
      <c r="P1183" s="5"/>
      <c r="Q1183" s="6" t="s">
        <v>30</v>
      </c>
      <c r="R1183" s="4" t="s">
        <v>31</v>
      </c>
      <c r="S1183" s="7" t="s">
        <v>32</v>
      </c>
      <c r="T1183" s="5"/>
    </row>
    <row r="1184" customFormat="false" ht="15" hidden="false" customHeight="true" outlineLevel="0" collapsed="false">
      <c r="A1184" s="4" t="n">
        <v>1183</v>
      </c>
      <c r="B1184" s="6" t="s">
        <v>1787</v>
      </c>
      <c r="C1184" s="6" t="s">
        <v>3572</v>
      </c>
      <c r="D1184" s="6" t="s">
        <v>3573</v>
      </c>
      <c r="E1184" s="7" t="s">
        <v>21</v>
      </c>
      <c r="F1184" s="6" t="s">
        <v>4391</v>
      </c>
      <c r="G1184" s="5" t="s">
        <v>831</v>
      </c>
      <c r="H1184" s="5" t="s">
        <v>832</v>
      </c>
      <c r="I1184" s="5" t="s">
        <v>868</v>
      </c>
      <c r="J1184" s="5" t="s">
        <v>614</v>
      </c>
      <c r="K1184" s="5"/>
      <c r="L1184" s="4" t="s">
        <v>62</v>
      </c>
      <c r="M1184" s="8" t="s">
        <v>129</v>
      </c>
      <c r="N1184" s="9" t="s">
        <v>4390</v>
      </c>
      <c r="O1184" s="5"/>
      <c r="P1184" s="5"/>
      <c r="Q1184" s="6" t="s">
        <v>30</v>
      </c>
      <c r="R1184" s="4" t="s">
        <v>31</v>
      </c>
      <c r="S1184" s="7" t="s">
        <v>32</v>
      </c>
      <c r="T1184" s="5"/>
    </row>
    <row r="1185" customFormat="false" ht="29.25" hidden="false" customHeight="true" outlineLevel="0" collapsed="false">
      <c r="A1185" s="4" t="n">
        <v>1184</v>
      </c>
      <c r="B1185" s="6" t="s">
        <v>1787</v>
      </c>
      <c r="C1185" s="6" t="s">
        <v>3572</v>
      </c>
      <c r="D1185" s="6" t="s">
        <v>3573</v>
      </c>
      <c r="E1185" s="7" t="s">
        <v>21</v>
      </c>
      <c r="F1185" s="6" t="s">
        <v>4392</v>
      </c>
      <c r="G1185" s="6" t="s">
        <v>4393</v>
      </c>
      <c r="H1185" s="6" t="s">
        <v>4394</v>
      </c>
      <c r="I1185" s="6" t="s">
        <v>4395</v>
      </c>
      <c r="J1185" s="6" t="s">
        <v>4396</v>
      </c>
      <c r="K1185" s="5"/>
      <c r="L1185" s="4" t="s">
        <v>51</v>
      </c>
      <c r="M1185" s="8" t="s">
        <v>79</v>
      </c>
      <c r="N1185" s="9" t="s">
        <v>3579</v>
      </c>
      <c r="O1185" s="5"/>
      <c r="P1185" s="5"/>
      <c r="Q1185" s="6" t="s">
        <v>30</v>
      </c>
      <c r="R1185" s="4" t="s">
        <v>31</v>
      </c>
      <c r="S1185" s="7" t="s">
        <v>32</v>
      </c>
      <c r="T1185" s="5"/>
    </row>
    <row r="1186" customFormat="false" ht="29.25" hidden="false" customHeight="true" outlineLevel="0" collapsed="false">
      <c r="A1186" s="4" t="n">
        <v>1185</v>
      </c>
      <c r="B1186" s="6" t="s">
        <v>1787</v>
      </c>
      <c r="C1186" s="6" t="s">
        <v>3572</v>
      </c>
      <c r="D1186" s="6" t="s">
        <v>3573</v>
      </c>
      <c r="E1186" s="7" t="s">
        <v>21</v>
      </c>
      <c r="F1186" s="6" t="s">
        <v>4397</v>
      </c>
      <c r="G1186" s="6" t="s">
        <v>4398</v>
      </c>
      <c r="H1186" s="6" t="s">
        <v>4399</v>
      </c>
      <c r="I1186" s="6" t="s">
        <v>4400</v>
      </c>
      <c r="J1186" s="6" t="s">
        <v>4401</v>
      </c>
      <c r="K1186" s="5"/>
      <c r="L1186" s="4" t="s">
        <v>27</v>
      </c>
      <c r="M1186" s="8" t="s">
        <v>28</v>
      </c>
      <c r="N1186" s="9" t="s">
        <v>3579</v>
      </c>
      <c r="O1186" s="5"/>
      <c r="P1186" s="5"/>
      <c r="Q1186" s="6" t="s">
        <v>30</v>
      </c>
      <c r="R1186" s="4" t="s">
        <v>31</v>
      </c>
      <c r="S1186" s="7" t="s">
        <v>32</v>
      </c>
      <c r="T1186" s="5"/>
    </row>
    <row r="1187" customFormat="false" ht="29.25" hidden="false" customHeight="true" outlineLevel="0" collapsed="false">
      <c r="A1187" s="4" t="n">
        <v>1186</v>
      </c>
      <c r="B1187" s="6" t="s">
        <v>1787</v>
      </c>
      <c r="C1187" s="6" t="s">
        <v>3572</v>
      </c>
      <c r="D1187" s="6" t="s">
        <v>3573</v>
      </c>
      <c r="E1187" s="7" t="s">
        <v>21</v>
      </c>
      <c r="F1187" s="6" t="s">
        <v>4402</v>
      </c>
      <c r="G1187" s="6" t="s">
        <v>334</v>
      </c>
      <c r="H1187" s="6" t="s">
        <v>4252</v>
      </c>
      <c r="I1187" s="6" t="s">
        <v>4403</v>
      </c>
      <c r="J1187" s="6" t="s">
        <v>3592</v>
      </c>
      <c r="K1187" s="5"/>
      <c r="L1187" s="4" t="s">
        <v>27</v>
      </c>
      <c r="M1187" s="8" t="s">
        <v>79</v>
      </c>
      <c r="N1187" s="9" t="s">
        <v>3579</v>
      </c>
      <c r="O1187" s="5"/>
      <c r="P1187" s="5"/>
      <c r="Q1187" s="6" t="s">
        <v>30</v>
      </c>
      <c r="R1187" s="4" t="s">
        <v>31</v>
      </c>
      <c r="S1187" s="7" t="s">
        <v>32</v>
      </c>
      <c r="T1187" s="5"/>
    </row>
    <row r="1188" customFormat="false" ht="29.25" hidden="false" customHeight="true" outlineLevel="0" collapsed="false">
      <c r="A1188" s="4" t="n">
        <v>1187</v>
      </c>
      <c r="B1188" s="6" t="s">
        <v>1787</v>
      </c>
      <c r="C1188" s="6" t="s">
        <v>3572</v>
      </c>
      <c r="D1188" s="6" t="s">
        <v>3573</v>
      </c>
      <c r="E1188" s="7" t="s">
        <v>21</v>
      </c>
      <c r="F1188" s="6" t="s">
        <v>4404</v>
      </c>
      <c r="G1188" s="6" t="s">
        <v>4405</v>
      </c>
      <c r="H1188" s="6" t="s">
        <v>4406</v>
      </c>
      <c r="I1188" s="6" t="s">
        <v>4407</v>
      </c>
      <c r="J1188" s="6" t="s">
        <v>4408</v>
      </c>
      <c r="K1188" s="5"/>
      <c r="L1188" s="4" t="s">
        <v>27</v>
      </c>
      <c r="M1188" s="8" t="s">
        <v>79</v>
      </c>
      <c r="N1188" s="9" t="s">
        <v>3579</v>
      </c>
      <c r="O1188" s="5"/>
      <c r="P1188" s="5"/>
      <c r="Q1188" s="6" t="s">
        <v>30</v>
      </c>
      <c r="R1188" s="4" t="s">
        <v>31</v>
      </c>
      <c r="S1188" s="7" t="s">
        <v>32</v>
      </c>
      <c r="T1188" s="5"/>
    </row>
    <row r="1189" customFormat="false" ht="29.25" hidden="false" customHeight="true" outlineLevel="0" collapsed="false">
      <c r="A1189" s="4" t="n">
        <v>1188</v>
      </c>
      <c r="B1189" s="6" t="s">
        <v>1787</v>
      </c>
      <c r="C1189" s="6" t="s">
        <v>3572</v>
      </c>
      <c r="D1189" s="6" t="s">
        <v>3573</v>
      </c>
      <c r="E1189" s="7" t="s">
        <v>21</v>
      </c>
      <c r="F1189" s="6" t="s">
        <v>4409</v>
      </c>
      <c r="G1189" s="6" t="s">
        <v>3587</v>
      </c>
      <c r="H1189" s="6" t="s">
        <v>4410</v>
      </c>
      <c r="I1189" s="6" t="s">
        <v>4411</v>
      </c>
      <c r="J1189" s="6" t="s">
        <v>4412</v>
      </c>
      <c r="K1189" s="5"/>
      <c r="L1189" s="4" t="s">
        <v>27</v>
      </c>
      <c r="M1189" s="8" t="s">
        <v>79</v>
      </c>
      <c r="N1189" s="9" t="s">
        <v>3778</v>
      </c>
      <c r="O1189" s="5"/>
      <c r="P1189" s="5"/>
      <c r="Q1189" s="6" t="s">
        <v>30</v>
      </c>
      <c r="R1189" s="4" t="s">
        <v>31</v>
      </c>
      <c r="S1189" s="7" t="s">
        <v>32</v>
      </c>
      <c r="T1189" s="5"/>
    </row>
    <row r="1190" customFormat="false" ht="29.25" hidden="false" customHeight="true" outlineLevel="0" collapsed="false">
      <c r="A1190" s="4" t="n">
        <v>1189</v>
      </c>
      <c r="B1190" s="6" t="s">
        <v>1787</v>
      </c>
      <c r="C1190" s="6" t="s">
        <v>3572</v>
      </c>
      <c r="D1190" s="6" t="s">
        <v>3573</v>
      </c>
      <c r="E1190" s="7" t="s">
        <v>21</v>
      </c>
      <c r="F1190" s="6" t="s">
        <v>4413</v>
      </c>
      <c r="G1190" s="6" t="s">
        <v>4414</v>
      </c>
      <c r="H1190" s="6" t="s">
        <v>4415</v>
      </c>
      <c r="I1190" s="6" t="s">
        <v>4416</v>
      </c>
      <c r="J1190" s="6" t="s">
        <v>4411</v>
      </c>
      <c r="K1190" s="5"/>
      <c r="L1190" s="4" t="s">
        <v>44</v>
      </c>
      <c r="M1190" s="8" t="s">
        <v>79</v>
      </c>
      <c r="N1190" s="9" t="s">
        <v>3778</v>
      </c>
      <c r="O1190" s="5"/>
      <c r="P1190" s="5"/>
      <c r="Q1190" s="6" t="s">
        <v>30</v>
      </c>
      <c r="R1190" s="4" t="s">
        <v>31</v>
      </c>
      <c r="S1190" s="7" t="s">
        <v>32</v>
      </c>
      <c r="T1190" s="5"/>
    </row>
    <row r="1191" customFormat="false" ht="29.25" hidden="false" customHeight="true" outlineLevel="0" collapsed="false">
      <c r="A1191" s="4" t="n">
        <v>1190</v>
      </c>
      <c r="B1191" s="6" t="s">
        <v>1787</v>
      </c>
      <c r="C1191" s="6" t="s">
        <v>3572</v>
      </c>
      <c r="D1191" s="6" t="s">
        <v>3573</v>
      </c>
      <c r="E1191" s="7" t="s">
        <v>21</v>
      </c>
      <c r="F1191" s="6" t="s">
        <v>4417</v>
      </c>
      <c r="G1191" s="6" t="s">
        <v>4370</v>
      </c>
      <c r="H1191" s="6" t="s">
        <v>4371</v>
      </c>
      <c r="I1191" s="6" t="s">
        <v>4372</v>
      </c>
      <c r="J1191" s="6" t="s">
        <v>4418</v>
      </c>
      <c r="K1191" s="5"/>
      <c r="L1191" s="4" t="s">
        <v>27</v>
      </c>
      <c r="M1191" s="8" t="s">
        <v>79</v>
      </c>
      <c r="N1191" s="9" t="s">
        <v>3579</v>
      </c>
      <c r="O1191" s="5"/>
      <c r="P1191" s="5"/>
      <c r="Q1191" s="6" t="s">
        <v>30</v>
      </c>
      <c r="R1191" s="4" t="s">
        <v>31</v>
      </c>
      <c r="S1191" s="7" t="s">
        <v>32</v>
      </c>
      <c r="T1191" s="5"/>
    </row>
    <row r="1192" customFormat="false" ht="29.25" hidden="false" customHeight="true" outlineLevel="0" collapsed="false">
      <c r="A1192" s="4" t="n">
        <v>1191</v>
      </c>
      <c r="B1192" s="6" t="s">
        <v>1787</v>
      </c>
      <c r="C1192" s="6" t="s">
        <v>3572</v>
      </c>
      <c r="D1192" s="6" t="s">
        <v>3573</v>
      </c>
      <c r="E1192" s="7" t="s">
        <v>21</v>
      </c>
      <c r="F1192" s="6" t="s">
        <v>4419</v>
      </c>
      <c r="G1192" s="6" t="s">
        <v>4420</v>
      </c>
      <c r="H1192" s="6" t="s">
        <v>4421</v>
      </c>
      <c r="I1192" s="6" t="s">
        <v>4422</v>
      </c>
      <c r="J1192" s="6" t="s">
        <v>4423</v>
      </c>
      <c r="K1192" s="5"/>
      <c r="L1192" s="4" t="s">
        <v>51</v>
      </c>
      <c r="M1192" s="8" t="s">
        <v>28</v>
      </c>
      <c r="N1192" s="9" t="s">
        <v>3778</v>
      </c>
      <c r="O1192" s="5"/>
      <c r="P1192" s="5"/>
      <c r="Q1192" s="6" t="s">
        <v>30</v>
      </c>
      <c r="R1192" s="4" t="s">
        <v>31</v>
      </c>
      <c r="S1192" s="7" t="s">
        <v>32</v>
      </c>
      <c r="T1192" s="5"/>
    </row>
    <row r="1193" customFormat="false" ht="29.25" hidden="false" customHeight="true" outlineLevel="0" collapsed="false">
      <c r="A1193" s="4" t="n">
        <v>1192</v>
      </c>
      <c r="B1193" s="6" t="s">
        <v>1787</v>
      </c>
      <c r="C1193" s="6" t="s">
        <v>3572</v>
      </c>
      <c r="D1193" s="6" t="s">
        <v>3573</v>
      </c>
      <c r="E1193" s="7" t="s">
        <v>21</v>
      </c>
      <c r="F1193" s="6" t="s">
        <v>4424</v>
      </c>
      <c r="G1193" s="6" t="s">
        <v>4425</v>
      </c>
      <c r="H1193" s="6" t="s">
        <v>4426</v>
      </c>
      <c r="I1193" s="6" t="s">
        <v>4427</v>
      </c>
      <c r="J1193" s="6" t="s">
        <v>4410</v>
      </c>
      <c r="K1193" s="5"/>
      <c r="L1193" s="4" t="s">
        <v>44</v>
      </c>
      <c r="M1193" s="8" t="s">
        <v>28</v>
      </c>
      <c r="N1193" s="9" t="s">
        <v>3579</v>
      </c>
      <c r="O1193" s="5"/>
      <c r="P1193" s="5"/>
      <c r="Q1193" s="6" t="s">
        <v>30</v>
      </c>
      <c r="R1193" s="4" t="s">
        <v>31</v>
      </c>
      <c r="S1193" s="7" t="s">
        <v>32</v>
      </c>
      <c r="T1193" s="5"/>
    </row>
    <row r="1194" customFormat="false" ht="29.25" hidden="false" customHeight="true" outlineLevel="0" collapsed="false">
      <c r="A1194" s="4" t="n">
        <v>1193</v>
      </c>
      <c r="B1194" s="6" t="s">
        <v>1787</v>
      </c>
      <c r="C1194" s="6" t="s">
        <v>3572</v>
      </c>
      <c r="D1194" s="6" t="s">
        <v>3573</v>
      </c>
      <c r="E1194" s="7" t="s">
        <v>21</v>
      </c>
      <c r="F1194" s="6" t="s">
        <v>4428</v>
      </c>
      <c r="G1194" s="6" t="s">
        <v>4429</v>
      </c>
      <c r="H1194" s="6" t="s">
        <v>4430</v>
      </c>
      <c r="I1194" s="6" t="s">
        <v>4431</v>
      </c>
      <c r="J1194" s="6" t="s">
        <v>4432</v>
      </c>
      <c r="K1194" s="5"/>
      <c r="L1194" s="4" t="s">
        <v>62</v>
      </c>
      <c r="M1194" s="8" t="s">
        <v>28</v>
      </c>
      <c r="N1194" s="9" t="s">
        <v>3579</v>
      </c>
      <c r="O1194" s="5"/>
      <c r="P1194" s="5"/>
      <c r="Q1194" s="6" t="s">
        <v>30</v>
      </c>
      <c r="R1194" s="4" t="s">
        <v>31</v>
      </c>
      <c r="S1194" s="7" t="s">
        <v>32</v>
      </c>
      <c r="T1194" s="5"/>
    </row>
    <row r="1195" customFormat="false" ht="29.25" hidden="false" customHeight="true" outlineLevel="0" collapsed="false">
      <c r="A1195" s="4" t="n">
        <v>1194</v>
      </c>
      <c r="B1195" s="6" t="s">
        <v>1787</v>
      </c>
      <c r="C1195" s="6" t="s">
        <v>3572</v>
      </c>
      <c r="D1195" s="6" t="s">
        <v>3573</v>
      </c>
      <c r="E1195" s="7" t="s">
        <v>21</v>
      </c>
      <c r="F1195" s="6" t="s">
        <v>4433</v>
      </c>
      <c r="G1195" s="6" t="s">
        <v>4434</v>
      </c>
      <c r="H1195" s="6" t="s">
        <v>4435</v>
      </c>
      <c r="I1195" s="6" t="s">
        <v>4436</v>
      </c>
      <c r="J1195" s="6" t="s">
        <v>4437</v>
      </c>
      <c r="K1195" s="5"/>
      <c r="L1195" s="4" t="s">
        <v>27</v>
      </c>
      <c r="M1195" s="8" t="s">
        <v>129</v>
      </c>
      <c r="N1195" s="9" t="s">
        <v>3579</v>
      </c>
      <c r="O1195" s="5"/>
      <c r="P1195" s="5"/>
      <c r="Q1195" s="6" t="s">
        <v>30</v>
      </c>
      <c r="R1195" s="4" t="s">
        <v>31</v>
      </c>
      <c r="S1195" s="7" t="s">
        <v>32</v>
      </c>
      <c r="T1195" s="5"/>
    </row>
    <row r="1196" customFormat="false" ht="15" hidden="false" customHeight="true" outlineLevel="0" collapsed="false">
      <c r="A1196" s="4" t="n">
        <v>1195</v>
      </c>
      <c r="B1196" s="6" t="s">
        <v>1787</v>
      </c>
      <c r="C1196" s="6" t="s">
        <v>3572</v>
      </c>
      <c r="D1196" s="6" t="s">
        <v>3573</v>
      </c>
      <c r="E1196" s="7" t="s">
        <v>21</v>
      </c>
      <c r="F1196" s="6" t="s">
        <v>4438</v>
      </c>
      <c r="G1196" s="6" t="s">
        <v>4439</v>
      </c>
      <c r="H1196" s="6" t="s">
        <v>4440</v>
      </c>
      <c r="I1196" s="6" t="s">
        <v>4441</v>
      </c>
      <c r="J1196" s="6" t="s">
        <v>4442</v>
      </c>
      <c r="K1196" s="5"/>
      <c r="L1196" s="4" t="s">
        <v>62</v>
      </c>
      <c r="M1196" s="8" t="s">
        <v>79</v>
      </c>
      <c r="N1196" s="9" t="s">
        <v>3579</v>
      </c>
      <c r="O1196" s="5"/>
      <c r="P1196" s="5"/>
      <c r="Q1196" s="6" t="s">
        <v>30</v>
      </c>
      <c r="R1196" s="4" t="s">
        <v>31</v>
      </c>
      <c r="S1196" s="7" t="s">
        <v>32</v>
      </c>
      <c r="T1196" s="5"/>
    </row>
    <row r="1197" customFormat="false" ht="15" hidden="false" customHeight="true" outlineLevel="0" collapsed="false">
      <c r="A1197" s="4" t="n">
        <v>1196</v>
      </c>
      <c r="B1197" s="6" t="s">
        <v>1787</v>
      </c>
      <c r="C1197" s="6" t="s">
        <v>3572</v>
      </c>
      <c r="D1197" s="6" t="s">
        <v>3573</v>
      </c>
      <c r="E1197" s="7" t="s">
        <v>21</v>
      </c>
      <c r="F1197" s="6" t="s">
        <v>4443</v>
      </c>
      <c r="G1197" s="5" t="s">
        <v>4444</v>
      </c>
      <c r="H1197" s="5" t="s">
        <v>3615</v>
      </c>
      <c r="I1197" s="5" t="s">
        <v>4445</v>
      </c>
      <c r="J1197" s="5" t="s">
        <v>4446</v>
      </c>
      <c r="K1197" s="5"/>
      <c r="L1197" s="4" t="s">
        <v>51</v>
      </c>
      <c r="M1197" s="8" t="s">
        <v>129</v>
      </c>
      <c r="N1197" s="9" t="s">
        <v>3579</v>
      </c>
      <c r="O1197" s="5"/>
      <c r="P1197" s="5"/>
      <c r="Q1197" s="6" t="s">
        <v>30</v>
      </c>
      <c r="R1197" s="4" t="s">
        <v>31</v>
      </c>
      <c r="S1197" s="7" t="s">
        <v>32</v>
      </c>
      <c r="T1197" s="5"/>
    </row>
    <row r="1198" customFormat="false" ht="15" hidden="false" customHeight="true" outlineLevel="0" collapsed="false">
      <c r="A1198" s="4" t="n">
        <v>1197</v>
      </c>
      <c r="B1198" s="6" t="s">
        <v>1787</v>
      </c>
      <c r="C1198" s="6" t="s">
        <v>3572</v>
      </c>
      <c r="D1198" s="6" t="s">
        <v>3573</v>
      </c>
      <c r="E1198" s="7" t="s">
        <v>21</v>
      </c>
      <c r="F1198" s="6" t="s">
        <v>4447</v>
      </c>
      <c r="G1198" s="5" t="s">
        <v>3614</v>
      </c>
      <c r="H1198" s="5" t="s">
        <v>4448</v>
      </c>
      <c r="I1198" s="5" t="s">
        <v>4449</v>
      </c>
      <c r="J1198" s="5" t="s">
        <v>4450</v>
      </c>
      <c r="K1198" s="5"/>
      <c r="L1198" s="4" t="s">
        <v>51</v>
      </c>
      <c r="M1198" s="8" t="s">
        <v>129</v>
      </c>
      <c r="N1198" s="9" t="s">
        <v>3579</v>
      </c>
      <c r="O1198" s="5"/>
      <c r="P1198" s="5"/>
      <c r="Q1198" s="6" t="s">
        <v>30</v>
      </c>
      <c r="R1198" s="4" t="s">
        <v>31</v>
      </c>
      <c r="S1198" s="7" t="s">
        <v>32</v>
      </c>
      <c r="T1198" s="5"/>
    </row>
    <row r="1199" customFormat="false" ht="15" hidden="false" customHeight="true" outlineLevel="0" collapsed="false">
      <c r="A1199" s="4" t="n">
        <v>1198</v>
      </c>
      <c r="B1199" s="6" t="s">
        <v>1787</v>
      </c>
      <c r="C1199" s="6" t="s">
        <v>3572</v>
      </c>
      <c r="D1199" s="6" t="s">
        <v>3573</v>
      </c>
      <c r="E1199" s="7" t="s">
        <v>21</v>
      </c>
      <c r="F1199" s="6" t="s">
        <v>4451</v>
      </c>
      <c r="G1199" s="5" t="s">
        <v>4270</v>
      </c>
      <c r="H1199" s="5" t="s">
        <v>3613</v>
      </c>
      <c r="I1199" s="5" t="s">
        <v>4452</v>
      </c>
      <c r="J1199" s="5" t="s">
        <v>4271</v>
      </c>
      <c r="K1199" s="5"/>
      <c r="L1199" s="4" t="s">
        <v>44</v>
      </c>
      <c r="M1199" s="8" t="s">
        <v>129</v>
      </c>
      <c r="N1199" s="9" t="s">
        <v>3579</v>
      </c>
      <c r="O1199" s="5"/>
      <c r="P1199" s="5"/>
      <c r="Q1199" s="6" t="s">
        <v>30</v>
      </c>
      <c r="R1199" s="4" t="s">
        <v>31</v>
      </c>
      <c r="S1199" s="7" t="s">
        <v>32</v>
      </c>
      <c r="T1199" s="5"/>
    </row>
    <row r="1200" customFormat="false" ht="29.25" hidden="false" customHeight="true" outlineLevel="0" collapsed="false">
      <c r="A1200" s="4" t="n">
        <v>1199</v>
      </c>
      <c r="B1200" s="6" t="s">
        <v>1787</v>
      </c>
      <c r="C1200" s="6" t="s">
        <v>3572</v>
      </c>
      <c r="D1200" s="6" t="s">
        <v>3573</v>
      </c>
      <c r="E1200" s="7" t="s">
        <v>21</v>
      </c>
      <c r="F1200" s="6" t="s">
        <v>4453</v>
      </c>
      <c r="G1200" s="6" t="s">
        <v>4454</v>
      </c>
      <c r="H1200" s="6" t="s">
        <v>4455</v>
      </c>
      <c r="I1200" s="6" t="s">
        <v>4456</v>
      </c>
      <c r="J1200" s="6" t="s">
        <v>4457</v>
      </c>
      <c r="K1200" s="5"/>
      <c r="L1200" s="4" t="s">
        <v>27</v>
      </c>
      <c r="M1200" s="8" t="s">
        <v>79</v>
      </c>
      <c r="N1200" s="9" t="s">
        <v>4458</v>
      </c>
      <c r="O1200" s="5"/>
      <c r="P1200" s="5"/>
      <c r="Q1200" s="6" t="s">
        <v>30</v>
      </c>
      <c r="R1200" s="4" t="s">
        <v>31</v>
      </c>
      <c r="S1200" s="7" t="s">
        <v>32</v>
      </c>
      <c r="T1200" s="5"/>
    </row>
    <row r="1201" customFormat="false" ht="29.25" hidden="false" customHeight="true" outlineLevel="0" collapsed="false">
      <c r="A1201" s="4" t="n">
        <v>1200</v>
      </c>
      <c r="B1201" s="6" t="s">
        <v>1787</v>
      </c>
      <c r="C1201" s="6" t="s">
        <v>3572</v>
      </c>
      <c r="D1201" s="6" t="s">
        <v>3573</v>
      </c>
      <c r="E1201" s="7" t="s">
        <v>21</v>
      </c>
      <c r="F1201" s="6" t="s">
        <v>4459</v>
      </c>
      <c r="G1201" s="6" t="s">
        <v>4456</v>
      </c>
      <c r="H1201" s="6" t="s">
        <v>4455</v>
      </c>
      <c r="I1201" s="6" t="s">
        <v>4457</v>
      </c>
      <c r="J1201" s="6" t="s">
        <v>4460</v>
      </c>
      <c r="K1201" s="5"/>
      <c r="L1201" s="4" t="s">
        <v>51</v>
      </c>
      <c r="M1201" s="8" t="s">
        <v>79</v>
      </c>
      <c r="N1201" s="9" t="s">
        <v>3579</v>
      </c>
      <c r="O1201" s="5"/>
      <c r="P1201" s="5"/>
      <c r="Q1201" s="6" t="s">
        <v>30</v>
      </c>
      <c r="R1201" s="4" t="s">
        <v>31</v>
      </c>
      <c r="S1201" s="7" t="s">
        <v>32</v>
      </c>
      <c r="T1201" s="5"/>
    </row>
    <row r="1202" customFormat="false" ht="15" hidden="false" customHeight="true" outlineLevel="0" collapsed="false">
      <c r="A1202" s="4" t="n">
        <v>1201</v>
      </c>
      <c r="B1202" s="6" t="s">
        <v>1787</v>
      </c>
      <c r="C1202" s="6" t="s">
        <v>3572</v>
      </c>
      <c r="D1202" s="6" t="s">
        <v>3573</v>
      </c>
      <c r="E1202" s="7" t="s">
        <v>21</v>
      </c>
      <c r="F1202" s="6" t="s">
        <v>4461</v>
      </c>
      <c r="G1202" s="6" t="s">
        <v>4462</v>
      </c>
      <c r="H1202" s="6" t="s">
        <v>4463</v>
      </c>
      <c r="I1202" s="6" t="s">
        <v>4204</v>
      </c>
      <c r="J1202" s="6" t="s">
        <v>78</v>
      </c>
      <c r="K1202" s="5"/>
      <c r="L1202" s="4" t="s">
        <v>44</v>
      </c>
      <c r="M1202" s="8" t="s">
        <v>129</v>
      </c>
      <c r="N1202" s="9" t="s">
        <v>3579</v>
      </c>
      <c r="O1202" s="5"/>
      <c r="P1202" s="5"/>
      <c r="Q1202" s="6" t="s">
        <v>30</v>
      </c>
      <c r="R1202" s="4" t="s">
        <v>31</v>
      </c>
      <c r="S1202" s="7" t="s">
        <v>32</v>
      </c>
      <c r="T1202" s="5"/>
    </row>
    <row r="1203" customFormat="false" ht="15" hidden="false" customHeight="true" outlineLevel="0" collapsed="false">
      <c r="A1203" s="4" t="n">
        <v>1202</v>
      </c>
      <c r="B1203" s="6" t="s">
        <v>1787</v>
      </c>
      <c r="C1203" s="6" t="s">
        <v>3572</v>
      </c>
      <c r="D1203" s="6" t="s">
        <v>3573</v>
      </c>
      <c r="E1203" s="7" t="s">
        <v>21</v>
      </c>
      <c r="F1203" s="6" t="s">
        <v>4464</v>
      </c>
      <c r="G1203" s="5" t="s">
        <v>3650</v>
      </c>
      <c r="H1203" s="5" t="s">
        <v>3651</v>
      </c>
      <c r="I1203" s="5" t="s">
        <v>4465</v>
      </c>
      <c r="J1203" s="5" t="s">
        <v>4466</v>
      </c>
      <c r="K1203" s="5"/>
      <c r="L1203" s="4" t="s">
        <v>62</v>
      </c>
      <c r="M1203" s="8" t="s">
        <v>129</v>
      </c>
      <c r="N1203" s="9" t="s">
        <v>3579</v>
      </c>
      <c r="O1203" s="5"/>
      <c r="P1203" s="5"/>
      <c r="Q1203" s="6" t="s">
        <v>30</v>
      </c>
      <c r="R1203" s="4" t="s">
        <v>31</v>
      </c>
      <c r="S1203" s="7" t="s">
        <v>32</v>
      </c>
      <c r="T1203" s="5"/>
    </row>
    <row r="1204" customFormat="false" ht="15" hidden="false" customHeight="true" outlineLevel="0" collapsed="false">
      <c r="A1204" s="4" t="n">
        <v>1203</v>
      </c>
      <c r="B1204" s="6" t="s">
        <v>1787</v>
      </c>
      <c r="C1204" s="6" t="s">
        <v>3572</v>
      </c>
      <c r="D1204" s="6" t="s">
        <v>3573</v>
      </c>
      <c r="E1204" s="7" t="s">
        <v>21</v>
      </c>
      <c r="F1204" s="6" t="s">
        <v>4467</v>
      </c>
      <c r="G1204" s="6" t="s">
        <v>4468</v>
      </c>
      <c r="H1204" s="6" t="s">
        <v>4469</v>
      </c>
      <c r="I1204" s="6" t="s">
        <v>4470</v>
      </c>
      <c r="J1204" s="6" t="s">
        <v>4471</v>
      </c>
      <c r="K1204" s="5"/>
      <c r="L1204" s="4" t="s">
        <v>51</v>
      </c>
      <c r="M1204" s="8" t="s">
        <v>129</v>
      </c>
      <c r="N1204" s="9" t="s">
        <v>3579</v>
      </c>
      <c r="O1204" s="5"/>
      <c r="P1204" s="5"/>
      <c r="Q1204" s="6" t="s">
        <v>30</v>
      </c>
      <c r="R1204" s="4" t="s">
        <v>31</v>
      </c>
      <c r="S1204" s="7" t="s">
        <v>32</v>
      </c>
      <c r="T1204" s="5"/>
    </row>
    <row r="1205" customFormat="false" ht="29.25" hidden="false" customHeight="true" outlineLevel="0" collapsed="false">
      <c r="A1205" s="4" t="n">
        <v>1204</v>
      </c>
      <c r="B1205" s="6" t="s">
        <v>1787</v>
      </c>
      <c r="C1205" s="6" t="s">
        <v>3572</v>
      </c>
      <c r="D1205" s="6" t="s">
        <v>3573</v>
      </c>
      <c r="E1205" s="7" t="s">
        <v>21</v>
      </c>
      <c r="F1205" s="6" t="s">
        <v>4472</v>
      </c>
      <c r="G1205" s="6" t="s">
        <v>4473</v>
      </c>
      <c r="H1205" s="6" t="s">
        <v>4474</v>
      </c>
      <c r="I1205" s="6" t="s">
        <v>3712</v>
      </c>
      <c r="J1205" s="6" t="s">
        <v>4475</v>
      </c>
      <c r="K1205" s="5"/>
      <c r="L1205" s="4" t="s">
        <v>27</v>
      </c>
      <c r="M1205" s="8" t="s">
        <v>79</v>
      </c>
      <c r="N1205" s="9" t="s">
        <v>3716</v>
      </c>
      <c r="O1205" s="5"/>
      <c r="P1205" s="5"/>
      <c r="Q1205" s="6" t="s">
        <v>30</v>
      </c>
      <c r="R1205" s="4" t="s">
        <v>31</v>
      </c>
      <c r="S1205" s="7" t="s">
        <v>32</v>
      </c>
      <c r="T1205" s="5"/>
    </row>
    <row r="1206" customFormat="false" ht="29.25" hidden="false" customHeight="true" outlineLevel="0" collapsed="false">
      <c r="A1206" s="4" t="n">
        <v>1205</v>
      </c>
      <c r="B1206" s="6" t="s">
        <v>1787</v>
      </c>
      <c r="C1206" s="6" t="s">
        <v>3572</v>
      </c>
      <c r="D1206" s="6" t="s">
        <v>3573</v>
      </c>
      <c r="E1206" s="7" t="s">
        <v>21</v>
      </c>
      <c r="F1206" s="6" t="s">
        <v>4476</v>
      </c>
      <c r="G1206" s="6" t="s">
        <v>4477</v>
      </c>
      <c r="H1206" s="6" t="s">
        <v>4478</v>
      </c>
      <c r="I1206" s="6" t="s">
        <v>4479</v>
      </c>
      <c r="J1206" s="6" t="s">
        <v>4480</v>
      </c>
      <c r="K1206" s="5"/>
      <c r="L1206" s="4" t="s">
        <v>62</v>
      </c>
      <c r="M1206" s="8" t="s">
        <v>79</v>
      </c>
      <c r="N1206" s="9" t="s">
        <v>3716</v>
      </c>
      <c r="O1206" s="5"/>
      <c r="P1206" s="5"/>
      <c r="Q1206" s="6" t="s">
        <v>30</v>
      </c>
      <c r="R1206" s="4" t="s">
        <v>31</v>
      </c>
      <c r="S1206" s="7" t="s">
        <v>32</v>
      </c>
      <c r="T1206" s="5"/>
    </row>
    <row r="1207" customFormat="false" ht="29.25" hidden="false" customHeight="true" outlineLevel="0" collapsed="false">
      <c r="A1207" s="4" t="n">
        <v>1206</v>
      </c>
      <c r="B1207" s="6" t="s">
        <v>1787</v>
      </c>
      <c r="C1207" s="6" t="s">
        <v>4481</v>
      </c>
      <c r="D1207" s="6" t="s">
        <v>4482</v>
      </c>
      <c r="E1207" s="7" t="s">
        <v>21</v>
      </c>
      <c r="F1207" s="6" t="s">
        <v>4483</v>
      </c>
      <c r="G1207" s="6" t="s">
        <v>4484</v>
      </c>
      <c r="H1207" s="6" t="s">
        <v>4485</v>
      </c>
      <c r="I1207" s="6" t="s">
        <v>4486</v>
      </c>
      <c r="J1207" s="6" t="s">
        <v>2433</v>
      </c>
      <c r="K1207" s="5"/>
      <c r="L1207" s="4" t="s">
        <v>51</v>
      </c>
      <c r="M1207" s="8" t="s">
        <v>79</v>
      </c>
      <c r="N1207" s="9" t="s">
        <v>4487</v>
      </c>
      <c r="O1207" s="5"/>
      <c r="P1207" s="5"/>
      <c r="Q1207" s="6" t="s">
        <v>30</v>
      </c>
      <c r="R1207" s="4" t="s">
        <v>31</v>
      </c>
      <c r="S1207" s="7" t="s">
        <v>32</v>
      </c>
      <c r="T1207" s="5"/>
    </row>
    <row r="1208" customFormat="false" ht="29.25" hidden="false" customHeight="true" outlineLevel="0" collapsed="false">
      <c r="A1208" s="4" t="n">
        <v>1207</v>
      </c>
      <c r="B1208" s="6" t="s">
        <v>1787</v>
      </c>
      <c r="C1208" s="6" t="s">
        <v>4481</v>
      </c>
      <c r="D1208" s="6" t="s">
        <v>4482</v>
      </c>
      <c r="E1208" s="7" t="s">
        <v>21</v>
      </c>
      <c r="F1208" s="6" t="s">
        <v>4488</v>
      </c>
      <c r="G1208" s="6" t="s">
        <v>4489</v>
      </c>
      <c r="H1208" s="6" t="s">
        <v>2169</v>
      </c>
      <c r="I1208" s="6" t="s">
        <v>2168</v>
      </c>
      <c r="J1208" s="6" t="s">
        <v>2166</v>
      </c>
      <c r="K1208" s="5"/>
      <c r="L1208" s="4" t="s">
        <v>44</v>
      </c>
      <c r="M1208" s="8" t="s">
        <v>79</v>
      </c>
      <c r="N1208" s="9" t="s">
        <v>4490</v>
      </c>
      <c r="O1208" s="5"/>
      <c r="P1208" s="5"/>
      <c r="Q1208" s="6" t="s">
        <v>30</v>
      </c>
      <c r="R1208" s="4" t="s">
        <v>31</v>
      </c>
      <c r="S1208" s="7" t="s">
        <v>32</v>
      </c>
      <c r="T1208" s="5"/>
    </row>
    <row r="1209" customFormat="false" ht="29.25" hidden="false" customHeight="true" outlineLevel="0" collapsed="false">
      <c r="A1209" s="4" t="n">
        <v>1208</v>
      </c>
      <c r="B1209" s="6" t="s">
        <v>1787</v>
      </c>
      <c r="C1209" s="6" t="s">
        <v>4481</v>
      </c>
      <c r="D1209" s="6" t="s">
        <v>4482</v>
      </c>
      <c r="E1209" s="7" t="s">
        <v>21</v>
      </c>
      <c r="F1209" s="6" t="s">
        <v>4491</v>
      </c>
      <c r="G1209" s="6" t="s">
        <v>4492</v>
      </c>
      <c r="H1209" s="6" t="s">
        <v>4493</v>
      </c>
      <c r="I1209" s="6" t="s">
        <v>4494</v>
      </c>
      <c r="J1209" s="6" t="s">
        <v>150</v>
      </c>
      <c r="K1209" s="5"/>
      <c r="L1209" s="4" t="s">
        <v>44</v>
      </c>
      <c r="M1209" s="8" t="s">
        <v>79</v>
      </c>
      <c r="N1209" s="9" t="s">
        <v>4495</v>
      </c>
      <c r="O1209" s="5"/>
      <c r="P1209" s="5"/>
      <c r="Q1209" s="6" t="s">
        <v>30</v>
      </c>
      <c r="R1209" s="4" t="s">
        <v>31</v>
      </c>
      <c r="S1209" s="7" t="s">
        <v>32</v>
      </c>
      <c r="T1209" s="5"/>
    </row>
    <row r="1210" customFormat="false" ht="15" hidden="false" customHeight="true" outlineLevel="0" collapsed="false">
      <c r="A1210" s="4" t="n">
        <v>1209</v>
      </c>
      <c r="B1210" s="6" t="s">
        <v>1787</v>
      </c>
      <c r="C1210" s="6" t="s">
        <v>4481</v>
      </c>
      <c r="D1210" s="6" t="s">
        <v>4482</v>
      </c>
      <c r="E1210" s="7" t="s">
        <v>21</v>
      </c>
      <c r="F1210" s="6" t="s">
        <v>4496</v>
      </c>
      <c r="G1210" s="6" t="s">
        <v>4497</v>
      </c>
      <c r="H1210" s="6" t="s">
        <v>4498</v>
      </c>
      <c r="I1210" s="6" t="s">
        <v>2166</v>
      </c>
      <c r="J1210" s="6" t="s">
        <v>78</v>
      </c>
      <c r="K1210" s="5"/>
      <c r="L1210" s="4" t="s">
        <v>27</v>
      </c>
      <c r="M1210" s="8" t="s">
        <v>79</v>
      </c>
      <c r="N1210" s="9" t="s">
        <v>4495</v>
      </c>
      <c r="O1210" s="5"/>
      <c r="P1210" s="5"/>
      <c r="Q1210" s="6" t="s">
        <v>30</v>
      </c>
      <c r="R1210" s="4" t="s">
        <v>31</v>
      </c>
      <c r="S1210" s="7" t="s">
        <v>32</v>
      </c>
      <c r="T1210" s="5"/>
    </row>
    <row r="1211" customFormat="false" ht="15" hidden="false" customHeight="true" outlineLevel="0" collapsed="false">
      <c r="A1211" s="4" t="n">
        <v>1210</v>
      </c>
      <c r="B1211" s="6" t="s">
        <v>1787</v>
      </c>
      <c r="C1211" s="6" t="s">
        <v>4481</v>
      </c>
      <c r="D1211" s="6" t="s">
        <v>4482</v>
      </c>
      <c r="E1211" s="7" t="s">
        <v>21</v>
      </c>
      <c r="F1211" s="6" t="s">
        <v>4499</v>
      </c>
      <c r="G1211" s="6" t="s">
        <v>4500</v>
      </c>
      <c r="H1211" s="6" t="s">
        <v>4501</v>
      </c>
      <c r="I1211" s="6" t="s">
        <v>2169</v>
      </c>
      <c r="J1211" s="6" t="s">
        <v>4502</v>
      </c>
      <c r="K1211" s="5"/>
      <c r="L1211" s="4" t="s">
        <v>44</v>
      </c>
      <c r="M1211" s="8" t="s">
        <v>28</v>
      </c>
      <c r="N1211" s="9" t="s">
        <v>4495</v>
      </c>
      <c r="O1211" s="5"/>
      <c r="P1211" s="5"/>
      <c r="Q1211" s="6" t="s">
        <v>30</v>
      </c>
      <c r="R1211" s="4" t="s">
        <v>31</v>
      </c>
      <c r="S1211" s="7" t="s">
        <v>32</v>
      </c>
      <c r="T1211" s="5"/>
    </row>
    <row r="1212" customFormat="false" ht="29.25" hidden="false" customHeight="true" outlineLevel="0" collapsed="false">
      <c r="A1212" s="4" t="n">
        <v>1211</v>
      </c>
      <c r="B1212" s="6" t="s">
        <v>1787</v>
      </c>
      <c r="C1212" s="6" t="s">
        <v>4481</v>
      </c>
      <c r="D1212" s="6" t="s">
        <v>4482</v>
      </c>
      <c r="E1212" s="7" t="s">
        <v>21</v>
      </c>
      <c r="F1212" s="6" t="s">
        <v>4503</v>
      </c>
      <c r="G1212" s="6" t="s">
        <v>1400</v>
      </c>
      <c r="H1212" s="6" t="s">
        <v>4504</v>
      </c>
      <c r="I1212" s="6" t="s">
        <v>1405</v>
      </c>
      <c r="J1212" s="6" t="s">
        <v>4505</v>
      </c>
      <c r="K1212" s="5"/>
      <c r="L1212" s="4" t="s">
        <v>44</v>
      </c>
      <c r="M1212" s="8" t="s">
        <v>28</v>
      </c>
      <c r="N1212" s="9" t="s">
        <v>4495</v>
      </c>
      <c r="O1212" s="5"/>
      <c r="P1212" s="5"/>
      <c r="Q1212" s="6" t="s">
        <v>30</v>
      </c>
      <c r="R1212" s="4" t="s">
        <v>31</v>
      </c>
      <c r="S1212" s="7" t="s">
        <v>32</v>
      </c>
      <c r="T1212" s="5"/>
    </row>
    <row r="1213" customFormat="false" ht="29.25" hidden="false" customHeight="true" outlineLevel="0" collapsed="false">
      <c r="A1213" s="4" t="n">
        <v>1212</v>
      </c>
      <c r="B1213" s="6" t="s">
        <v>1787</v>
      </c>
      <c r="C1213" s="6" t="s">
        <v>4481</v>
      </c>
      <c r="D1213" s="6" t="s">
        <v>4482</v>
      </c>
      <c r="E1213" s="7" t="s">
        <v>21</v>
      </c>
      <c r="F1213" s="6" t="s">
        <v>4506</v>
      </c>
      <c r="G1213" s="6" t="s">
        <v>4507</v>
      </c>
      <c r="H1213" s="6" t="s">
        <v>4508</v>
      </c>
      <c r="I1213" s="6" t="s">
        <v>4509</v>
      </c>
      <c r="J1213" s="6" t="s">
        <v>4510</v>
      </c>
      <c r="K1213" s="5"/>
      <c r="L1213" s="4" t="s">
        <v>62</v>
      </c>
      <c r="M1213" s="8" t="s">
        <v>79</v>
      </c>
      <c r="N1213" s="9" t="s">
        <v>4511</v>
      </c>
      <c r="O1213" s="5"/>
      <c r="P1213" s="5"/>
      <c r="Q1213" s="6" t="s">
        <v>30</v>
      </c>
      <c r="R1213" s="4" t="s">
        <v>31</v>
      </c>
      <c r="S1213" s="7" t="s">
        <v>32</v>
      </c>
      <c r="T1213" s="5"/>
    </row>
    <row r="1214" customFormat="false" ht="29.25" hidden="false" customHeight="true" outlineLevel="0" collapsed="false">
      <c r="A1214" s="4" t="n">
        <v>1213</v>
      </c>
      <c r="B1214" s="6" t="s">
        <v>1787</v>
      </c>
      <c r="C1214" s="6" t="s">
        <v>4481</v>
      </c>
      <c r="D1214" s="6" t="s">
        <v>4482</v>
      </c>
      <c r="E1214" s="7" t="s">
        <v>21</v>
      </c>
      <c r="F1214" s="6" t="s">
        <v>4512</v>
      </c>
      <c r="G1214" s="6" t="s">
        <v>4508</v>
      </c>
      <c r="H1214" s="6" t="s">
        <v>4513</v>
      </c>
      <c r="I1214" s="6" t="s">
        <v>4514</v>
      </c>
      <c r="J1214" s="6" t="s">
        <v>4497</v>
      </c>
      <c r="K1214" s="5"/>
      <c r="L1214" s="4" t="s">
        <v>51</v>
      </c>
      <c r="M1214" s="8" t="s">
        <v>79</v>
      </c>
      <c r="N1214" s="9" t="s">
        <v>4511</v>
      </c>
      <c r="O1214" s="5"/>
      <c r="P1214" s="5"/>
      <c r="Q1214" s="6" t="s">
        <v>30</v>
      </c>
      <c r="R1214" s="4" t="s">
        <v>31</v>
      </c>
      <c r="S1214" s="7" t="s">
        <v>32</v>
      </c>
      <c r="T1214" s="5"/>
    </row>
    <row r="1215" customFormat="false" ht="43.5" hidden="false" customHeight="true" outlineLevel="0" collapsed="false">
      <c r="A1215" s="4" t="n">
        <v>1214</v>
      </c>
      <c r="B1215" s="6" t="s">
        <v>1787</v>
      </c>
      <c r="C1215" s="6" t="s">
        <v>4481</v>
      </c>
      <c r="D1215" s="6" t="s">
        <v>4482</v>
      </c>
      <c r="E1215" s="7" t="s">
        <v>21</v>
      </c>
      <c r="F1215" s="6" t="s">
        <v>4515</v>
      </c>
      <c r="G1215" s="6" t="s">
        <v>2169</v>
      </c>
      <c r="H1215" s="6" t="s">
        <v>4516</v>
      </c>
      <c r="I1215" s="6" t="s">
        <v>4517</v>
      </c>
      <c r="J1215" s="6" t="s">
        <v>4508</v>
      </c>
      <c r="K1215" s="5"/>
      <c r="L1215" s="4" t="s">
        <v>44</v>
      </c>
      <c r="M1215" s="8" t="s">
        <v>28</v>
      </c>
      <c r="N1215" s="9" t="s">
        <v>4511</v>
      </c>
      <c r="O1215" s="5"/>
      <c r="P1215" s="5"/>
      <c r="Q1215" s="6" t="s">
        <v>30</v>
      </c>
      <c r="R1215" s="4" t="s">
        <v>31</v>
      </c>
      <c r="S1215" s="7" t="s">
        <v>32</v>
      </c>
      <c r="T1215" s="5"/>
    </row>
    <row r="1216" customFormat="false" ht="43.5" hidden="false" customHeight="true" outlineLevel="0" collapsed="false">
      <c r="A1216" s="4" t="n">
        <v>1215</v>
      </c>
      <c r="B1216" s="6" t="s">
        <v>1787</v>
      </c>
      <c r="C1216" s="6" t="s">
        <v>4481</v>
      </c>
      <c r="D1216" s="6" t="s">
        <v>4482</v>
      </c>
      <c r="E1216" s="7" t="s">
        <v>21</v>
      </c>
      <c r="F1216" s="6" t="s">
        <v>4518</v>
      </c>
      <c r="G1216" s="6" t="s">
        <v>4519</v>
      </c>
      <c r="H1216" s="6" t="s">
        <v>4520</v>
      </c>
      <c r="I1216" s="6" t="s">
        <v>4521</v>
      </c>
      <c r="J1216" s="6" t="s">
        <v>4522</v>
      </c>
      <c r="K1216" s="5"/>
      <c r="L1216" s="4" t="s">
        <v>62</v>
      </c>
      <c r="M1216" s="8" t="s">
        <v>28</v>
      </c>
      <c r="N1216" s="9" t="s">
        <v>4495</v>
      </c>
      <c r="O1216" s="5"/>
      <c r="P1216" s="5"/>
      <c r="Q1216" s="6" t="s">
        <v>30</v>
      </c>
      <c r="R1216" s="4" t="s">
        <v>31</v>
      </c>
      <c r="S1216" s="7" t="s">
        <v>32</v>
      </c>
      <c r="T1216" s="5"/>
    </row>
    <row r="1217" customFormat="false" ht="43.5" hidden="false" customHeight="true" outlineLevel="0" collapsed="false">
      <c r="A1217" s="4" t="n">
        <v>1216</v>
      </c>
      <c r="B1217" s="6" t="s">
        <v>1787</v>
      </c>
      <c r="C1217" s="6" t="s">
        <v>4481</v>
      </c>
      <c r="D1217" s="6" t="s">
        <v>4482</v>
      </c>
      <c r="E1217" s="7" t="s">
        <v>21</v>
      </c>
      <c r="F1217" s="6" t="s">
        <v>4523</v>
      </c>
      <c r="G1217" s="6" t="s">
        <v>213</v>
      </c>
      <c r="H1217" s="6" t="s">
        <v>536</v>
      </c>
      <c r="I1217" s="6" t="s">
        <v>4524</v>
      </c>
      <c r="J1217" s="6" t="s">
        <v>4525</v>
      </c>
      <c r="K1217" s="5"/>
      <c r="L1217" s="4" t="s">
        <v>51</v>
      </c>
      <c r="M1217" s="8" t="s">
        <v>28</v>
      </c>
      <c r="N1217" s="9" t="s">
        <v>4526</v>
      </c>
      <c r="O1217" s="5"/>
      <c r="P1217" s="5"/>
      <c r="Q1217" s="6" t="s">
        <v>30</v>
      </c>
      <c r="R1217" s="4" t="s">
        <v>31</v>
      </c>
      <c r="S1217" s="7" t="s">
        <v>32</v>
      </c>
      <c r="T1217" s="5"/>
    </row>
    <row r="1218" customFormat="false" ht="29.25" hidden="false" customHeight="true" outlineLevel="0" collapsed="false">
      <c r="A1218" s="4" t="n">
        <v>1217</v>
      </c>
      <c r="B1218" s="6" t="s">
        <v>1787</v>
      </c>
      <c r="C1218" s="6" t="s">
        <v>4481</v>
      </c>
      <c r="D1218" s="6" t="s">
        <v>4482</v>
      </c>
      <c r="E1218" s="7" t="s">
        <v>21</v>
      </c>
      <c r="F1218" s="6" t="s">
        <v>4527</v>
      </c>
      <c r="G1218" s="6" t="s">
        <v>4528</v>
      </c>
      <c r="H1218" s="6" t="s">
        <v>4529</v>
      </c>
      <c r="I1218" s="6" t="s">
        <v>4530</v>
      </c>
      <c r="J1218" s="6" t="s">
        <v>4531</v>
      </c>
      <c r="K1218" s="5"/>
      <c r="L1218" s="4" t="s">
        <v>62</v>
      </c>
      <c r="M1218" s="8" t="s">
        <v>28</v>
      </c>
      <c r="N1218" s="9" t="s">
        <v>4495</v>
      </c>
      <c r="O1218" s="5"/>
      <c r="P1218" s="5"/>
      <c r="Q1218" s="6" t="s">
        <v>30</v>
      </c>
      <c r="R1218" s="4" t="s">
        <v>31</v>
      </c>
      <c r="S1218" s="7" t="s">
        <v>32</v>
      </c>
      <c r="T1218" s="5"/>
    </row>
    <row r="1219" customFormat="false" ht="15" hidden="false" customHeight="true" outlineLevel="0" collapsed="false">
      <c r="A1219" s="4" t="n">
        <v>1218</v>
      </c>
      <c r="B1219" s="6" t="s">
        <v>1787</v>
      </c>
      <c r="C1219" s="6" t="s">
        <v>4481</v>
      </c>
      <c r="D1219" s="6" t="s">
        <v>4482</v>
      </c>
      <c r="E1219" s="7" t="s">
        <v>21</v>
      </c>
      <c r="F1219" s="6" t="s">
        <v>4532</v>
      </c>
      <c r="G1219" s="6" t="s">
        <v>1404</v>
      </c>
      <c r="H1219" s="6" t="s">
        <v>1401</v>
      </c>
      <c r="I1219" s="6" t="s">
        <v>1405</v>
      </c>
      <c r="J1219" s="6" t="s">
        <v>4504</v>
      </c>
      <c r="K1219" s="5"/>
      <c r="L1219" s="4" t="s">
        <v>44</v>
      </c>
      <c r="M1219" s="8" t="s">
        <v>79</v>
      </c>
      <c r="N1219" s="9" t="s">
        <v>4487</v>
      </c>
      <c r="O1219" s="5"/>
      <c r="P1219" s="5"/>
      <c r="Q1219" s="6" t="s">
        <v>30</v>
      </c>
      <c r="R1219" s="4" t="s">
        <v>31</v>
      </c>
      <c r="S1219" s="7" t="s">
        <v>32</v>
      </c>
      <c r="T1219" s="5"/>
    </row>
    <row r="1220" customFormat="false" ht="29.25" hidden="false" customHeight="true" outlineLevel="0" collapsed="false">
      <c r="A1220" s="4" t="n">
        <v>1219</v>
      </c>
      <c r="B1220" s="6" t="s">
        <v>1787</v>
      </c>
      <c r="C1220" s="6" t="s">
        <v>4481</v>
      </c>
      <c r="D1220" s="6" t="s">
        <v>4482</v>
      </c>
      <c r="E1220" s="7" t="s">
        <v>21</v>
      </c>
      <c r="F1220" s="6" t="s">
        <v>4533</v>
      </c>
      <c r="G1220" s="6" t="s">
        <v>1404</v>
      </c>
      <c r="H1220" s="6" t="s">
        <v>2183</v>
      </c>
      <c r="I1220" s="6" t="s">
        <v>1405</v>
      </c>
      <c r="J1220" s="6" t="s">
        <v>4504</v>
      </c>
      <c r="K1220" s="5"/>
      <c r="L1220" s="4" t="s">
        <v>62</v>
      </c>
      <c r="M1220" s="8" t="s">
        <v>28</v>
      </c>
      <c r="N1220" s="9" t="s">
        <v>4495</v>
      </c>
      <c r="O1220" s="5"/>
      <c r="P1220" s="5"/>
      <c r="Q1220" s="6" t="s">
        <v>30</v>
      </c>
      <c r="R1220" s="4" t="s">
        <v>31</v>
      </c>
      <c r="S1220" s="7" t="s">
        <v>32</v>
      </c>
      <c r="T1220" s="5"/>
    </row>
    <row r="1221" customFormat="false" ht="29.25" hidden="false" customHeight="true" outlineLevel="0" collapsed="false">
      <c r="A1221" s="4" t="n">
        <v>1220</v>
      </c>
      <c r="B1221" s="6" t="s">
        <v>1787</v>
      </c>
      <c r="C1221" s="6" t="s">
        <v>4481</v>
      </c>
      <c r="D1221" s="6" t="s">
        <v>4482</v>
      </c>
      <c r="E1221" s="7" t="s">
        <v>21</v>
      </c>
      <c r="F1221" s="6" t="s">
        <v>4534</v>
      </c>
      <c r="G1221" s="6" t="s">
        <v>4535</v>
      </c>
      <c r="H1221" s="6" t="s">
        <v>4485</v>
      </c>
      <c r="I1221" s="6" t="s">
        <v>2433</v>
      </c>
      <c r="J1221" s="6" t="s">
        <v>4536</v>
      </c>
      <c r="K1221" s="5"/>
      <c r="L1221" s="4" t="s">
        <v>62</v>
      </c>
      <c r="M1221" s="8" t="s">
        <v>79</v>
      </c>
      <c r="N1221" s="9" t="s">
        <v>4511</v>
      </c>
      <c r="O1221" s="5"/>
      <c r="P1221" s="5"/>
      <c r="Q1221" s="6" t="s">
        <v>30</v>
      </c>
      <c r="R1221" s="4" t="s">
        <v>31</v>
      </c>
      <c r="S1221" s="7" t="s">
        <v>32</v>
      </c>
      <c r="T1221" s="5"/>
    </row>
    <row r="1222" customFormat="false" ht="15" hidden="false" customHeight="true" outlineLevel="0" collapsed="false">
      <c r="A1222" s="4" t="n">
        <v>1221</v>
      </c>
      <c r="B1222" s="6" t="s">
        <v>1787</v>
      </c>
      <c r="C1222" s="6" t="s">
        <v>4481</v>
      </c>
      <c r="D1222" s="6" t="s">
        <v>4482</v>
      </c>
      <c r="E1222" s="7" t="s">
        <v>21</v>
      </c>
      <c r="F1222" s="6" t="s">
        <v>4537</v>
      </c>
      <c r="G1222" s="6" t="s">
        <v>4538</v>
      </c>
      <c r="H1222" s="6" t="s">
        <v>4539</v>
      </c>
      <c r="I1222" s="6" t="s">
        <v>4540</v>
      </c>
      <c r="J1222" s="6" t="s">
        <v>4541</v>
      </c>
      <c r="K1222" s="5"/>
      <c r="L1222" s="4" t="s">
        <v>27</v>
      </c>
      <c r="M1222" s="8" t="s">
        <v>129</v>
      </c>
      <c r="N1222" s="9" t="s">
        <v>4495</v>
      </c>
      <c r="O1222" s="5"/>
      <c r="P1222" s="5"/>
      <c r="Q1222" s="6" t="s">
        <v>30</v>
      </c>
      <c r="R1222" s="4" t="s">
        <v>31</v>
      </c>
      <c r="S1222" s="7" t="s">
        <v>32</v>
      </c>
      <c r="T1222" s="5"/>
    </row>
    <row r="1223" customFormat="false" ht="43.5" hidden="false" customHeight="true" outlineLevel="0" collapsed="false">
      <c r="A1223" s="4" t="n">
        <v>1222</v>
      </c>
      <c r="B1223" s="6" t="s">
        <v>1787</v>
      </c>
      <c r="C1223" s="6" t="s">
        <v>4481</v>
      </c>
      <c r="D1223" s="6" t="s">
        <v>4482</v>
      </c>
      <c r="E1223" s="7" t="s">
        <v>21</v>
      </c>
      <c r="F1223" s="6" t="s">
        <v>4542</v>
      </c>
      <c r="G1223" s="6" t="s">
        <v>4543</v>
      </c>
      <c r="H1223" s="6" t="s">
        <v>4544</v>
      </c>
      <c r="I1223" s="6" t="s">
        <v>4545</v>
      </c>
      <c r="J1223" s="6" t="s">
        <v>322</v>
      </c>
      <c r="K1223" s="5"/>
      <c r="L1223" s="4" t="s">
        <v>51</v>
      </c>
      <c r="M1223" s="8" t="s">
        <v>28</v>
      </c>
      <c r="N1223" s="9" t="s">
        <v>4495</v>
      </c>
      <c r="O1223" s="5"/>
      <c r="P1223" s="5"/>
      <c r="Q1223" s="6" t="s">
        <v>30</v>
      </c>
      <c r="R1223" s="4" t="s">
        <v>31</v>
      </c>
      <c r="S1223" s="7" t="s">
        <v>32</v>
      </c>
      <c r="T1223" s="5"/>
    </row>
    <row r="1224" customFormat="false" ht="43.5" hidden="false" customHeight="true" outlineLevel="0" collapsed="false">
      <c r="A1224" s="4" t="n">
        <v>1223</v>
      </c>
      <c r="B1224" s="6" t="s">
        <v>1787</v>
      </c>
      <c r="C1224" s="6" t="s">
        <v>4481</v>
      </c>
      <c r="D1224" s="6" t="s">
        <v>4482</v>
      </c>
      <c r="E1224" s="7" t="s">
        <v>21</v>
      </c>
      <c r="F1224" s="6" t="s">
        <v>4546</v>
      </c>
      <c r="G1224" s="6" t="s">
        <v>1982</v>
      </c>
      <c r="H1224" s="6" t="s">
        <v>4547</v>
      </c>
      <c r="I1224" s="6" t="s">
        <v>1400</v>
      </c>
      <c r="J1224" s="6" t="s">
        <v>1401</v>
      </c>
      <c r="K1224" s="5"/>
      <c r="L1224" s="4" t="s">
        <v>62</v>
      </c>
      <c r="M1224" s="8" t="s">
        <v>28</v>
      </c>
      <c r="N1224" s="9" t="s">
        <v>4495</v>
      </c>
      <c r="O1224" s="5"/>
      <c r="P1224" s="5"/>
      <c r="Q1224" s="6" t="s">
        <v>30</v>
      </c>
      <c r="R1224" s="4" t="s">
        <v>31</v>
      </c>
      <c r="S1224" s="7" t="s">
        <v>32</v>
      </c>
      <c r="T1224" s="5"/>
    </row>
    <row r="1225" customFormat="false" ht="29.25" hidden="false" customHeight="true" outlineLevel="0" collapsed="false">
      <c r="A1225" s="4" t="n">
        <v>1224</v>
      </c>
      <c r="B1225" s="6" t="s">
        <v>1787</v>
      </c>
      <c r="C1225" s="6" t="s">
        <v>4481</v>
      </c>
      <c r="D1225" s="6" t="s">
        <v>4482</v>
      </c>
      <c r="E1225" s="7" t="s">
        <v>21</v>
      </c>
      <c r="F1225" s="6" t="s">
        <v>4548</v>
      </c>
      <c r="G1225" s="6" t="s">
        <v>4497</v>
      </c>
      <c r="H1225" s="6" t="s">
        <v>2169</v>
      </c>
      <c r="I1225" s="6" t="s">
        <v>4549</v>
      </c>
      <c r="J1225" s="6" t="s">
        <v>4550</v>
      </c>
      <c r="K1225" s="5"/>
      <c r="L1225" s="4" t="s">
        <v>51</v>
      </c>
      <c r="M1225" s="8" t="s">
        <v>28</v>
      </c>
      <c r="N1225" s="9" t="s">
        <v>4495</v>
      </c>
      <c r="O1225" s="5"/>
      <c r="P1225" s="5"/>
      <c r="Q1225" s="6" t="s">
        <v>30</v>
      </c>
      <c r="R1225" s="4" t="s">
        <v>31</v>
      </c>
      <c r="S1225" s="7" t="s">
        <v>32</v>
      </c>
      <c r="T1225" s="5"/>
    </row>
    <row r="1226" customFormat="false" ht="15" hidden="false" customHeight="true" outlineLevel="0" collapsed="false">
      <c r="A1226" s="4" t="n">
        <v>1225</v>
      </c>
      <c r="B1226" s="6" t="s">
        <v>1787</v>
      </c>
      <c r="C1226" s="6" t="s">
        <v>4481</v>
      </c>
      <c r="D1226" s="6" t="s">
        <v>4482</v>
      </c>
      <c r="E1226" s="7" t="s">
        <v>21</v>
      </c>
      <c r="F1226" s="6" t="s">
        <v>4551</v>
      </c>
      <c r="G1226" s="6" t="s">
        <v>1400</v>
      </c>
      <c r="H1226" s="6" t="s">
        <v>1921</v>
      </c>
      <c r="I1226" s="6" t="s">
        <v>876</v>
      </c>
      <c r="J1226" s="6" t="s">
        <v>1405</v>
      </c>
      <c r="K1226" s="5"/>
      <c r="L1226" s="4" t="s">
        <v>62</v>
      </c>
      <c r="M1226" s="8" t="s">
        <v>129</v>
      </c>
      <c r="N1226" s="9" t="s">
        <v>4495</v>
      </c>
      <c r="O1226" s="5"/>
      <c r="P1226" s="5"/>
      <c r="Q1226" s="6" t="s">
        <v>30</v>
      </c>
      <c r="R1226" s="4" t="s">
        <v>31</v>
      </c>
      <c r="S1226" s="7" t="s">
        <v>32</v>
      </c>
      <c r="T1226" s="5"/>
    </row>
    <row r="1227" customFormat="false" ht="29.25" hidden="false" customHeight="true" outlineLevel="0" collapsed="false">
      <c r="A1227" s="4" t="n">
        <v>1226</v>
      </c>
      <c r="B1227" s="6" t="s">
        <v>1787</v>
      </c>
      <c r="C1227" s="6" t="s">
        <v>4481</v>
      </c>
      <c r="D1227" s="6" t="s">
        <v>4482</v>
      </c>
      <c r="E1227" s="7" t="s">
        <v>21</v>
      </c>
      <c r="F1227" s="6" t="s">
        <v>4552</v>
      </c>
      <c r="G1227" s="6" t="s">
        <v>4553</v>
      </c>
      <c r="H1227" s="6" t="s">
        <v>4554</v>
      </c>
      <c r="I1227" s="6" t="s">
        <v>4555</v>
      </c>
      <c r="J1227" s="6" t="s">
        <v>4556</v>
      </c>
      <c r="K1227" s="5"/>
      <c r="L1227" s="4" t="s">
        <v>27</v>
      </c>
      <c r="M1227" s="8" t="s">
        <v>79</v>
      </c>
      <c r="N1227" s="9" t="s">
        <v>4495</v>
      </c>
      <c r="O1227" s="5"/>
      <c r="P1227" s="5"/>
      <c r="Q1227" s="6" t="s">
        <v>30</v>
      </c>
      <c r="R1227" s="4" t="s">
        <v>31</v>
      </c>
      <c r="S1227" s="7" t="s">
        <v>32</v>
      </c>
      <c r="T1227" s="5"/>
    </row>
    <row r="1228" customFormat="false" ht="29.25" hidden="false" customHeight="true" outlineLevel="0" collapsed="false">
      <c r="A1228" s="4" t="n">
        <v>1227</v>
      </c>
      <c r="B1228" s="6" t="s">
        <v>1787</v>
      </c>
      <c r="C1228" s="6" t="s">
        <v>4481</v>
      </c>
      <c r="D1228" s="6" t="s">
        <v>4482</v>
      </c>
      <c r="E1228" s="7" t="s">
        <v>21</v>
      </c>
      <c r="F1228" s="6" t="s">
        <v>4557</v>
      </c>
      <c r="G1228" s="6" t="s">
        <v>4558</v>
      </c>
      <c r="H1228" s="6" t="s">
        <v>4559</v>
      </c>
      <c r="I1228" s="6" t="s">
        <v>4560</v>
      </c>
      <c r="J1228" s="6" t="s">
        <v>4561</v>
      </c>
      <c r="K1228" s="5"/>
      <c r="L1228" s="4" t="s">
        <v>51</v>
      </c>
      <c r="M1228" s="8" t="s">
        <v>79</v>
      </c>
      <c r="N1228" s="9" t="s">
        <v>4495</v>
      </c>
      <c r="O1228" s="5"/>
      <c r="P1228" s="5"/>
      <c r="Q1228" s="6" t="s">
        <v>30</v>
      </c>
      <c r="R1228" s="4" t="s">
        <v>31</v>
      </c>
      <c r="S1228" s="7" t="s">
        <v>32</v>
      </c>
      <c r="T1228" s="5"/>
    </row>
    <row r="1229" customFormat="false" ht="43.5" hidden="false" customHeight="true" outlineLevel="0" collapsed="false">
      <c r="A1229" s="4" t="n">
        <v>1228</v>
      </c>
      <c r="B1229" s="6" t="s">
        <v>1787</v>
      </c>
      <c r="C1229" s="6" t="s">
        <v>4481</v>
      </c>
      <c r="D1229" s="6" t="s">
        <v>4482</v>
      </c>
      <c r="E1229" s="7" t="s">
        <v>21</v>
      </c>
      <c r="F1229" s="6" t="s">
        <v>4562</v>
      </c>
      <c r="G1229" s="6" t="s">
        <v>4563</v>
      </c>
      <c r="H1229" s="6" t="s">
        <v>4564</v>
      </c>
      <c r="I1229" s="6" t="s">
        <v>4565</v>
      </c>
      <c r="J1229" s="6" t="s">
        <v>4566</v>
      </c>
      <c r="K1229" s="5"/>
      <c r="L1229" s="4" t="s">
        <v>27</v>
      </c>
      <c r="M1229" s="8" t="s">
        <v>28</v>
      </c>
      <c r="N1229" s="9" t="s">
        <v>4495</v>
      </c>
      <c r="O1229" s="5"/>
      <c r="P1229" s="5"/>
      <c r="Q1229" s="6" t="s">
        <v>30</v>
      </c>
      <c r="R1229" s="4" t="s">
        <v>31</v>
      </c>
      <c r="S1229" s="7" t="s">
        <v>32</v>
      </c>
      <c r="T1229" s="5"/>
    </row>
    <row r="1230" customFormat="false" ht="29.25" hidden="false" customHeight="true" outlineLevel="0" collapsed="false">
      <c r="A1230" s="4" t="n">
        <v>1229</v>
      </c>
      <c r="B1230" s="6" t="s">
        <v>1787</v>
      </c>
      <c r="C1230" s="6" t="s">
        <v>4481</v>
      </c>
      <c r="D1230" s="6" t="s">
        <v>4482</v>
      </c>
      <c r="E1230" s="7" t="s">
        <v>21</v>
      </c>
      <c r="F1230" s="6" t="s">
        <v>4567</v>
      </c>
      <c r="G1230" s="6" t="s">
        <v>128</v>
      </c>
      <c r="H1230" s="6" t="s">
        <v>4568</v>
      </c>
      <c r="I1230" s="6" t="s">
        <v>4569</v>
      </c>
      <c r="J1230" s="6" t="s">
        <v>150</v>
      </c>
      <c r="K1230" s="5"/>
      <c r="L1230" s="4" t="s">
        <v>27</v>
      </c>
      <c r="M1230" s="8" t="s">
        <v>79</v>
      </c>
      <c r="N1230" s="9" t="s">
        <v>4495</v>
      </c>
      <c r="O1230" s="5"/>
      <c r="P1230" s="5"/>
      <c r="Q1230" s="6" t="s">
        <v>30</v>
      </c>
      <c r="R1230" s="4" t="s">
        <v>31</v>
      </c>
      <c r="S1230" s="7" t="s">
        <v>32</v>
      </c>
      <c r="T1230" s="5"/>
    </row>
    <row r="1231" customFormat="false" ht="29.25" hidden="false" customHeight="true" outlineLevel="0" collapsed="false">
      <c r="A1231" s="4" t="n">
        <v>1230</v>
      </c>
      <c r="B1231" s="6" t="s">
        <v>1787</v>
      </c>
      <c r="C1231" s="6" t="s">
        <v>4481</v>
      </c>
      <c r="D1231" s="6" t="s">
        <v>4482</v>
      </c>
      <c r="E1231" s="7" t="s">
        <v>21</v>
      </c>
      <c r="F1231" s="6" t="s">
        <v>4570</v>
      </c>
      <c r="G1231" s="6" t="s">
        <v>4571</v>
      </c>
      <c r="H1231" s="6" t="s">
        <v>4572</v>
      </c>
      <c r="I1231" s="6" t="s">
        <v>4573</v>
      </c>
      <c r="J1231" s="6" t="s">
        <v>4574</v>
      </c>
      <c r="K1231" s="5"/>
      <c r="L1231" s="4" t="s">
        <v>27</v>
      </c>
      <c r="M1231" s="8" t="s">
        <v>129</v>
      </c>
      <c r="N1231" s="9" t="s">
        <v>4495</v>
      </c>
      <c r="O1231" s="5"/>
      <c r="P1231" s="5"/>
      <c r="Q1231" s="6" t="s">
        <v>30</v>
      </c>
      <c r="R1231" s="4" t="s">
        <v>31</v>
      </c>
      <c r="S1231" s="7" t="s">
        <v>32</v>
      </c>
      <c r="T1231" s="5"/>
    </row>
    <row r="1232" customFormat="false" ht="57.75" hidden="false" customHeight="true" outlineLevel="0" collapsed="false">
      <c r="A1232" s="4" t="n">
        <v>1231</v>
      </c>
      <c r="B1232" s="6" t="s">
        <v>1787</v>
      </c>
      <c r="C1232" s="6" t="s">
        <v>4481</v>
      </c>
      <c r="D1232" s="6" t="s">
        <v>4482</v>
      </c>
      <c r="E1232" s="7" t="s">
        <v>21</v>
      </c>
      <c r="F1232" s="6" t="s">
        <v>4575</v>
      </c>
      <c r="G1232" s="6" t="s">
        <v>4576</v>
      </c>
      <c r="H1232" s="6" t="s">
        <v>4577</v>
      </c>
      <c r="I1232" s="6" t="s">
        <v>4578</v>
      </c>
      <c r="J1232" s="6" t="s">
        <v>4579</v>
      </c>
      <c r="K1232" s="5"/>
      <c r="L1232" s="4" t="s">
        <v>44</v>
      </c>
      <c r="M1232" s="8" t="s">
        <v>28</v>
      </c>
      <c r="N1232" s="9" t="s">
        <v>4495</v>
      </c>
      <c r="O1232" s="5"/>
      <c r="P1232" s="5"/>
      <c r="Q1232" s="6" t="s">
        <v>30</v>
      </c>
      <c r="R1232" s="4" t="s">
        <v>31</v>
      </c>
      <c r="S1232" s="7" t="s">
        <v>32</v>
      </c>
      <c r="T1232" s="5"/>
    </row>
    <row r="1233" customFormat="false" ht="43.5" hidden="false" customHeight="true" outlineLevel="0" collapsed="false">
      <c r="A1233" s="4" t="n">
        <v>1232</v>
      </c>
      <c r="B1233" s="6" t="s">
        <v>1787</v>
      </c>
      <c r="C1233" s="6" t="s">
        <v>4481</v>
      </c>
      <c r="D1233" s="6" t="s">
        <v>4482</v>
      </c>
      <c r="E1233" s="7" t="s">
        <v>21</v>
      </c>
      <c r="F1233" s="6" t="s">
        <v>3032</v>
      </c>
      <c r="G1233" s="6" t="s">
        <v>4580</v>
      </c>
      <c r="H1233" s="6" t="s">
        <v>4581</v>
      </c>
      <c r="I1233" s="6" t="s">
        <v>4582</v>
      </c>
      <c r="J1233" s="6" t="s">
        <v>4583</v>
      </c>
      <c r="K1233" s="5"/>
      <c r="L1233" s="4" t="s">
        <v>27</v>
      </c>
      <c r="M1233" s="8" t="s">
        <v>79</v>
      </c>
      <c r="N1233" s="9" t="s">
        <v>4495</v>
      </c>
      <c r="O1233" s="5"/>
      <c r="P1233" s="5"/>
      <c r="Q1233" s="6" t="s">
        <v>30</v>
      </c>
      <c r="R1233" s="4" t="s">
        <v>31</v>
      </c>
      <c r="S1233" s="7" t="s">
        <v>32</v>
      </c>
      <c r="T1233" s="5"/>
    </row>
    <row r="1234" customFormat="false" ht="43.5" hidden="false" customHeight="true" outlineLevel="0" collapsed="false">
      <c r="A1234" s="4" t="n">
        <v>1233</v>
      </c>
      <c r="B1234" s="6" t="s">
        <v>1787</v>
      </c>
      <c r="C1234" s="6" t="s">
        <v>4481</v>
      </c>
      <c r="D1234" s="6" t="s">
        <v>4482</v>
      </c>
      <c r="E1234" s="7" t="s">
        <v>21</v>
      </c>
      <c r="F1234" s="6" t="s">
        <v>4584</v>
      </c>
      <c r="G1234" s="6" t="s">
        <v>4585</v>
      </c>
      <c r="H1234" s="6" t="s">
        <v>4586</v>
      </c>
      <c r="I1234" s="6" t="s">
        <v>4587</v>
      </c>
      <c r="J1234" s="6" t="s">
        <v>4588</v>
      </c>
      <c r="K1234" s="5"/>
      <c r="L1234" s="4" t="s">
        <v>51</v>
      </c>
      <c r="M1234" s="8" t="s">
        <v>28</v>
      </c>
      <c r="N1234" s="9" t="s">
        <v>4495</v>
      </c>
      <c r="O1234" s="5"/>
      <c r="P1234" s="5"/>
      <c r="Q1234" s="6" t="s">
        <v>30</v>
      </c>
      <c r="R1234" s="4" t="s">
        <v>31</v>
      </c>
      <c r="S1234" s="7" t="s">
        <v>32</v>
      </c>
      <c r="T1234" s="5"/>
    </row>
    <row r="1235" customFormat="false" ht="15" hidden="false" customHeight="true" outlineLevel="0" collapsed="false">
      <c r="A1235" s="4" t="n">
        <v>1234</v>
      </c>
      <c r="B1235" s="6" t="s">
        <v>1787</v>
      </c>
      <c r="C1235" s="6" t="s">
        <v>4481</v>
      </c>
      <c r="D1235" s="6" t="s">
        <v>4482</v>
      </c>
      <c r="E1235" s="7" t="s">
        <v>21</v>
      </c>
      <c r="F1235" s="6" t="s">
        <v>4589</v>
      </c>
      <c r="G1235" s="6" t="s">
        <v>4590</v>
      </c>
      <c r="H1235" s="6" t="s">
        <v>4591</v>
      </c>
      <c r="I1235" s="6" t="s">
        <v>127</v>
      </c>
      <c r="J1235" s="6" t="s">
        <v>150</v>
      </c>
      <c r="K1235" s="5"/>
      <c r="L1235" s="4" t="s">
        <v>27</v>
      </c>
      <c r="M1235" s="8" t="s">
        <v>79</v>
      </c>
      <c r="N1235" s="9" t="s">
        <v>4495</v>
      </c>
      <c r="O1235" s="5"/>
      <c r="P1235" s="5"/>
      <c r="Q1235" s="6" t="s">
        <v>30</v>
      </c>
      <c r="R1235" s="4" t="s">
        <v>31</v>
      </c>
      <c r="S1235" s="7" t="s">
        <v>32</v>
      </c>
      <c r="T1235" s="5"/>
    </row>
    <row r="1236" customFormat="false" ht="29.25" hidden="false" customHeight="true" outlineLevel="0" collapsed="false">
      <c r="A1236" s="4" t="n">
        <v>1235</v>
      </c>
      <c r="B1236" s="6" t="s">
        <v>1787</v>
      </c>
      <c r="C1236" s="6" t="s">
        <v>4481</v>
      </c>
      <c r="D1236" s="6" t="s">
        <v>4482</v>
      </c>
      <c r="E1236" s="7" t="s">
        <v>21</v>
      </c>
      <c r="F1236" s="6" t="s">
        <v>4592</v>
      </c>
      <c r="G1236" s="6" t="s">
        <v>127</v>
      </c>
      <c r="H1236" s="6" t="s">
        <v>4593</v>
      </c>
      <c r="I1236" s="6" t="s">
        <v>4594</v>
      </c>
      <c r="J1236" s="6" t="s">
        <v>150</v>
      </c>
      <c r="K1236" s="5"/>
      <c r="L1236" s="4" t="s">
        <v>27</v>
      </c>
      <c r="M1236" s="8" t="s">
        <v>79</v>
      </c>
      <c r="N1236" s="9" t="s">
        <v>4495</v>
      </c>
      <c r="O1236" s="5"/>
      <c r="P1236" s="5"/>
      <c r="Q1236" s="6" t="s">
        <v>30</v>
      </c>
      <c r="R1236" s="4" t="s">
        <v>31</v>
      </c>
      <c r="S1236" s="7" t="s">
        <v>32</v>
      </c>
      <c r="T1236" s="5"/>
    </row>
    <row r="1237" customFormat="false" ht="29.25" hidden="false" customHeight="true" outlineLevel="0" collapsed="false">
      <c r="A1237" s="4" t="n">
        <v>1236</v>
      </c>
      <c r="B1237" s="6" t="s">
        <v>1787</v>
      </c>
      <c r="C1237" s="6" t="s">
        <v>4481</v>
      </c>
      <c r="D1237" s="6" t="s">
        <v>4482</v>
      </c>
      <c r="E1237" s="7" t="s">
        <v>21</v>
      </c>
      <c r="F1237" s="6" t="s">
        <v>4595</v>
      </c>
      <c r="G1237" s="6" t="s">
        <v>4596</v>
      </c>
      <c r="H1237" s="6" t="s">
        <v>4597</v>
      </c>
      <c r="I1237" s="6" t="s">
        <v>4598</v>
      </c>
      <c r="J1237" s="6" t="s">
        <v>4599</v>
      </c>
      <c r="K1237" s="5"/>
      <c r="L1237" s="4" t="s">
        <v>27</v>
      </c>
      <c r="M1237" s="8" t="s">
        <v>79</v>
      </c>
      <c r="N1237" s="9" t="s">
        <v>4600</v>
      </c>
      <c r="O1237" s="5"/>
      <c r="P1237" s="5"/>
      <c r="Q1237" s="6" t="s">
        <v>30</v>
      </c>
      <c r="R1237" s="4" t="s">
        <v>31</v>
      </c>
      <c r="S1237" s="7" t="s">
        <v>32</v>
      </c>
      <c r="T1237" s="5"/>
    </row>
    <row r="1238" customFormat="false" ht="15" hidden="false" customHeight="true" outlineLevel="0" collapsed="false">
      <c r="A1238" s="4" t="n">
        <v>1237</v>
      </c>
      <c r="B1238" s="6" t="s">
        <v>1787</v>
      </c>
      <c r="C1238" s="6" t="s">
        <v>4481</v>
      </c>
      <c r="D1238" s="6" t="s">
        <v>4482</v>
      </c>
      <c r="E1238" s="7" t="s">
        <v>21</v>
      </c>
      <c r="F1238" s="6" t="s">
        <v>4601</v>
      </c>
      <c r="G1238" s="5" t="s">
        <v>4602</v>
      </c>
      <c r="H1238" s="5" t="s">
        <v>4603</v>
      </c>
      <c r="I1238" s="5" t="s">
        <v>349</v>
      </c>
      <c r="J1238" s="6" t="s">
        <v>150</v>
      </c>
      <c r="K1238" s="5"/>
      <c r="L1238" s="4" t="s">
        <v>44</v>
      </c>
      <c r="M1238" s="8" t="s">
        <v>79</v>
      </c>
      <c r="N1238" s="9" t="s">
        <v>4495</v>
      </c>
      <c r="O1238" s="5"/>
      <c r="P1238" s="5"/>
      <c r="Q1238" s="6" t="s">
        <v>30</v>
      </c>
      <c r="R1238" s="4" t="s">
        <v>31</v>
      </c>
      <c r="S1238" s="7" t="s">
        <v>32</v>
      </c>
      <c r="T1238" s="5"/>
    </row>
    <row r="1239" customFormat="false" ht="15" hidden="false" customHeight="true" outlineLevel="0" collapsed="false">
      <c r="A1239" s="4" t="n">
        <v>1238</v>
      </c>
      <c r="B1239" s="6" t="s">
        <v>1787</v>
      </c>
      <c r="C1239" s="6" t="s">
        <v>4481</v>
      </c>
      <c r="D1239" s="6" t="s">
        <v>4482</v>
      </c>
      <c r="E1239" s="7" t="s">
        <v>21</v>
      </c>
      <c r="F1239" s="6" t="s">
        <v>4604</v>
      </c>
      <c r="G1239" s="5" t="s">
        <v>4602</v>
      </c>
      <c r="H1239" s="5" t="s">
        <v>4605</v>
      </c>
      <c r="I1239" s="5" t="s">
        <v>349</v>
      </c>
      <c r="J1239" s="5" t="s">
        <v>4606</v>
      </c>
      <c r="K1239" s="5"/>
      <c r="L1239" s="4" t="s">
        <v>44</v>
      </c>
      <c r="M1239" s="8" t="s">
        <v>129</v>
      </c>
      <c r="N1239" s="9" t="s">
        <v>4495</v>
      </c>
      <c r="O1239" s="5"/>
      <c r="P1239" s="5"/>
      <c r="Q1239" s="6" t="s">
        <v>30</v>
      </c>
      <c r="R1239" s="4" t="s">
        <v>31</v>
      </c>
      <c r="S1239" s="7" t="s">
        <v>32</v>
      </c>
      <c r="T1239" s="5"/>
    </row>
    <row r="1240" customFormat="false" ht="29.25" hidden="false" customHeight="true" outlineLevel="0" collapsed="false">
      <c r="A1240" s="4" t="n">
        <v>1239</v>
      </c>
      <c r="B1240" s="6" t="s">
        <v>1787</v>
      </c>
      <c r="C1240" s="6" t="s">
        <v>4481</v>
      </c>
      <c r="D1240" s="6" t="s">
        <v>4482</v>
      </c>
      <c r="E1240" s="7" t="s">
        <v>21</v>
      </c>
      <c r="F1240" s="6" t="s">
        <v>4607</v>
      </c>
      <c r="G1240" s="5" t="s">
        <v>4602</v>
      </c>
      <c r="H1240" s="5" t="s">
        <v>4603</v>
      </c>
      <c r="I1240" s="5" t="s">
        <v>349</v>
      </c>
      <c r="J1240" s="6" t="s">
        <v>150</v>
      </c>
      <c r="K1240" s="5"/>
      <c r="L1240" s="4" t="s">
        <v>44</v>
      </c>
      <c r="M1240" s="8" t="s">
        <v>28</v>
      </c>
      <c r="N1240" s="9" t="s">
        <v>4511</v>
      </c>
      <c r="O1240" s="5"/>
      <c r="P1240" s="5"/>
      <c r="Q1240" s="6" t="s">
        <v>30</v>
      </c>
      <c r="R1240" s="4" t="s">
        <v>31</v>
      </c>
      <c r="S1240" s="7" t="s">
        <v>32</v>
      </c>
      <c r="T1240" s="5"/>
    </row>
    <row r="1241" customFormat="false" ht="43.5" hidden="false" customHeight="true" outlineLevel="0" collapsed="false">
      <c r="A1241" s="4" t="n">
        <v>1240</v>
      </c>
      <c r="B1241" s="6" t="s">
        <v>1787</v>
      </c>
      <c r="C1241" s="6" t="s">
        <v>4481</v>
      </c>
      <c r="D1241" s="6" t="s">
        <v>4482</v>
      </c>
      <c r="E1241" s="7" t="s">
        <v>21</v>
      </c>
      <c r="F1241" s="6" t="s">
        <v>4608</v>
      </c>
      <c r="G1241" s="5" t="s">
        <v>158</v>
      </c>
      <c r="H1241" s="5" t="s">
        <v>159</v>
      </c>
      <c r="I1241" s="5" t="s">
        <v>160</v>
      </c>
      <c r="J1241" s="5" t="s">
        <v>4609</v>
      </c>
      <c r="K1241" s="5"/>
      <c r="L1241" s="4" t="s">
        <v>62</v>
      </c>
      <c r="M1241" s="8" t="s">
        <v>28</v>
      </c>
      <c r="N1241" s="9" t="s">
        <v>4487</v>
      </c>
      <c r="O1241" s="5"/>
      <c r="P1241" s="5"/>
      <c r="Q1241" s="6" t="s">
        <v>30</v>
      </c>
      <c r="R1241" s="4" t="s">
        <v>31</v>
      </c>
      <c r="S1241" s="7" t="s">
        <v>32</v>
      </c>
      <c r="T1241" s="5"/>
    </row>
    <row r="1242" customFormat="false" ht="29.25" hidden="false" customHeight="true" outlineLevel="0" collapsed="false">
      <c r="A1242" s="4" t="n">
        <v>1241</v>
      </c>
      <c r="B1242" s="6" t="s">
        <v>1787</v>
      </c>
      <c r="C1242" s="6" t="s">
        <v>4481</v>
      </c>
      <c r="D1242" s="6" t="s">
        <v>4482</v>
      </c>
      <c r="E1242" s="7" t="s">
        <v>21</v>
      </c>
      <c r="F1242" s="6" t="s">
        <v>4610</v>
      </c>
      <c r="G1242" s="6" t="s">
        <v>1244</v>
      </c>
      <c r="H1242" s="6" t="s">
        <v>213</v>
      </c>
      <c r="I1242" s="6" t="s">
        <v>4611</v>
      </c>
      <c r="J1242" s="6" t="s">
        <v>535</v>
      </c>
      <c r="K1242" s="5"/>
      <c r="L1242" s="4" t="s">
        <v>62</v>
      </c>
      <c r="M1242" s="8" t="s">
        <v>79</v>
      </c>
      <c r="N1242" s="9" t="s">
        <v>4511</v>
      </c>
      <c r="O1242" s="5"/>
      <c r="P1242" s="5"/>
      <c r="Q1242" s="6" t="s">
        <v>30</v>
      </c>
      <c r="R1242" s="4" t="s">
        <v>31</v>
      </c>
      <c r="S1242" s="7" t="s">
        <v>32</v>
      </c>
      <c r="T1242" s="5"/>
    </row>
    <row r="1243" customFormat="false" ht="29.25" hidden="false" customHeight="true" outlineLevel="0" collapsed="false">
      <c r="A1243" s="4" t="n">
        <v>1242</v>
      </c>
      <c r="B1243" s="6" t="s">
        <v>1787</v>
      </c>
      <c r="C1243" s="6" t="s">
        <v>4481</v>
      </c>
      <c r="D1243" s="6" t="s">
        <v>4482</v>
      </c>
      <c r="E1243" s="7" t="s">
        <v>21</v>
      </c>
      <c r="F1243" s="6" t="s">
        <v>4612</v>
      </c>
      <c r="G1243" s="6" t="s">
        <v>4613</v>
      </c>
      <c r="H1243" s="6" t="s">
        <v>4614</v>
      </c>
      <c r="I1243" s="6" t="s">
        <v>4615</v>
      </c>
      <c r="J1243" s="6" t="s">
        <v>78</v>
      </c>
      <c r="K1243" s="5"/>
      <c r="L1243" s="4" t="s">
        <v>44</v>
      </c>
      <c r="M1243" s="8" t="s">
        <v>28</v>
      </c>
      <c r="N1243" s="9" t="s">
        <v>4511</v>
      </c>
      <c r="O1243" s="5"/>
      <c r="P1243" s="5"/>
      <c r="Q1243" s="6" t="s">
        <v>30</v>
      </c>
      <c r="R1243" s="4" t="s">
        <v>31</v>
      </c>
      <c r="S1243" s="7" t="s">
        <v>32</v>
      </c>
      <c r="T1243" s="5"/>
    </row>
    <row r="1244" customFormat="false" ht="57.75" hidden="false" customHeight="true" outlineLevel="0" collapsed="false">
      <c r="A1244" s="4" t="n">
        <v>1243</v>
      </c>
      <c r="B1244" s="6" t="s">
        <v>1787</v>
      </c>
      <c r="C1244" s="6" t="s">
        <v>4481</v>
      </c>
      <c r="D1244" s="6" t="s">
        <v>4482</v>
      </c>
      <c r="E1244" s="7" t="s">
        <v>21</v>
      </c>
      <c r="F1244" s="6" t="s">
        <v>4616</v>
      </c>
      <c r="G1244" s="6" t="s">
        <v>4617</v>
      </c>
      <c r="H1244" s="6" t="s">
        <v>4618</v>
      </c>
      <c r="I1244" s="6" t="s">
        <v>4619</v>
      </c>
      <c r="J1244" s="6" t="s">
        <v>78</v>
      </c>
      <c r="K1244" s="5"/>
      <c r="L1244" s="4" t="s">
        <v>44</v>
      </c>
      <c r="M1244" s="8" t="s">
        <v>28</v>
      </c>
      <c r="N1244" s="9" t="s">
        <v>4495</v>
      </c>
      <c r="O1244" s="5"/>
      <c r="P1244" s="5"/>
      <c r="Q1244" s="6" t="s">
        <v>30</v>
      </c>
      <c r="R1244" s="4" t="s">
        <v>31</v>
      </c>
      <c r="S1244" s="7" t="s">
        <v>32</v>
      </c>
      <c r="T1244" s="5"/>
    </row>
    <row r="1245" customFormat="false" ht="43.5" hidden="false" customHeight="true" outlineLevel="0" collapsed="false">
      <c r="A1245" s="4" t="n">
        <v>1244</v>
      </c>
      <c r="B1245" s="6" t="s">
        <v>1787</v>
      </c>
      <c r="C1245" s="6" t="s">
        <v>4481</v>
      </c>
      <c r="D1245" s="6" t="s">
        <v>4482</v>
      </c>
      <c r="E1245" s="7" t="s">
        <v>21</v>
      </c>
      <c r="F1245" s="6" t="s">
        <v>4620</v>
      </c>
      <c r="G1245" s="6" t="s">
        <v>4621</v>
      </c>
      <c r="H1245" s="6" t="s">
        <v>210</v>
      </c>
      <c r="I1245" s="6" t="s">
        <v>4622</v>
      </c>
      <c r="J1245" s="6" t="s">
        <v>3444</v>
      </c>
      <c r="K1245" s="5"/>
      <c r="L1245" s="4" t="s">
        <v>27</v>
      </c>
      <c r="M1245" s="8" t="s">
        <v>28</v>
      </c>
      <c r="N1245" s="9" t="s">
        <v>4511</v>
      </c>
      <c r="O1245" s="5"/>
      <c r="P1245" s="5"/>
      <c r="Q1245" s="6" t="s">
        <v>30</v>
      </c>
      <c r="R1245" s="4" t="s">
        <v>31</v>
      </c>
      <c r="S1245" s="7" t="s">
        <v>32</v>
      </c>
      <c r="T1245" s="5"/>
    </row>
    <row r="1246" customFormat="false" ht="29.25" hidden="false" customHeight="true" outlineLevel="0" collapsed="false">
      <c r="A1246" s="4" t="n">
        <v>1245</v>
      </c>
      <c r="B1246" s="6" t="s">
        <v>1787</v>
      </c>
      <c r="C1246" s="6" t="s">
        <v>4481</v>
      </c>
      <c r="D1246" s="6" t="s">
        <v>4482</v>
      </c>
      <c r="E1246" s="7" t="s">
        <v>21</v>
      </c>
      <c r="F1246" s="6" t="s">
        <v>4623</v>
      </c>
      <c r="G1246" s="6" t="s">
        <v>4624</v>
      </c>
      <c r="H1246" s="6" t="s">
        <v>4625</v>
      </c>
      <c r="I1246" s="6" t="s">
        <v>4626</v>
      </c>
      <c r="J1246" s="6" t="s">
        <v>78</v>
      </c>
      <c r="K1246" s="5"/>
      <c r="L1246" s="4" t="s">
        <v>44</v>
      </c>
      <c r="M1246" s="8" t="s">
        <v>79</v>
      </c>
      <c r="N1246" s="9" t="s">
        <v>4627</v>
      </c>
      <c r="O1246" s="5"/>
      <c r="P1246" s="5"/>
      <c r="Q1246" s="6" t="s">
        <v>30</v>
      </c>
      <c r="R1246" s="4" t="s">
        <v>31</v>
      </c>
      <c r="S1246" s="7" t="s">
        <v>32</v>
      </c>
      <c r="T1246" s="5"/>
    </row>
    <row r="1247" customFormat="false" ht="29.25" hidden="false" customHeight="true" outlineLevel="0" collapsed="false">
      <c r="A1247" s="4" t="n">
        <v>1246</v>
      </c>
      <c r="B1247" s="6" t="s">
        <v>1787</v>
      </c>
      <c r="C1247" s="6" t="s">
        <v>4481</v>
      </c>
      <c r="D1247" s="6" t="s">
        <v>4482</v>
      </c>
      <c r="E1247" s="7" t="s">
        <v>21</v>
      </c>
      <c r="F1247" s="6" t="s">
        <v>4628</v>
      </c>
      <c r="G1247" s="6" t="s">
        <v>4621</v>
      </c>
      <c r="H1247" s="6" t="s">
        <v>210</v>
      </c>
      <c r="I1247" s="6" t="s">
        <v>4622</v>
      </c>
      <c r="J1247" s="6" t="s">
        <v>3444</v>
      </c>
      <c r="K1247" s="5"/>
      <c r="L1247" s="4" t="s">
        <v>62</v>
      </c>
      <c r="M1247" s="8" t="s">
        <v>79</v>
      </c>
      <c r="N1247" s="9" t="s">
        <v>4495</v>
      </c>
      <c r="O1247" s="5"/>
      <c r="P1247" s="5"/>
      <c r="Q1247" s="6" t="s">
        <v>30</v>
      </c>
      <c r="R1247" s="4" t="s">
        <v>31</v>
      </c>
      <c r="S1247" s="7" t="s">
        <v>32</v>
      </c>
      <c r="T1247" s="5"/>
    </row>
    <row r="1248" customFormat="false" ht="43.5" hidden="false" customHeight="true" outlineLevel="0" collapsed="false">
      <c r="A1248" s="4" t="n">
        <v>1247</v>
      </c>
      <c r="B1248" s="6" t="s">
        <v>1787</v>
      </c>
      <c r="C1248" s="6" t="s">
        <v>4481</v>
      </c>
      <c r="D1248" s="6" t="s">
        <v>4482</v>
      </c>
      <c r="E1248" s="7" t="s">
        <v>21</v>
      </c>
      <c r="F1248" s="6" t="s">
        <v>4629</v>
      </c>
      <c r="G1248" s="6" t="s">
        <v>4630</v>
      </c>
      <c r="H1248" s="6" t="s">
        <v>4631</v>
      </c>
      <c r="I1248" s="6" t="s">
        <v>4632</v>
      </c>
      <c r="J1248" s="6" t="s">
        <v>4633</v>
      </c>
      <c r="K1248" s="5"/>
      <c r="L1248" s="4" t="s">
        <v>27</v>
      </c>
      <c r="M1248" s="8" t="s">
        <v>28</v>
      </c>
      <c r="N1248" s="9" t="s">
        <v>4627</v>
      </c>
      <c r="O1248" s="5"/>
      <c r="P1248" s="5"/>
      <c r="Q1248" s="6" t="s">
        <v>30</v>
      </c>
      <c r="R1248" s="4" t="s">
        <v>31</v>
      </c>
      <c r="S1248" s="7" t="s">
        <v>32</v>
      </c>
      <c r="T1248" s="5"/>
    </row>
    <row r="1249" customFormat="false" ht="15" hidden="false" customHeight="true" outlineLevel="0" collapsed="false">
      <c r="A1249" s="4" t="n">
        <v>1248</v>
      </c>
      <c r="B1249" s="6" t="s">
        <v>1787</v>
      </c>
      <c r="C1249" s="6" t="s">
        <v>4481</v>
      </c>
      <c r="D1249" s="6" t="s">
        <v>4482</v>
      </c>
      <c r="E1249" s="7" t="s">
        <v>21</v>
      </c>
      <c r="F1249" s="6" t="s">
        <v>4634</v>
      </c>
      <c r="G1249" s="6" t="s">
        <v>4621</v>
      </c>
      <c r="H1249" s="6" t="s">
        <v>210</v>
      </c>
      <c r="I1249" s="6" t="s">
        <v>4622</v>
      </c>
      <c r="J1249" s="6" t="s">
        <v>3444</v>
      </c>
      <c r="K1249" s="5"/>
      <c r="L1249" s="4" t="s">
        <v>51</v>
      </c>
      <c r="M1249" s="8" t="s">
        <v>79</v>
      </c>
      <c r="N1249" s="9" t="s">
        <v>4511</v>
      </c>
      <c r="O1249" s="5"/>
      <c r="P1249" s="5"/>
      <c r="Q1249" s="6" t="s">
        <v>30</v>
      </c>
      <c r="R1249" s="4" t="s">
        <v>31</v>
      </c>
      <c r="S1249" s="7" t="s">
        <v>32</v>
      </c>
      <c r="T1249" s="5"/>
    </row>
    <row r="1250" customFormat="false" ht="29.25" hidden="false" customHeight="true" outlineLevel="0" collapsed="false">
      <c r="A1250" s="4" t="n">
        <v>1249</v>
      </c>
      <c r="B1250" s="6" t="s">
        <v>1787</v>
      </c>
      <c r="C1250" s="6" t="s">
        <v>4481</v>
      </c>
      <c r="D1250" s="6" t="s">
        <v>4482</v>
      </c>
      <c r="E1250" s="7" t="s">
        <v>21</v>
      </c>
      <c r="F1250" s="6" t="s">
        <v>4635</v>
      </c>
      <c r="G1250" s="6" t="s">
        <v>4636</v>
      </c>
      <c r="H1250" s="6" t="s">
        <v>4637</v>
      </c>
      <c r="I1250" s="6" t="s">
        <v>4638</v>
      </c>
      <c r="J1250" s="6" t="s">
        <v>78</v>
      </c>
      <c r="K1250" s="5"/>
      <c r="L1250" s="4" t="s">
        <v>44</v>
      </c>
      <c r="M1250" s="8" t="s">
        <v>79</v>
      </c>
      <c r="N1250" s="9" t="s">
        <v>4495</v>
      </c>
      <c r="O1250" s="5"/>
      <c r="P1250" s="5"/>
      <c r="Q1250" s="6" t="s">
        <v>30</v>
      </c>
      <c r="R1250" s="4" t="s">
        <v>31</v>
      </c>
      <c r="S1250" s="7" t="s">
        <v>32</v>
      </c>
      <c r="T1250" s="5"/>
    </row>
    <row r="1251" customFormat="false" ht="29.25" hidden="false" customHeight="true" outlineLevel="0" collapsed="false">
      <c r="A1251" s="4" t="n">
        <v>1250</v>
      </c>
      <c r="B1251" s="6" t="s">
        <v>1787</v>
      </c>
      <c r="C1251" s="6" t="s">
        <v>4481</v>
      </c>
      <c r="D1251" s="6" t="s">
        <v>4482</v>
      </c>
      <c r="E1251" s="7" t="s">
        <v>21</v>
      </c>
      <c r="F1251" s="6" t="s">
        <v>4639</v>
      </c>
      <c r="G1251" s="6" t="s">
        <v>4640</v>
      </c>
      <c r="H1251" s="6" t="s">
        <v>4641</v>
      </c>
      <c r="I1251" s="6" t="s">
        <v>4642</v>
      </c>
      <c r="J1251" s="6" t="s">
        <v>78</v>
      </c>
      <c r="K1251" s="5"/>
      <c r="L1251" s="4" t="s">
        <v>44</v>
      </c>
      <c r="M1251" s="8" t="s">
        <v>79</v>
      </c>
      <c r="N1251" s="9" t="s">
        <v>4495</v>
      </c>
      <c r="O1251" s="5"/>
      <c r="P1251" s="5"/>
      <c r="Q1251" s="6" t="s">
        <v>30</v>
      </c>
      <c r="R1251" s="4" t="s">
        <v>31</v>
      </c>
      <c r="S1251" s="7" t="s">
        <v>32</v>
      </c>
      <c r="T1251" s="5"/>
    </row>
    <row r="1252" customFormat="false" ht="29.25" hidden="false" customHeight="true" outlineLevel="0" collapsed="false">
      <c r="A1252" s="4" t="n">
        <v>1251</v>
      </c>
      <c r="B1252" s="6" t="s">
        <v>1787</v>
      </c>
      <c r="C1252" s="6" t="s">
        <v>4481</v>
      </c>
      <c r="D1252" s="6" t="s">
        <v>4482</v>
      </c>
      <c r="E1252" s="7" t="s">
        <v>21</v>
      </c>
      <c r="F1252" s="6" t="s">
        <v>4643</v>
      </c>
      <c r="G1252" s="6" t="s">
        <v>4644</v>
      </c>
      <c r="H1252" s="6" t="s">
        <v>4645</v>
      </c>
      <c r="I1252" s="6" t="s">
        <v>4646</v>
      </c>
      <c r="J1252" s="6" t="s">
        <v>4647</v>
      </c>
      <c r="K1252" s="5"/>
      <c r="L1252" s="4" t="s">
        <v>51</v>
      </c>
      <c r="M1252" s="8" t="s">
        <v>79</v>
      </c>
      <c r="N1252" s="9" t="s">
        <v>4627</v>
      </c>
      <c r="O1252" s="5"/>
      <c r="P1252" s="5"/>
      <c r="Q1252" s="6" t="s">
        <v>30</v>
      </c>
      <c r="R1252" s="4" t="s">
        <v>31</v>
      </c>
      <c r="S1252" s="7" t="s">
        <v>32</v>
      </c>
      <c r="T1252" s="5"/>
    </row>
    <row r="1253" customFormat="false" ht="43.5" hidden="false" customHeight="true" outlineLevel="0" collapsed="false">
      <c r="A1253" s="4" t="n">
        <v>1252</v>
      </c>
      <c r="B1253" s="6" t="s">
        <v>1787</v>
      </c>
      <c r="C1253" s="6" t="s">
        <v>4481</v>
      </c>
      <c r="D1253" s="6" t="s">
        <v>4482</v>
      </c>
      <c r="E1253" s="7" t="s">
        <v>21</v>
      </c>
      <c r="F1253" s="6" t="s">
        <v>4648</v>
      </c>
      <c r="G1253" s="5" t="s">
        <v>158</v>
      </c>
      <c r="H1253" s="5" t="s">
        <v>159</v>
      </c>
      <c r="I1253" s="5" t="s">
        <v>160</v>
      </c>
      <c r="J1253" s="5" t="s">
        <v>4609</v>
      </c>
      <c r="K1253" s="5"/>
      <c r="L1253" s="4" t="s">
        <v>44</v>
      </c>
      <c r="M1253" s="8" t="s">
        <v>28</v>
      </c>
      <c r="N1253" s="9" t="s">
        <v>4649</v>
      </c>
      <c r="O1253" s="5"/>
      <c r="P1253" s="5"/>
      <c r="Q1253" s="6" t="s">
        <v>30</v>
      </c>
      <c r="R1253" s="4" t="s">
        <v>31</v>
      </c>
      <c r="S1253" s="7" t="s">
        <v>32</v>
      </c>
      <c r="T1253" s="5"/>
    </row>
    <row r="1254" customFormat="false" ht="29.25" hidden="false" customHeight="true" outlineLevel="0" collapsed="false">
      <c r="A1254" s="4" t="n">
        <v>1253</v>
      </c>
      <c r="B1254" s="6" t="s">
        <v>1787</v>
      </c>
      <c r="C1254" s="6" t="s">
        <v>4481</v>
      </c>
      <c r="D1254" s="6" t="s">
        <v>4482</v>
      </c>
      <c r="E1254" s="7" t="s">
        <v>21</v>
      </c>
      <c r="F1254" s="6" t="s">
        <v>4650</v>
      </c>
      <c r="G1254" s="6" t="s">
        <v>4651</v>
      </c>
      <c r="H1254" s="6" t="s">
        <v>4652</v>
      </c>
      <c r="I1254" s="6" t="s">
        <v>127</v>
      </c>
      <c r="J1254" s="6" t="s">
        <v>128</v>
      </c>
      <c r="K1254" s="5"/>
      <c r="L1254" s="4" t="s">
        <v>27</v>
      </c>
      <c r="M1254" s="8" t="s">
        <v>79</v>
      </c>
      <c r="N1254" s="9" t="s">
        <v>4627</v>
      </c>
      <c r="O1254" s="5"/>
      <c r="P1254" s="5"/>
      <c r="Q1254" s="6" t="s">
        <v>30</v>
      </c>
      <c r="R1254" s="4" t="s">
        <v>31</v>
      </c>
      <c r="S1254" s="7" t="s">
        <v>32</v>
      </c>
      <c r="T1254" s="5"/>
    </row>
    <row r="1255" customFormat="false" ht="29.25" hidden="false" customHeight="true" outlineLevel="0" collapsed="false">
      <c r="A1255" s="4" t="n">
        <v>1254</v>
      </c>
      <c r="B1255" s="6" t="s">
        <v>1787</v>
      </c>
      <c r="C1255" s="6" t="s">
        <v>4481</v>
      </c>
      <c r="D1255" s="6" t="s">
        <v>4482</v>
      </c>
      <c r="E1255" s="7" t="s">
        <v>21</v>
      </c>
      <c r="F1255" s="6" t="s">
        <v>4653</v>
      </c>
      <c r="G1255" s="5" t="s">
        <v>4602</v>
      </c>
      <c r="H1255" s="5" t="s">
        <v>4603</v>
      </c>
      <c r="I1255" s="5" t="s">
        <v>349</v>
      </c>
      <c r="J1255" s="6" t="s">
        <v>150</v>
      </c>
      <c r="K1255" s="5"/>
      <c r="L1255" s="4" t="s">
        <v>62</v>
      </c>
      <c r="M1255" s="8" t="s">
        <v>79</v>
      </c>
      <c r="N1255" s="9" t="s">
        <v>4627</v>
      </c>
      <c r="O1255" s="5"/>
      <c r="P1255" s="5"/>
      <c r="Q1255" s="6" t="s">
        <v>30</v>
      </c>
      <c r="R1255" s="4" t="s">
        <v>31</v>
      </c>
      <c r="S1255" s="7" t="s">
        <v>32</v>
      </c>
      <c r="T1255" s="5"/>
    </row>
    <row r="1256" customFormat="false" ht="43.5" hidden="false" customHeight="true" outlineLevel="0" collapsed="false">
      <c r="A1256" s="4" t="n">
        <v>1255</v>
      </c>
      <c r="B1256" s="6" t="s">
        <v>1787</v>
      </c>
      <c r="C1256" s="6" t="s">
        <v>4481</v>
      </c>
      <c r="D1256" s="6" t="s">
        <v>4482</v>
      </c>
      <c r="E1256" s="7" t="s">
        <v>21</v>
      </c>
      <c r="F1256" s="6" t="s">
        <v>4654</v>
      </c>
      <c r="G1256" s="6" t="s">
        <v>4655</v>
      </c>
      <c r="H1256" s="6" t="s">
        <v>4656</v>
      </c>
      <c r="I1256" s="6" t="s">
        <v>4657</v>
      </c>
      <c r="J1256" s="6" t="s">
        <v>4658</v>
      </c>
      <c r="K1256" s="5"/>
      <c r="L1256" s="4" t="s">
        <v>44</v>
      </c>
      <c r="M1256" s="8" t="s">
        <v>28</v>
      </c>
      <c r="N1256" s="9" t="s">
        <v>4487</v>
      </c>
      <c r="O1256" s="5"/>
      <c r="P1256" s="5"/>
      <c r="Q1256" s="6" t="s">
        <v>30</v>
      </c>
      <c r="R1256" s="4" t="s">
        <v>31</v>
      </c>
      <c r="S1256" s="7" t="s">
        <v>32</v>
      </c>
      <c r="T1256" s="5"/>
    </row>
    <row r="1257" customFormat="false" ht="29.25" hidden="false" customHeight="true" outlineLevel="0" collapsed="false">
      <c r="A1257" s="4" t="n">
        <v>1256</v>
      </c>
      <c r="B1257" s="6" t="s">
        <v>1787</v>
      </c>
      <c r="C1257" s="6" t="s">
        <v>4481</v>
      </c>
      <c r="D1257" s="6" t="s">
        <v>4482</v>
      </c>
      <c r="E1257" s="7" t="s">
        <v>21</v>
      </c>
      <c r="F1257" s="6" t="s">
        <v>4659</v>
      </c>
      <c r="G1257" s="6" t="s">
        <v>4660</v>
      </c>
      <c r="H1257" s="6" t="s">
        <v>4661</v>
      </c>
      <c r="I1257" s="6" t="s">
        <v>4662</v>
      </c>
      <c r="J1257" s="6" t="s">
        <v>4663</v>
      </c>
      <c r="K1257" s="5"/>
      <c r="L1257" s="4" t="s">
        <v>27</v>
      </c>
      <c r="M1257" s="8" t="s">
        <v>79</v>
      </c>
      <c r="N1257" s="9" t="s">
        <v>4664</v>
      </c>
      <c r="O1257" s="5"/>
      <c r="P1257" s="5"/>
      <c r="Q1257" s="6" t="s">
        <v>30</v>
      </c>
      <c r="R1257" s="4" t="s">
        <v>31</v>
      </c>
      <c r="S1257" s="7" t="s">
        <v>32</v>
      </c>
      <c r="T1257" s="5"/>
    </row>
    <row r="1258" customFormat="false" ht="15" hidden="false" customHeight="true" outlineLevel="0" collapsed="false">
      <c r="A1258" s="4" t="n">
        <v>1257</v>
      </c>
      <c r="B1258" s="6" t="s">
        <v>1787</v>
      </c>
      <c r="C1258" s="6" t="s">
        <v>4481</v>
      </c>
      <c r="D1258" s="6" t="s">
        <v>4482</v>
      </c>
      <c r="E1258" s="7" t="s">
        <v>21</v>
      </c>
      <c r="F1258" s="6" t="s">
        <v>4665</v>
      </c>
      <c r="G1258" s="6" t="s">
        <v>4666</v>
      </c>
      <c r="H1258" s="6" t="s">
        <v>4667</v>
      </c>
      <c r="I1258" s="6" t="s">
        <v>4668</v>
      </c>
      <c r="J1258" s="6" t="s">
        <v>4669</v>
      </c>
      <c r="K1258" s="5"/>
      <c r="L1258" s="4" t="s">
        <v>27</v>
      </c>
      <c r="M1258" s="8" t="s">
        <v>79</v>
      </c>
      <c r="N1258" s="9" t="s">
        <v>4495</v>
      </c>
      <c r="O1258" s="5"/>
      <c r="P1258" s="5"/>
      <c r="Q1258" s="6" t="s">
        <v>30</v>
      </c>
      <c r="R1258" s="4" t="s">
        <v>31</v>
      </c>
      <c r="S1258" s="7" t="s">
        <v>32</v>
      </c>
      <c r="T1258" s="5"/>
    </row>
    <row r="1259" customFormat="false" ht="57.75" hidden="false" customHeight="true" outlineLevel="0" collapsed="false">
      <c r="A1259" s="4" t="n">
        <v>1258</v>
      </c>
      <c r="B1259" s="6" t="s">
        <v>1787</v>
      </c>
      <c r="C1259" s="6" t="s">
        <v>4481</v>
      </c>
      <c r="D1259" s="6" t="s">
        <v>4482</v>
      </c>
      <c r="E1259" s="7" t="s">
        <v>21</v>
      </c>
      <c r="F1259" s="6" t="s">
        <v>4670</v>
      </c>
      <c r="G1259" s="6" t="s">
        <v>4671</v>
      </c>
      <c r="H1259" s="6" t="s">
        <v>4672</v>
      </c>
      <c r="I1259" s="6" t="s">
        <v>4673</v>
      </c>
      <c r="J1259" s="6" t="s">
        <v>78</v>
      </c>
      <c r="K1259" s="5"/>
      <c r="L1259" s="4" t="s">
        <v>44</v>
      </c>
      <c r="M1259" s="8" t="s">
        <v>79</v>
      </c>
      <c r="N1259" s="9" t="s">
        <v>4495</v>
      </c>
      <c r="O1259" s="5"/>
      <c r="P1259" s="5"/>
      <c r="Q1259" s="6" t="s">
        <v>30</v>
      </c>
      <c r="R1259" s="4" t="s">
        <v>31</v>
      </c>
      <c r="S1259" s="7" t="s">
        <v>32</v>
      </c>
      <c r="T1259" s="5"/>
    </row>
    <row r="1260" customFormat="false" ht="15" hidden="false" customHeight="true" outlineLevel="0" collapsed="false">
      <c r="A1260" s="4" t="n">
        <v>1259</v>
      </c>
      <c r="B1260" s="6" t="s">
        <v>1787</v>
      </c>
      <c r="C1260" s="6" t="s">
        <v>4481</v>
      </c>
      <c r="D1260" s="6" t="s">
        <v>4482</v>
      </c>
      <c r="E1260" s="7" t="s">
        <v>21</v>
      </c>
      <c r="F1260" s="6" t="s">
        <v>4674</v>
      </c>
      <c r="G1260" s="6" t="s">
        <v>4675</v>
      </c>
      <c r="H1260" s="6" t="s">
        <v>4676</v>
      </c>
      <c r="I1260" s="6" t="s">
        <v>4677</v>
      </c>
      <c r="J1260" s="6" t="s">
        <v>78</v>
      </c>
      <c r="K1260" s="5"/>
      <c r="L1260" s="4" t="s">
        <v>44</v>
      </c>
      <c r="M1260" s="8" t="s">
        <v>79</v>
      </c>
      <c r="N1260" s="9" t="s">
        <v>4495</v>
      </c>
      <c r="O1260" s="5"/>
      <c r="P1260" s="5"/>
      <c r="Q1260" s="6" t="s">
        <v>30</v>
      </c>
      <c r="R1260" s="4" t="s">
        <v>31</v>
      </c>
      <c r="S1260" s="7" t="s">
        <v>32</v>
      </c>
      <c r="T1260" s="5"/>
    </row>
    <row r="1261" customFormat="false" ht="29.25" hidden="false" customHeight="true" outlineLevel="0" collapsed="false">
      <c r="A1261" s="4" t="n">
        <v>1260</v>
      </c>
      <c r="B1261" s="6" t="s">
        <v>1787</v>
      </c>
      <c r="C1261" s="6" t="s">
        <v>4481</v>
      </c>
      <c r="D1261" s="6" t="s">
        <v>4482</v>
      </c>
      <c r="E1261" s="7" t="s">
        <v>21</v>
      </c>
      <c r="F1261" s="6" t="s">
        <v>4678</v>
      </c>
      <c r="G1261" s="6" t="s">
        <v>4679</v>
      </c>
      <c r="H1261" s="6" t="s">
        <v>4680</v>
      </c>
      <c r="I1261" s="6" t="s">
        <v>4681</v>
      </c>
      <c r="J1261" s="6" t="s">
        <v>4682</v>
      </c>
      <c r="K1261" s="5"/>
      <c r="L1261" s="4" t="s">
        <v>27</v>
      </c>
      <c r="M1261" s="8" t="s">
        <v>79</v>
      </c>
      <c r="N1261" s="9" t="s">
        <v>4511</v>
      </c>
      <c r="O1261" s="5"/>
      <c r="P1261" s="5"/>
      <c r="Q1261" s="6" t="s">
        <v>30</v>
      </c>
      <c r="R1261" s="4" t="s">
        <v>31</v>
      </c>
      <c r="S1261" s="7" t="s">
        <v>32</v>
      </c>
      <c r="T1261" s="5"/>
    </row>
    <row r="1262" customFormat="false" ht="29.25" hidden="false" customHeight="true" outlineLevel="0" collapsed="false">
      <c r="A1262" s="4" t="n">
        <v>1261</v>
      </c>
      <c r="B1262" s="6" t="s">
        <v>1787</v>
      </c>
      <c r="C1262" s="6" t="s">
        <v>4481</v>
      </c>
      <c r="D1262" s="6" t="s">
        <v>4482</v>
      </c>
      <c r="E1262" s="7" t="s">
        <v>21</v>
      </c>
      <c r="F1262" s="6" t="s">
        <v>4683</v>
      </c>
      <c r="G1262" s="6" t="s">
        <v>4684</v>
      </c>
      <c r="H1262" s="6" t="s">
        <v>4679</v>
      </c>
      <c r="I1262" s="6" t="s">
        <v>4680</v>
      </c>
      <c r="J1262" s="6" t="s">
        <v>4685</v>
      </c>
      <c r="K1262" s="5"/>
      <c r="L1262" s="4" t="s">
        <v>62</v>
      </c>
      <c r="M1262" s="8" t="s">
        <v>79</v>
      </c>
      <c r="N1262" s="9" t="s">
        <v>4495</v>
      </c>
      <c r="O1262" s="5"/>
      <c r="P1262" s="5"/>
      <c r="Q1262" s="6" t="s">
        <v>30</v>
      </c>
      <c r="R1262" s="4" t="s">
        <v>31</v>
      </c>
      <c r="S1262" s="7" t="s">
        <v>32</v>
      </c>
      <c r="T1262" s="5"/>
    </row>
    <row r="1263" customFormat="false" ht="15" hidden="false" customHeight="true" outlineLevel="0" collapsed="false">
      <c r="A1263" s="4" t="n">
        <v>1262</v>
      </c>
      <c r="B1263" s="6" t="s">
        <v>1787</v>
      </c>
      <c r="C1263" s="6" t="s">
        <v>4481</v>
      </c>
      <c r="D1263" s="6" t="s">
        <v>4482</v>
      </c>
      <c r="E1263" s="7" t="s">
        <v>21</v>
      </c>
      <c r="F1263" s="6" t="s">
        <v>4686</v>
      </c>
      <c r="G1263" s="6" t="s">
        <v>4680</v>
      </c>
      <c r="H1263" s="6" t="s">
        <v>4679</v>
      </c>
      <c r="I1263" s="6" t="s">
        <v>4681</v>
      </c>
      <c r="J1263" s="6" t="s">
        <v>4687</v>
      </c>
      <c r="K1263" s="5"/>
      <c r="L1263" s="4" t="s">
        <v>27</v>
      </c>
      <c r="M1263" s="8" t="s">
        <v>129</v>
      </c>
      <c r="N1263" s="9" t="s">
        <v>4511</v>
      </c>
      <c r="O1263" s="5"/>
      <c r="P1263" s="5"/>
      <c r="Q1263" s="6" t="s">
        <v>30</v>
      </c>
      <c r="R1263" s="4" t="s">
        <v>31</v>
      </c>
      <c r="S1263" s="7" t="s">
        <v>32</v>
      </c>
      <c r="T1263" s="5"/>
    </row>
    <row r="1264" customFormat="false" ht="15" hidden="false" customHeight="true" outlineLevel="0" collapsed="false">
      <c r="A1264" s="4" t="n">
        <v>1263</v>
      </c>
      <c r="B1264" s="6" t="s">
        <v>1787</v>
      </c>
      <c r="C1264" s="6" t="s">
        <v>4481</v>
      </c>
      <c r="D1264" s="6" t="s">
        <v>4482</v>
      </c>
      <c r="E1264" s="7" t="s">
        <v>21</v>
      </c>
      <c r="F1264" s="6" t="s">
        <v>4688</v>
      </c>
      <c r="G1264" s="6" t="s">
        <v>4680</v>
      </c>
      <c r="H1264" s="6" t="s">
        <v>4679</v>
      </c>
      <c r="I1264" s="6" t="s">
        <v>4681</v>
      </c>
      <c r="J1264" s="6" t="s">
        <v>4682</v>
      </c>
      <c r="K1264" s="5"/>
      <c r="L1264" s="4" t="s">
        <v>44</v>
      </c>
      <c r="M1264" s="8" t="s">
        <v>129</v>
      </c>
      <c r="N1264" s="9" t="s">
        <v>4495</v>
      </c>
      <c r="O1264" s="5"/>
      <c r="P1264" s="5"/>
      <c r="Q1264" s="6" t="s">
        <v>30</v>
      </c>
      <c r="R1264" s="4" t="s">
        <v>31</v>
      </c>
      <c r="S1264" s="7" t="s">
        <v>32</v>
      </c>
      <c r="T1264" s="5"/>
    </row>
    <row r="1265" customFormat="false" ht="29.25" hidden="false" customHeight="true" outlineLevel="0" collapsed="false">
      <c r="A1265" s="4" t="n">
        <v>1264</v>
      </c>
      <c r="B1265" s="6" t="s">
        <v>1787</v>
      </c>
      <c r="C1265" s="6" t="s">
        <v>4481</v>
      </c>
      <c r="D1265" s="6" t="s">
        <v>4482</v>
      </c>
      <c r="E1265" s="7" t="s">
        <v>21</v>
      </c>
      <c r="F1265" s="6" t="s">
        <v>4689</v>
      </c>
      <c r="G1265" s="6" t="s">
        <v>4680</v>
      </c>
      <c r="H1265" s="6" t="s">
        <v>4679</v>
      </c>
      <c r="I1265" s="6" t="s">
        <v>4681</v>
      </c>
      <c r="J1265" s="6" t="s">
        <v>4682</v>
      </c>
      <c r="K1265" s="5"/>
      <c r="L1265" s="4" t="s">
        <v>62</v>
      </c>
      <c r="M1265" s="8" t="s">
        <v>79</v>
      </c>
      <c r="N1265" s="9" t="s">
        <v>4495</v>
      </c>
      <c r="O1265" s="5"/>
      <c r="P1265" s="5"/>
      <c r="Q1265" s="6" t="s">
        <v>30</v>
      </c>
      <c r="R1265" s="4" t="s">
        <v>31</v>
      </c>
      <c r="S1265" s="7" t="s">
        <v>32</v>
      </c>
      <c r="T1265" s="5"/>
    </row>
    <row r="1266" customFormat="false" ht="29.25" hidden="false" customHeight="true" outlineLevel="0" collapsed="false">
      <c r="A1266" s="4" t="n">
        <v>1265</v>
      </c>
      <c r="B1266" s="6" t="s">
        <v>1787</v>
      </c>
      <c r="C1266" s="6" t="s">
        <v>4481</v>
      </c>
      <c r="D1266" s="6" t="s">
        <v>4482</v>
      </c>
      <c r="E1266" s="7" t="s">
        <v>21</v>
      </c>
      <c r="F1266" s="6" t="s">
        <v>4690</v>
      </c>
      <c r="G1266" s="6" t="s">
        <v>4691</v>
      </c>
      <c r="H1266" s="6" t="s">
        <v>4692</v>
      </c>
      <c r="I1266" s="6" t="s">
        <v>4693</v>
      </c>
      <c r="J1266" s="6" t="s">
        <v>4694</v>
      </c>
      <c r="K1266" s="5"/>
      <c r="L1266" s="4" t="s">
        <v>44</v>
      </c>
      <c r="M1266" s="8" t="s">
        <v>79</v>
      </c>
      <c r="N1266" s="9" t="s">
        <v>4495</v>
      </c>
      <c r="O1266" s="5"/>
      <c r="P1266" s="5"/>
      <c r="Q1266" s="6" t="s">
        <v>30</v>
      </c>
      <c r="R1266" s="4" t="s">
        <v>31</v>
      </c>
      <c r="S1266" s="7" t="s">
        <v>32</v>
      </c>
      <c r="T1266" s="5"/>
    </row>
    <row r="1267" customFormat="false" ht="29.25" hidden="false" customHeight="true" outlineLevel="0" collapsed="false">
      <c r="A1267" s="4" t="n">
        <v>1266</v>
      </c>
      <c r="B1267" s="6" t="s">
        <v>1787</v>
      </c>
      <c r="C1267" s="6" t="s">
        <v>4481</v>
      </c>
      <c r="D1267" s="6" t="s">
        <v>4482</v>
      </c>
      <c r="E1267" s="7" t="s">
        <v>21</v>
      </c>
      <c r="F1267" s="6" t="s">
        <v>4695</v>
      </c>
      <c r="G1267" s="6" t="s">
        <v>2434</v>
      </c>
      <c r="H1267" s="6" t="s">
        <v>4696</v>
      </c>
      <c r="I1267" s="6" t="s">
        <v>2119</v>
      </c>
      <c r="J1267" s="6" t="s">
        <v>4697</v>
      </c>
      <c r="K1267" s="5"/>
      <c r="L1267" s="4" t="s">
        <v>51</v>
      </c>
      <c r="M1267" s="8" t="s">
        <v>129</v>
      </c>
      <c r="N1267" s="9" t="s">
        <v>4511</v>
      </c>
      <c r="O1267" s="5"/>
      <c r="P1267" s="5"/>
      <c r="Q1267" s="6" t="s">
        <v>30</v>
      </c>
      <c r="R1267" s="4" t="s">
        <v>31</v>
      </c>
      <c r="S1267" s="7" t="s">
        <v>32</v>
      </c>
      <c r="T1267" s="5"/>
    </row>
    <row r="1268" customFormat="false" ht="57.75" hidden="false" customHeight="true" outlineLevel="0" collapsed="false">
      <c r="A1268" s="4" t="n">
        <v>1267</v>
      </c>
      <c r="B1268" s="6" t="s">
        <v>1787</v>
      </c>
      <c r="C1268" s="6" t="s">
        <v>4481</v>
      </c>
      <c r="D1268" s="6" t="s">
        <v>4482</v>
      </c>
      <c r="E1268" s="7" t="s">
        <v>21</v>
      </c>
      <c r="F1268" s="6" t="s">
        <v>4698</v>
      </c>
      <c r="G1268" s="6" t="s">
        <v>3659</v>
      </c>
      <c r="H1268" s="6" t="s">
        <v>4699</v>
      </c>
      <c r="I1268" s="6" t="s">
        <v>209</v>
      </c>
      <c r="J1268" s="6" t="s">
        <v>4700</v>
      </c>
      <c r="K1268" s="5"/>
      <c r="L1268" s="4" t="s">
        <v>62</v>
      </c>
      <c r="M1268" s="8" t="s">
        <v>129</v>
      </c>
      <c r="N1268" s="9" t="s">
        <v>4495</v>
      </c>
      <c r="O1268" s="5"/>
      <c r="P1268" s="5"/>
      <c r="Q1268" s="6" t="s">
        <v>30</v>
      </c>
      <c r="R1268" s="4" t="s">
        <v>31</v>
      </c>
      <c r="S1268" s="7" t="s">
        <v>32</v>
      </c>
      <c r="T1268" s="5"/>
    </row>
    <row r="1269" customFormat="false" ht="72" hidden="false" customHeight="true" outlineLevel="0" collapsed="false">
      <c r="A1269" s="4" t="n">
        <v>1268</v>
      </c>
      <c r="B1269" s="6" t="s">
        <v>1787</v>
      </c>
      <c r="C1269" s="6" t="s">
        <v>4481</v>
      </c>
      <c r="D1269" s="6" t="s">
        <v>4482</v>
      </c>
      <c r="E1269" s="7" t="s">
        <v>21</v>
      </c>
      <c r="F1269" s="6" t="s">
        <v>3032</v>
      </c>
      <c r="G1269" s="6" t="s">
        <v>4701</v>
      </c>
      <c r="H1269" s="6" t="s">
        <v>4702</v>
      </c>
      <c r="I1269" s="6" t="s">
        <v>4703</v>
      </c>
      <c r="J1269" s="5" t="s">
        <v>4704</v>
      </c>
      <c r="K1269" s="5"/>
      <c r="L1269" s="4" t="s">
        <v>51</v>
      </c>
      <c r="M1269" s="8" t="s">
        <v>28</v>
      </c>
      <c r="N1269" s="9" t="s">
        <v>4495</v>
      </c>
      <c r="O1269" s="5"/>
      <c r="P1269" s="5"/>
      <c r="Q1269" s="6" t="s">
        <v>30</v>
      </c>
      <c r="R1269" s="4" t="s">
        <v>31</v>
      </c>
      <c r="S1269" s="7" t="s">
        <v>32</v>
      </c>
      <c r="T1269" s="5"/>
    </row>
    <row r="1270" customFormat="false" ht="57.75" hidden="false" customHeight="true" outlineLevel="0" collapsed="false">
      <c r="A1270" s="4" t="n">
        <v>1269</v>
      </c>
      <c r="B1270" s="6" t="s">
        <v>1787</v>
      </c>
      <c r="C1270" s="6" t="s">
        <v>4481</v>
      </c>
      <c r="D1270" s="6" t="s">
        <v>4482</v>
      </c>
      <c r="E1270" s="7" t="s">
        <v>21</v>
      </c>
      <c r="F1270" s="6" t="s">
        <v>4705</v>
      </c>
      <c r="G1270" s="6" t="s">
        <v>4706</v>
      </c>
      <c r="H1270" s="6" t="s">
        <v>4707</v>
      </c>
      <c r="I1270" s="6" t="s">
        <v>4708</v>
      </c>
      <c r="J1270" s="6" t="s">
        <v>4709</v>
      </c>
      <c r="K1270" s="5"/>
      <c r="L1270" s="4" t="s">
        <v>27</v>
      </c>
      <c r="M1270" s="8" t="s">
        <v>28</v>
      </c>
      <c r="N1270" s="9" t="s">
        <v>4495</v>
      </c>
      <c r="O1270" s="5"/>
      <c r="P1270" s="5"/>
      <c r="Q1270" s="6" t="s">
        <v>30</v>
      </c>
      <c r="R1270" s="4" t="s">
        <v>31</v>
      </c>
      <c r="S1270" s="7" t="s">
        <v>32</v>
      </c>
      <c r="T1270" s="5"/>
    </row>
    <row r="1271" customFormat="false" ht="29.25" hidden="false" customHeight="true" outlineLevel="0" collapsed="false">
      <c r="A1271" s="4" t="n">
        <v>1270</v>
      </c>
      <c r="B1271" s="6" t="s">
        <v>1787</v>
      </c>
      <c r="C1271" s="6" t="s">
        <v>4481</v>
      </c>
      <c r="D1271" s="6" t="s">
        <v>4482</v>
      </c>
      <c r="E1271" s="7" t="s">
        <v>21</v>
      </c>
      <c r="F1271" s="6" t="s">
        <v>4710</v>
      </c>
      <c r="G1271" s="6" t="s">
        <v>4711</v>
      </c>
      <c r="H1271" s="6" t="s">
        <v>4712</v>
      </c>
      <c r="I1271" s="6" t="s">
        <v>4713</v>
      </c>
      <c r="J1271" s="6" t="s">
        <v>4714</v>
      </c>
      <c r="K1271" s="5"/>
      <c r="L1271" s="4" t="s">
        <v>44</v>
      </c>
      <c r="M1271" s="8" t="s">
        <v>129</v>
      </c>
      <c r="N1271" s="9" t="s">
        <v>4495</v>
      </c>
      <c r="O1271" s="5"/>
      <c r="P1271" s="5"/>
      <c r="Q1271" s="6" t="s">
        <v>30</v>
      </c>
      <c r="R1271" s="4" t="s">
        <v>31</v>
      </c>
      <c r="S1271" s="7" t="s">
        <v>32</v>
      </c>
      <c r="T1271" s="5"/>
    </row>
    <row r="1272" customFormat="false" ht="23.25" hidden="false" customHeight="true" outlineLevel="0" collapsed="false">
      <c r="A1272" s="4" t="n">
        <v>1271</v>
      </c>
      <c r="B1272" s="6" t="s">
        <v>1787</v>
      </c>
      <c r="C1272" s="6" t="s">
        <v>4481</v>
      </c>
      <c r="D1272" s="6" t="s">
        <v>4482</v>
      </c>
      <c r="E1272" s="7" t="s">
        <v>21</v>
      </c>
      <c r="F1272" s="6" t="s">
        <v>4715</v>
      </c>
      <c r="G1272" s="5" t="s">
        <v>4716</v>
      </c>
      <c r="H1272" s="5" t="s">
        <v>4717</v>
      </c>
      <c r="I1272" s="5" t="s">
        <v>4718</v>
      </c>
      <c r="J1272" s="5" t="s">
        <v>4719</v>
      </c>
      <c r="K1272" s="5"/>
      <c r="L1272" s="4" t="s">
        <v>44</v>
      </c>
      <c r="M1272" s="8" t="s">
        <v>28</v>
      </c>
      <c r="N1272" s="9" t="s">
        <v>4495</v>
      </c>
      <c r="O1272" s="5"/>
      <c r="P1272" s="5"/>
      <c r="Q1272" s="6" t="s">
        <v>30</v>
      </c>
      <c r="R1272" s="4" t="s">
        <v>31</v>
      </c>
      <c r="S1272" s="7" t="s">
        <v>32</v>
      </c>
      <c r="T1272" s="5"/>
    </row>
    <row r="1273" customFormat="false" ht="15" hidden="false" customHeight="true" outlineLevel="0" collapsed="false">
      <c r="A1273" s="4" t="n">
        <v>1272</v>
      </c>
      <c r="B1273" s="6" t="s">
        <v>1787</v>
      </c>
      <c r="C1273" s="6" t="s">
        <v>4481</v>
      </c>
      <c r="D1273" s="6" t="s">
        <v>4482</v>
      </c>
      <c r="E1273" s="7" t="s">
        <v>21</v>
      </c>
      <c r="F1273" s="6" t="s">
        <v>4720</v>
      </c>
      <c r="G1273" s="5" t="s">
        <v>4721</v>
      </c>
      <c r="H1273" s="5" t="s">
        <v>4722</v>
      </c>
      <c r="I1273" s="5" t="s">
        <v>4723</v>
      </c>
      <c r="J1273" s="5" t="s">
        <v>4724</v>
      </c>
      <c r="K1273" s="5"/>
      <c r="L1273" s="4" t="s">
        <v>51</v>
      </c>
      <c r="M1273" s="8" t="s">
        <v>79</v>
      </c>
      <c r="N1273" s="9" t="s">
        <v>4495</v>
      </c>
      <c r="O1273" s="5"/>
      <c r="P1273" s="5"/>
      <c r="Q1273" s="6" t="s">
        <v>30</v>
      </c>
      <c r="R1273" s="4" t="s">
        <v>31</v>
      </c>
      <c r="S1273" s="7" t="s">
        <v>32</v>
      </c>
      <c r="T1273" s="5"/>
    </row>
    <row r="1274" customFormat="false" ht="15" hidden="false" customHeight="true" outlineLevel="0" collapsed="false">
      <c r="A1274" s="4" t="n">
        <v>1273</v>
      </c>
      <c r="B1274" s="6" t="s">
        <v>1787</v>
      </c>
      <c r="C1274" s="6" t="s">
        <v>4481</v>
      </c>
      <c r="D1274" s="6" t="s">
        <v>4482</v>
      </c>
      <c r="E1274" s="7" t="s">
        <v>21</v>
      </c>
      <c r="F1274" s="6" t="s">
        <v>4725</v>
      </c>
      <c r="G1274" s="5" t="s">
        <v>4723</v>
      </c>
      <c r="H1274" s="5" t="s">
        <v>4722</v>
      </c>
      <c r="I1274" s="5" t="s">
        <v>4724</v>
      </c>
      <c r="J1274" s="6" t="s">
        <v>78</v>
      </c>
      <c r="K1274" s="5"/>
      <c r="L1274" s="4" t="s">
        <v>44</v>
      </c>
      <c r="M1274" s="8" t="s">
        <v>79</v>
      </c>
      <c r="N1274" s="9" t="s">
        <v>4495</v>
      </c>
      <c r="O1274" s="5"/>
      <c r="P1274" s="5"/>
      <c r="Q1274" s="6" t="s">
        <v>30</v>
      </c>
      <c r="R1274" s="4" t="s">
        <v>31</v>
      </c>
      <c r="S1274" s="7" t="s">
        <v>32</v>
      </c>
      <c r="T1274" s="5"/>
    </row>
    <row r="1275" customFormat="false" ht="29.25" hidden="false" customHeight="true" outlineLevel="0" collapsed="false">
      <c r="A1275" s="4" t="n">
        <v>1274</v>
      </c>
      <c r="B1275" s="6" t="s">
        <v>1787</v>
      </c>
      <c r="C1275" s="6" t="s">
        <v>4481</v>
      </c>
      <c r="D1275" s="6" t="s">
        <v>4482</v>
      </c>
      <c r="E1275" s="7" t="s">
        <v>21</v>
      </c>
      <c r="F1275" s="6" t="s">
        <v>4726</v>
      </c>
      <c r="G1275" s="6" t="s">
        <v>4684</v>
      </c>
      <c r="H1275" s="6" t="s">
        <v>4679</v>
      </c>
      <c r="I1275" s="6" t="s">
        <v>4680</v>
      </c>
      <c r="J1275" s="6" t="s">
        <v>2120</v>
      </c>
      <c r="K1275" s="5"/>
      <c r="L1275" s="4" t="s">
        <v>27</v>
      </c>
      <c r="M1275" s="8" t="s">
        <v>79</v>
      </c>
      <c r="N1275" s="9" t="s">
        <v>4495</v>
      </c>
      <c r="O1275" s="5"/>
      <c r="P1275" s="5"/>
      <c r="Q1275" s="6" t="s">
        <v>30</v>
      </c>
      <c r="R1275" s="4" t="s">
        <v>31</v>
      </c>
      <c r="S1275" s="7" t="s">
        <v>32</v>
      </c>
      <c r="T1275" s="5"/>
    </row>
    <row r="1276" customFormat="false" ht="15" hidden="false" customHeight="true" outlineLevel="0" collapsed="false">
      <c r="A1276" s="4" t="n">
        <v>1275</v>
      </c>
      <c r="B1276" s="6" t="s">
        <v>1787</v>
      </c>
      <c r="C1276" s="6" t="s">
        <v>4481</v>
      </c>
      <c r="D1276" s="6" t="s">
        <v>4482</v>
      </c>
      <c r="E1276" s="7" t="s">
        <v>21</v>
      </c>
      <c r="F1276" s="6" t="s">
        <v>4727</v>
      </c>
      <c r="G1276" s="6" t="s">
        <v>1590</v>
      </c>
      <c r="H1276" s="6" t="s">
        <v>4728</v>
      </c>
      <c r="I1276" s="6" t="s">
        <v>4729</v>
      </c>
      <c r="J1276" s="6" t="s">
        <v>1591</v>
      </c>
      <c r="K1276" s="5"/>
      <c r="L1276" s="4" t="s">
        <v>51</v>
      </c>
      <c r="M1276" s="8" t="s">
        <v>129</v>
      </c>
      <c r="N1276" s="9" t="s">
        <v>4495</v>
      </c>
      <c r="O1276" s="5"/>
      <c r="P1276" s="5"/>
      <c r="Q1276" s="6" t="s">
        <v>30</v>
      </c>
      <c r="R1276" s="4" t="s">
        <v>31</v>
      </c>
      <c r="S1276" s="7" t="s">
        <v>32</v>
      </c>
      <c r="T1276" s="5"/>
    </row>
    <row r="1277" customFormat="false" ht="15" hidden="false" customHeight="true" outlineLevel="0" collapsed="false">
      <c r="A1277" s="4" t="n">
        <v>1276</v>
      </c>
      <c r="B1277" s="6" t="s">
        <v>1787</v>
      </c>
      <c r="C1277" s="6" t="s">
        <v>4481</v>
      </c>
      <c r="D1277" s="6" t="s">
        <v>4482</v>
      </c>
      <c r="E1277" s="7" t="s">
        <v>21</v>
      </c>
      <c r="F1277" s="6" t="s">
        <v>4730</v>
      </c>
      <c r="G1277" s="5" t="s">
        <v>4731</v>
      </c>
      <c r="H1277" s="5" t="s">
        <v>4732</v>
      </c>
      <c r="I1277" s="5" t="s">
        <v>4733</v>
      </c>
      <c r="J1277" s="5" t="s">
        <v>4734</v>
      </c>
      <c r="K1277" s="5"/>
      <c r="L1277" s="4" t="s">
        <v>62</v>
      </c>
      <c r="M1277" s="8" t="s">
        <v>129</v>
      </c>
      <c r="N1277" s="9" t="s">
        <v>4495</v>
      </c>
      <c r="O1277" s="5"/>
      <c r="P1277" s="5"/>
      <c r="Q1277" s="6" t="s">
        <v>30</v>
      </c>
      <c r="R1277" s="4" t="s">
        <v>31</v>
      </c>
      <c r="S1277" s="7" t="s">
        <v>32</v>
      </c>
      <c r="T1277" s="5"/>
    </row>
    <row r="1278" customFormat="false" ht="15" hidden="false" customHeight="true" outlineLevel="0" collapsed="false">
      <c r="A1278" s="4" t="n">
        <v>1277</v>
      </c>
      <c r="B1278" s="6" t="s">
        <v>1787</v>
      </c>
      <c r="C1278" s="6" t="s">
        <v>4481</v>
      </c>
      <c r="D1278" s="6" t="s">
        <v>4482</v>
      </c>
      <c r="E1278" s="7" t="s">
        <v>21</v>
      </c>
      <c r="F1278" s="6" t="s">
        <v>4735</v>
      </c>
      <c r="G1278" s="6" t="s">
        <v>4736</v>
      </c>
      <c r="H1278" s="6" t="s">
        <v>4737</v>
      </c>
      <c r="I1278" s="6" t="s">
        <v>4738</v>
      </c>
      <c r="J1278" s="6" t="s">
        <v>4739</v>
      </c>
      <c r="K1278" s="5"/>
      <c r="L1278" s="4" t="s">
        <v>51</v>
      </c>
      <c r="M1278" s="8" t="s">
        <v>129</v>
      </c>
      <c r="N1278" s="9" t="s">
        <v>4495</v>
      </c>
      <c r="O1278" s="5"/>
      <c r="P1278" s="5"/>
      <c r="Q1278" s="6" t="s">
        <v>30</v>
      </c>
      <c r="R1278" s="4" t="s">
        <v>31</v>
      </c>
      <c r="S1278" s="7" t="s">
        <v>32</v>
      </c>
      <c r="T1278" s="5"/>
    </row>
    <row r="1279" customFormat="false" ht="29.25" hidden="false" customHeight="true" outlineLevel="0" collapsed="false">
      <c r="A1279" s="4" t="n">
        <v>1278</v>
      </c>
      <c r="B1279" s="6" t="s">
        <v>1787</v>
      </c>
      <c r="C1279" s="6" t="s">
        <v>4481</v>
      </c>
      <c r="D1279" s="6" t="s">
        <v>4482</v>
      </c>
      <c r="E1279" s="7" t="s">
        <v>21</v>
      </c>
      <c r="F1279" s="6" t="s">
        <v>4740</v>
      </c>
      <c r="G1279" s="6" t="s">
        <v>4680</v>
      </c>
      <c r="H1279" s="6" t="s">
        <v>4679</v>
      </c>
      <c r="I1279" s="6" t="s">
        <v>4681</v>
      </c>
      <c r="J1279" s="6" t="s">
        <v>4682</v>
      </c>
      <c r="K1279" s="5"/>
      <c r="L1279" s="4" t="s">
        <v>51</v>
      </c>
      <c r="M1279" s="8" t="s">
        <v>79</v>
      </c>
      <c r="N1279" s="9" t="s">
        <v>4495</v>
      </c>
      <c r="O1279" s="5"/>
      <c r="P1279" s="5"/>
      <c r="Q1279" s="6" t="s">
        <v>30</v>
      </c>
      <c r="R1279" s="4" t="s">
        <v>31</v>
      </c>
      <c r="S1279" s="7" t="s">
        <v>32</v>
      </c>
      <c r="T1279" s="5"/>
    </row>
    <row r="1280" customFormat="false" ht="29.25" hidden="false" customHeight="true" outlineLevel="0" collapsed="false">
      <c r="A1280" s="4" t="n">
        <v>1279</v>
      </c>
      <c r="B1280" s="6" t="s">
        <v>1787</v>
      </c>
      <c r="C1280" s="6" t="s">
        <v>4481</v>
      </c>
      <c r="D1280" s="6" t="s">
        <v>4482</v>
      </c>
      <c r="E1280" s="7" t="s">
        <v>21</v>
      </c>
      <c r="F1280" s="6" t="s">
        <v>4741</v>
      </c>
      <c r="G1280" s="6" t="s">
        <v>4742</v>
      </c>
      <c r="H1280" s="6" t="s">
        <v>4743</v>
      </c>
      <c r="I1280" s="6" t="s">
        <v>4744</v>
      </c>
      <c r="J1280" s="6" t="s">
        <v>78</v>
      </c>
      <c r="K1280" s="5"/>
      <c r="L1280" s="4" t="s">
        <v>51</v>
      </c>
      <c r="M1280" s="8" t="s">
        <v>28</v>
      </c>
      <c r="N1280" s="9" t="s">
        <v>4745</v>
      </c>
      <c r="O1280" s="5"/>
      <c r="P1280" s="5"/>
      <c r="Q1280" s="6" t="s">
        <v>30</v>
      </c>
      <c r="R1280" s="4" t="s">
        <v>31</v>
      </c>
      <c r="S1280" s="7" t="s">
        <v>32</v>
      </c>
      <c r="T1280" s="5"/>
    </row>
    <row r="1281" customFormat="false" ht="29.25" hidden="false" customHeight="true" outlineLevel="0" collapsed="false">
      <c r="A1281" s="4" t="n">
        <v>1280</v>
      </c>
      <c r="B1281" s="6" t="s">
        <v>1787</v>
      </c>
      <c r="C1281" s="6" t="s">
        <v>4481</v>
      </c>
      <c r="D1281" s="6" t="s">
        <v>4482</v>
      </c>
      <c r="E1281" s="7" t="s">
        <v>21</v>
      </c>
      <c r="F1281" s="6" t="s">
        <v>4746</v>
      </c>
      <c r="G1281" s="6" t="s">
        <v>2119</v>
      </c>
      <c r="H1281" s="6" t="s">
        <v>4747</v>
      </c>
      <c r="I1281" s="6" t="s">
        <v>4680</v>
      </c>
      <c r="J1281" s="6" t="s">
        <v>4748</v>
      </c>
      <c r="K1281" s="5"/>
      <c r="L1281" s="4" t="s">
        <v>27</v>
      </c>
      <c r="M1281" s="8" t="s">
        <v>79</v>
      </c>
      <c r="N1281" s="9" t="s">
        <v>4495</v>
      </c>
      <c r="O1281" s="5"/>
      <c r="P1281" s="5"/>
      <c r="Q1281" s="6" t="s">
        <v>30</v>
      </c>
      <c r="R1281" s="4" t="s">
        <v>31</v>
      </c>
      <c r="S1281" s="7" t="s">
        <v>32</v>
      </c>
      <c r="T1281" s="5"/>
    </row>
    <row r="1282" customFormat="false" ht="29.25" hidden="false" customHeight="true" outlineLevel="0" collapsed="false">
      <c r="A1282" s="4" t="n">
        <v>1281</v>
      </c>
      <c r="B1282" s="6" t="s">
        <v>1787</v>
      </c>
      <c r="C1282" s="6" t="s">
        <v>4481</v>
      </c>
      <c r="D1282" s="6" t="s">
        <v>4482</v>
      </c>
      <c r="E1282" s="7" t="s">
        <v>21</v>
      </c>
      <c r="F1282" s="6" t="s">
        <v>4749</v>
      </c>
      <c r="G1282" s="6" t="s">
        <v>4750</v>
      </c>
      <c r="H1282" s="6" t="s">
        <v>4743</v>
      </c>
      <c r="I1282" s="6" t="s">
        <v>4751</v>
      </c>
      <c r="J1282" s="6" t="s">
        <v>4752</v>
      </c>
      <c r="K1282" s="5"/>
      <c r="L1282" s="4" t="s">
        <v>44</v>
      </c>
      <c r="M1282" s="8" t="s">
        <v>28</v>
      </c>
      <c r="N1282" s="9" t="s">
        <v>4495</v>
      </c>
      <c r="O1282" s="5"/>
      <c r="P1282" s="5"/>
      <c r="Q1282" s="6" t="s">
        <v>30</v>
      </c>
      <c r="R1282" s="4" t="s">
        <v>31</v>
      </c>
      <c r="S1282" s="7" t="s">
        <v>32</v>
      </c>
      <c r="T1282" s="5"/>
    </row>
    <row r="1283" customFormat="false" ht="43.5" hidden="false" customHeight="true" outlineLevel="0" collapsed="false">
      <c r="A1283" s="4" t="n">
        <v>1282</v>
      </c>
      <c r="B1283" s="6" t="s">
        <v>1787</v>
      </c>
      <c r="C1283" s="6" t="s">
        <v>4481</v>
      </c>
      <c r="D1283" s="6" t="s">
        <v>4482</v>
      </c>
      <c r="E1283" s="7" t="s">
        <v>21</v>
      </c>
      <c r="F1283" s="6" t="s">
        <v>4753</v>
      </c>
      <c r="G1283" s="6" t="s">
        <v>4754</v>
      </c>
      <c r="H1283" s="6" t="s">
        <v>1590</v>
      </c>
      <c r="I1283" s="6" t="s">
        <v>1591</v>
      </c>
      <c r="J1283" s="6" t="s">
        <v>4755</v>
      </c>
      <c r="K1283" s="5"/>
      <c r="L1283" s="4" t="s">
        <v>62</v>
      </c>
      <c r="M1283" s="8" t="s">
        <v>28</v>
      </c>
      <c r="N1283" s="9" t="s">
        <v>4745</v>
      </c>
      <c r="O1283" s="5"/>
      <c r="P1283" s="5"/>
      <c r="Q1283" s="6" t="s">
        <v>30</v>
      </c>
      <c r="R1283" s="4" t="s">
        <v>31</v>
      </c>
      <c r="S1283" s="7" t="s">
        <v>32</v>
      </c>
      <c r="T1283" s="5"/>
    </row>
    <row r="1284" customFormat="false" ht="29.25" hidden="false" customHeight="true" outlineLevel="0" collapsed="false">
      <c r="A1284" s="4" t="n">
        <v>1283</v>
      </c>
      <c r="B1284" s="6" t="s">
        <v>1787</v>
      </c>
      <c r="C1284" s="6" t="s">
        <v>4481</v>
      </c>
      <c r="D1284" s="6" t="s">
        <v>4482</v>
      </c>
      <c r="E1284" s="7" t="s">
        <v>21</v>
      </c>
      <c r="F1284" s="6" t="s">
        <v>4756</v>
      </c>
      <c r="G1284" s="5" t="s">
        <v>4757</v>
      </c>
      <c r="H1284" s="5" t="s">
        <v>4758</v>
      </c>
      <c r="I1284" s="5" t="s">
        <v>4759</v>
      </c>
      <c r="J1284" s="5" t="s">
        <v>4760</v>
      </c>
      <c r="K1284" s="5"/>
      <c r="L1284" s="4" t="s">
        <v>44</v>
      </c>
      <c r="M1284" s="8" t="s">
        <v>79</v>
      </c>
      <c r="N1284" s="9" t="s">
        <v>4761</v>
      </c>
      <c r="O1284" s="5"/>
      <c r="P1284" s="5"/>
      <c r="Q1284" s="6" t="s">
        <v>30</v>
      </c>
      <c r="R1284" s="4" t="s">
        <v>31</v>
      </c>
      <c r="S1284" s="7" t="s">
        <v>32</v>
      </c>
      <c r="T1284" s="5"/>
    </row>
    <row r="1285" customFormat="false" ht="15" hidden="false" customHeight="true" outlineLevel="0" collapsed="false">
      <c r="A1285" s="4" t="n">
        <v>1284</v>
      </c>
      <c r="B1285" s="6" t="s">
        <v>1787</v>
      </c>
      <c r="C1285" s="6" t="s">
        <v>4481</v>
      </c>
      <c r="D1285" s="6" t="s">
        <v>4482</v>
      </c>
      <c r="E1285" s="7" t="s">
        <v>21</v>
      </c>
      <c r="F1285" s="6" t="s">
        <v>4762</v>
      </c>
      <c r="G1285" s="6" t="s">
        <v>4763</v>
      </c>
      <c r="H1285" s="6" t="s">
        <v>4764</v>
      </c>
      <c r="I1285" s="6" t="s">
        <v>4765</v>
      </c>
      <c r="J1285" s="6" t="s">
        <v>4742</v>
      </c>
      <c r="K1285" s="5"/>
      <c r="L1285" s="4" t="s">
        <v>51</v>
      </c>
      <c r="M1285" s="8" t="s">
        <v>79</v>
      </c>
      <c r="N1285" s="9" t="s">
        <v>4495</v>
      </c>
      <c r="O1285" s="5"/>
      <c r="P1285" s="5"/>
      <c r="Q1285" s="6" t="s">
        <v>30</v>
      </c>
      <c r="R1285" s="4" t="s">
        <v>31</v>
      </c>
      <c r="S1285" s="7" t="s">
        <v>32</v>
      </c>
      <c r="T1285" s="5"/>
    </row>
    <row r="1286" customFormat="false" ht="29.25" hidden="false" customHeight="true" outlineLevel="0" collapsed="false">
      <c r="A1286" s="4" t="n">
        <v>1285</v>
      </c>
      <c r="B1286" s="6" t="s">
        <v>1787</v>
      </c>
      <c r="C1286" s="6" t="s">
        <v>4481</v>
      </c>
      <c r="D1286" s="6" t="s">
        <v>4482</v>
      </c>
      <c r="E1286" s="7" t="s">
        <v>21</v>
      </c>
      <c r="F1286" s="6" t="s">
        <v>4766</v>
      </c>
      <c r="G1286" s="6" t="s">
        <v>4742</v>
      </c>
      <c r="H1286" s="6" t="s">
        <v>4763</v>
      </c>
      <c r="I1286" s="6" t="s">
        <v>4744</v>
      </c>
      <c r="J1286" s="6" t="s">
        <v>4767</v>
      </c>
      <c r="K1286" s="5"/>
      <c r="L1286" s="4" t="s">
        <v>44</v>
      </c>
      <c r="M1286" s="8" t="s">
        <v>28</v>
      </c>
      <c r="N1286" s="9" t="s">
        <v>4495</v>
      </c>
      <c r="O1286" s="5"/>
      <c r="P1286" s="5"/>
      <c r="Q1286" s="6" t="s">
        <v>30</v>
      </c>
      <c r="R1286" s="4" t="s">
        <v>31</v>
      </c>
      <c r="S1286" s="7" t="s">
        <v>32</v>
      </c>
      <c r="T1286" s="5"/>
    </row>
    <row r="1287" customFormat="false" ht="15" hidden="false" customHeight="true" outlineLevel="0" collapsed="false">
      <c r="A1287" s="4" t="n">
        <v>1286</v>
      </c>
      <c r="B1287" s="6" t="s">
        <v>1787</v>
      </c>
      <c r="C1287" s="6" t="s">
        <v>4481</v>
      </c>
      <c r="D1287" s="6" t="s">
        <v>4482</v>
      </c>
      <c r="E1287" s="7" t="s">
        <v>21</v>
      </c>
      <c r="F1287" s="6" t="s">
        <v>4768</v>
      </c>
      <c r="G1287" s="6" t="s">
        <v>4742</v>
      </c>
      <c r="H1287" s="6" t="s">
        <v>4763</v>
      </c>
      <c r="I1287" s="6" t="s">
        <v>4769</v>
      </c>
      <c r="J1287" s="6" t="s">
        <v>4767</v>
      </c>
      <c r="K1287" s="5"/>
      <c r="L1287" s="4" t="s">
        <v>44</v>
      </c>
      <c r="M1287" s="8" t="s">
        <v>79</v>
      </c>
      <c r="N1287" s="9" t="s">
        <v>4495</v>
      </c>
      <c r="O1287" s="5"/>
      <c r="P1287" s="5"/>
      <c r="Q1287" s="6" t="s">
        <v>30</v>
      </c>
      <c r="R1287" s="4" t="s">
        <v>31</v>
      </c>
      <c r="S1287" s="7" t="s">
        <v>32</v>
      </c>
      <c r="T1287" s="5"/>
    </row>
    <row r="1288" customFormat="false" ht="29.25" hidden="false" customHeight="true" outlineLevel="0" collapsed="false">
      <c r="A1288" s="4" t="n">
        <v>1287</v>
      </c>
      <c r="B1288" s="6" t="s">
        <v>1787</v>
      </c>
      <c r="C1288" s="6" t="s">
        <v>4481</v>
      </c>
      <c r="D1288" s="6" t="s">
        <v>4482</v>
      </c>
      <c r="E1288" s="7" t="s">
        <v>21</v>
      </c>
      <c r="F1288" s="6" t="s">
        <v>4770</v>
      </c>
      <c r="G1288" s="6" t="s">
        <v>4742</v>
      </c>
      <c r="H1288" s="6" t="s">
        <v>4763</v>
      </c>
      <c r="I1288" s="6" t="s">
        <v>4769</v>
      </c>
      <c r="J1288" s="6" t="s">
        <v>4767</v>
      </c>
      <c r="K1288" s="5"/>
      <c r="L1288" s="4" t="s">
        <v>44</v>
      </c>
      <c r="M1288" s="8" t="s">
        <v>79</v>
      </c>
      <c r="N1288" s="9" t="s">
        <v>4771</v>
      </c>
      <c r="O1288" s="5"/>
      <c r="P1288" s="5"/>
      <c r="Q1288" s="6" t="s">
        <v>30</v>
      </c>
      <c r="R1288" s="4" t="s">
        <v>31</v>
      </c>
      <c r="S1288" s="7" t="s">
        <v>32</v>
      </c>
      <c r="T1288" s="5"/>
    </row>
    <row r="1289" customFormat="false" ht="29.25" hidden="false" customHeight="true" outlineLevel="0" collapsed="false">
      <c r="A1289" s="4" t="n">
        <v>1288</v>
      </c>
      <c r="B1289" s="6" t="s">
        <v>1787</v>
      </c>
      <c r="C1289" s="6" t="s">
        <v>4481</v>
      </c>
      <c r="D1289" s="6" t="s">
        <v>4482</v>
      </c>
      <c r="E1289" s="7" t="s">
        <v>21</v>
      </c>
      <c r="F1289" s="6" t="s">
        <v>4772</v>
      </c>
      <c r="G1289" s="5" t="s">
        <v>4773</v>
      </c>
      <c r="H1289" s="5" t="s">
        <v>4774</v>
      </c>
      <c r="I1289" s="6" t="s">
        <v>4775</v>
      </c>
      <c r="J1289" s="6" t="s">
        <v>150</v>
      </c>
      <c r="K1289" s="5"/>
      <c r="L1289" s="4" t="s">
        <v>51</v>
      </c>
      <c r="M1289" s="8" t="s">
        <v>79</v>
      </c>
      <c r="N1289" s="9" t="s">
        <v>4776</v>
      </c>
      <c r="O1289" s="5"/>
      <c r="P1289" s="5"/>
      <c r="Q1289" s="6" t="s">
        <v>30</v>
      </c>
      <c r="R1289" s="4" t="s">
        <v>31</v>
      </c>
      <c r="S1289" s="7" t="s">
        <v>32</v>
      </c>
      <c r="T1289" s="5"/>
    </row>
    <row r="1290" customFormat="false" ht="86.25" hidden="false" customHeight="true" outlineLevel="0" collapsed="false">
      <c r="A1290" s="4" t="n">
        <v>1289</v>
      </c>
      <c r="B1290" s="6" t="s">
        <v>1787</v>
      </c>
      <c r="C1290" s="6" t="s">
        <v>4481</v>
      </c>
      <c r="D1290" s="6" t="s">
        <v>4482</v>
      </c>
      <c r="E1290" s="7" t="s">
        <v>21</v>
      </c>
      <c r="F1290" s="6" t="s">
        <v>4777</v>
      </c>
      <c r="G1290" s="6" t="s">
        <v>4778</v>
      </c>
      <c r="H1290" s="5" t="s">
        <v>4779</v>
      </c>
      <c r="I1290" s="5" t="s">
        <v>4780</v>
      </c>
      <c r="J1290" s="6" t="s">
        <v>4781</v>
      </c>
      <c r="K1290" s="5"/>
      <c r="L1290" s="4" t="s">
        <v>44</v>
      </c>
      <c r="M1290" s="8" t="s">
        <v>28</v>
      </c>
      <c r="N1290" s="9" t="s">
        <v>4495</v>
      </c>
      <c r="O1290" s="5"/>
      <c r="P1290" s="5"/>
      <c r="Q1290" s="6" t="s">
        <v>30</v>
      </c>
      <c r="R1290" s="4" t="s">
        <v>31</v>
      </c>
      <c r="S1290" s="7" t="s">
        <v>32</v>
      </c>
      <c r="T1290" s="5"/>
    </row>
    <row r="1291" customFormat="false" ht="72" hidden="false" customHeight="true" outlineLevel="0" collapsed="false">
      <c r="A1291" s="4" t="n">
        <v>1290</v>
      </c>
      <c r="B1291" s="6" t="s">
        <v>1787</v>
      </c>
      <c r="C1291" s="6" t="s">
        <v>4481</v>
      </c>
      <c r="D1291" s="6" t="s">
        <v>4482</v>
      </c>
      <c r="E1291" s="7" t="s">
        <v>21</v>
      </c>
      <c r="F1291" s="6" t="s">
        <v>4782</v>
      </c>
      <c r="G1291" s="6" t="s">
        <v>4783</v>
      </c>
      <c r="H1291" s="6" t="s">
        <v>4784</v>
      </c>
      <c r="I1291" s="6" t="s">
        <v>4785</v>
      </c>
      <c r="J1291" s="6" t="s">
        <v>4786</v>
      </c>
      <c r="K1291" s="5"/>
      <c r="L1291" s="4" t="s">
        <v>27</v>
      </c>
      <c r="M1291" s="8" t="s">
        <v>28</v>
      </c>
      <c r="N1291" s="9" t="s">
        <v>4495</v>
      </c>
      <c r="O1291" s="5"/>
      <c r="P1291" s="5"/>
      <c r="Q1291" s="6" t="s">
        <v>30</v>
      </c>
      <c r="R1291" s="4" t="s">
        <v>31</v>
      </c>
      <c r="S1291" s="7" t="s">
        <v>32</v>
      </c>
      <c r="T1291" s="5"/>
    </row>
    <row r="1292" customFormat="false" ht="29.25" hidden="false" customHeight="true" outlineLevel="0" collapsed="false">
      <c r="A1292" s="4" t="n">
        <v>1291</v>
      </c>
      <c r="B1292" s="6" t="s">
        <v>1787</v>
      </c>
      <c r="C1292" s="6" t="s">
        <v>4481</v>
      </c>
      <c r="D1292" s="6" t="s">
        <v>4482</v>
      </c>
      <c r="E1292" s="7" t="s">
        <v>21</v>
      </c>
      <c r="F1292" s="6" t="s">
        <v>4787</v>
      </c>
      <c r="G1292" s="5" t="s">
        <v>4788</v>
      </c>
      <c r="H1292" s="5" t="s">
        <v>4722</v>
      </c>
      <c r="I1292" s="5" t="s">
        <v>4724</v>
      </c>
      <c r="J1292" s="5" t="s">
        <v>4723</v>
      </c>
      <c r="K1292" s="5"/>
      <c r="L1292" s="4" t="s">
        <v>44</v>
      </c>
      <c r="M1292" s="8" t="s">
        <v>79</v>
      </c>
      <c r="N1292" s="9" t="s">
        <v>4495</v>
      </c>
      <c r="O1292" s="5"/>
      <c r="P1292" s="5"/>
      <c r="Q1292" s="6" t="s">
        <v>30</v>
      </c>
      <c r="R1292" s="4" t="s">
        <v>31</v>
      </c>
      <c r="S1292" s="7" t="s">
        <v>32</v>
      </c>
      <c r="T1292" s="5"/>
    </row>
    <row r="1293" customFormat="false" ht="29.25" hidden="false" customHeight="true" outlineLevel="0" collapsed="false">
      <c r="A1293" s="4" t="n">
        <v>1292</v>
      </c>
      <c r="B1293" s="6" t="s">
        <v>1787</v>
      </c>
      <c r="C1293" s="6" t="s">
        <v>4481</v>
      </c>
      <c r="D1293" s="6" t="s">
        <v>4482</v>
      </c>
      <c r="E1293" s="7" t="s">
        <v>21</v>
      </c>
      <c r="F1293" s="6" t="s">
        <v>4789</v>
      </c>
      <c r="G1293" s="5" t="s">
        <v>4788</v>
      </c>
      <c r="H1293" s="5" t="s">
        <v>4724</v>
      </c>
      <c r="I1293" s="5" t="s">
        <v>4722</v>
      </c>
      <c r="J1293" s="6" t="s">
        <v>150</v>
      </c>
      <c r="K1293" s="5"/>
      <c r="L1293" s="4" t="s">
        <v>27</v>
      </c>
      <c r="M1293" s="8" t="s">
        <v>79</v>
      </c>
      <c r="N1293" s="9" t="s">
        <v>4495</v>
      </c>
      <c r="O1293" s="5"/>
      <c r="P1293" s="5"/>
      <c r="Q1293" s="6" t="s">
        <v>30</v>
      </c>
      <c r="R1293" s="4" t="s">
        <v>31</v>
      </c>
      <c r="S1293" s="7" t="s">
        <v>32</v>
      </c>
      <c r="T1293" s="5"/>
    </row>
    <row r="1294" customFormat="false" ht="15" hidden="false" customHeight="true" outlineLevel="0" collapsed="false">
      <c r="A1294" s="4" t="n">
        <v>1293</v>
      </c>
      <c r="B1294" s="6" t="s">
        <v>1787</v>
      </c>
      <c r="C1294" s="6" t="s">
        <v>4481</v>
      </c>
      <c r="D1294" s="6" t="s">
        <v>4482</v>
      </c>
      <c r="E1294" s="7" t="s">
        <v>21</v>
      </c>
      <c r="F1294" s="6" t="s">
        <v>4790</v>
      </c>
      <c r="G1294" s="5" t="s">
        <v>4724</v>
      </c>
      <c r="H1294" s="5" t="s">
        <v>4722</v>
      </c>
      <c r="I1294" s="5" t="s">
        <v>4723</v>
      </c>
      <c r="J1294" s="6" t="s">
        <v>150</v>
      </c>
      <c r="K1294" s="5"/>
      <c r="L1294" s="4" t="s">
        <v>27</v>
      </c>
      <c r="M1294" s="8" t="s">
        <v>79</v>
      </c>
      <c r="N1294" s="9" t="s">
        <v>4495</v>
      </c>
      <c r="O1294" s="5"/>
      <c r="P1294" s="5"/>
      <c r="Q1294" s="6" t="s">
        <v>30</v>
      </c>
      <c r="R1294" s="4" t="s">
        <v>31</v>
      </c>
      <c r="S1294" s="7" t="s">
        <v>32</v>
      </c>
      <c r="T1294" s="5"/>
    </row>
    <row r="1295" customFormat="false" ht="29.25" hidden="false" customHeight="true" outlineLevel="0" collapsed="false">
      <c r="A1295" s="4" t="n">
        <v>1294</v>
      </c>
      <c r="B1295" s="6" t="s">
        <v>1787</v>
      </c>
      <c r="C1295" s="6" t="s">
        <v>4481</v>
      </c>
      <c r="D1295" s="6" t="s">
        <v>4482</v>
      </c>
      <c r="E1295" s="7" t="s">
        <v>21</v>
      </c>
      <c r="F1295" s="6" t="s">
        <v>4791</v>
      </c>
      <c r="G1295" s="5" t="s">
        <v>4792</v>
      </c>
      <c r="H1295" s="5" t="s">
        <v>4793</v>
      </c>
      <c r="I1295" s="6" t="s">
        <v>4794</v>
      </c>
      <c r="J1295" s="6" t="s">
        <v>4680</v>
      </c>
      <c r="K1295" s="5"/>
      <c r="L1295" s="4" t="s">
        <v>51</v>
      </c>
      <c r="M1295" s="8" t="s">
        <v>79</v>
      </c>
      <c r="N1295" s="9" t="s">
        <v>4745</v>
      </c>
      <c r="O1295" s="5"/>
      <c r="P1295" s="5"/>
      <c r="Q1295" s="6" t="s">
        <v>30</v>
      </c>
      <c r="R1295" s="4" t="s">
        <v>31</v>
      </c>
      <c r="S1295" s="7" t="s">
        <v>32</v>
      </c>
      <c r="T1295" s="5"/>
    </row>
    <row r="1296" customFormat="false" ht="29.25" hidden="false" customHeight="true" outlineLevel="0" collapsed="false">
      <c r="A1296" s="4" t="n">
        <v>1295</v>
      </c>
      <c r="B1296" s="6" t="s">
        <v>1787</v>
      </c>
      <c r="C1296" s="6" t="s">
        <v>4481</v>
      </c>
      <c r="D1296" s="6" t="s">
        <v>4482</v>
      </c>
      <c r="E1296" s="7" t="s">
        <v>21</v>
      </c>
      <c r="F1296" s="6" t="s">
        <v>4795</v>
      </c>
      <c r="G1296" s="6" t="s">
        <v>4796</v>
      </c>
      <c r="H1296" s="6" t="s">
        <v>4797</v>
      </c>
      <c r="I1296" s="6" t="s">
        <v>4798</v>
      </c>
      <c r="J1296" s="6" t="s">
        <v>4799</v>
      </c>
      <c r="K1296" s="5"/>
      <c r="L1296" s="4" t="s">
        <v>27</v>
      </c>
      <c r="M1296" s="8" t="s">
        <v>79</v>
      </c>
      <c r="N1296" s="9" t="s">
        <v>4495</v>
      </c>
      <c r="O1296" s="5"/>
      <c r="P1296" s="5"/>
      <c r="Q1296" s="6" t="s">
        <v>30</v>
      </c>
      <c r="R1296" s="4" t="s">
        <v>31</v>
      </c>
      <c r="S1296" s="7" t="s">
        <v>32</v>
      </c>
      <c r="T1296" s="5"/>
    </row>
    <row r="1297" customFormat="false" ht="29.25" hidden="false" customHeight="true" outlineLevel="0" collapsed="false">
      <c r="A1297" s="4" t="n">
        <v>1296</v>
      </c>
      <c r="B1297" s="6" t="s">
        <v>1787</v>
      </c>
      <c r="C1297" s="6" t="s">
        <v>4481</v>
      </c>
      <c r="D1297" s="6" t="s">
        <v>4482</v>
      </c>
      <c r="E1297" s="7" t="s">
        <v>21</v>
      </c>
      <c r="F1297" s="6" t="s">
        <v>4800</v>
      </c>
      <c r="G1297" s="6" t="s">
        <v>4801</v>
      </c>
      <c r="H1297" s="6" t="s">
        <v>4802</v>
      </c>
      <c r="I1297" s="6" t="s">
        <v>4803</v>
      </c>
      <c r="J1297" s="6" t="s">
        <v>4804</v>
      </c>
      <c r="K1297" s="5"/>
      <c r="L1297" s="4" t="s">
        <v>62</v>
      </c>
      <c r="M1297" s="8" t="s">
        <v>79</v>
      </c>
      <c r="N1297" s="9" t="s">
        <v>4495</v>
      </c>
      <c r="O1297" s="5"/>
      <c r="P1297" s="5"/>
      <c r="Q1297" s="6" t="s">
        <v>30</v>
      </c>
      <c r="R1297" s="4" t="s">
        <v>31</v>
      </c>
      <c r="S1297" s="7" t="s">
        <v>32</v>
      </c>
      <c r="T1297" s="5"/>
    </row>
    <row r="1298" customFormat="false" ht="29.25" hidden="false" customHeight="true" outlineLevel="0" collapsed="false">
      <c r="A1298" s="4" t="n">
        <v>1297</v>
      </c>
      <c r="B1298" s="6" t="s">
        <v>1787</v>
      </c>
      <c r="C1298" s="6" t="s">
        <v>4481</v>
      </c>
      <c r="D1298" s="6" t="s">
        <v>4482</v>
      </c>
      <c r="E1298" s="7" t="s">
        <v>21</v>
      </c>
      <c r="F1298" s="6" t="s">
        <v>4805</v>
      </c>
      <c r="G1298" s="5" t="s">
        <v>4792</v>
      </c>
      <c r="H1298" s="5" t="s">
        <v>4793</v>
      </c>
      <c r="I1298" s="6" t="s">
        <v>4679</v>
      </c>
      <c r="J1298" s="6" t="s">
        <v>4680</v>
      </c>
      <c r="K1298" s="5"/>
      <c r="L1298" s="4" t="s">
        <v>62</v>
      </c>
      <c r="M1298" s="8" t="s">
        <v>79</v>
      </c>
      <c r="N1298" s="9" t="s">
        <v>4495</v>
      </c>
      <c r="O1298" s="5"/>
      <c r="P1298" s="5"/>
      <c r="Q1298" s="6" t="s">
        <v>30</v>
      </c>
      <c r="R1298" s="4" t="s">
        <v>31</v>
      </c>
      <c r="S1298" s="7" t="s">
        <v>32</v>
      </c>
      <c r="T1298" s="5"/>
    </row>
    <row r="1299" customFormat="false" ht="72" hidden="false" customHeight="true" outlineLevel="0" collapsed="false">
      <c r="A1299" s="4" t="n">
        <v>1298</v>
      </c>
      <c r="B1299" s="6" t="s">
        <v>1787</v>
      </c>
      <c r="C1299" s="6" t="s">
        <v>4481</v>
      </c>
      <c r="D1299" s="6" t="s">
        <v>4482</v>
      </c>
      <c r="E1299" s="7" t="s">
        <v>21</v>
      </c>
      <c r="F1299" s="6" t="s">
        <v>4806</v>
      </c>
      <c r="G1299" s="6" t="s">
        <v>4807</v>
      </c>
      <c r="H1299" s="6" t="s">
        <v>4808</v>
      </c>
      <c r="I1299" s="6" t="s">
        <v>4809</v>
      </c>
      <c r="J1299" s="6" t="s">
        <v>78</v>
      </c>
      <c r="K1299" s="5"/>
      <c r="L1299" s="4" t="s">
        <v>27</v>
      </c>
      <c r="M1299" s="8" t="s">
        <v>28</v>
      </c>
      <c r="N1299" s="9" t="s">
        <v>4495</v>
      </c>
      <c r="O1299" s="5"/>
      <c r="P1299" s="5"/>
      <c r="Q1299" s="6" t="s">
        <v>30</v>
      </c>
      <c r="R1299" s="4" t="s">
        <v>31</v>
      </c>
      <c r="S1299" s="7" t="s">
        <v>32</v>
      </c>
      <c r="T1299" s="5"/>
    </row>
    <row r="1300" customFormat="false" ht="43.5" hidden="false" customHeight="true" outlineLevel="0" collapsed="false">
      <c r="A1300" s="4" t="n">
        <v>1299</v>
      </c>
      <c r="B1300" s="6" t="s">
        <v>1787</v>
      </c>
      <c r="C1300" s="6" t="s">
        <v>4481</v>
      </c>
      <c r="D1300" s="6" t="s">
        <v>4482</v>
      </c>
      <c r="E1300" s="7" t="s">
        <v>21</v>
      </c>
      <c r="F1300" s="6" t="s">
        <v>4810</v>
      </c>
      <c r="G1300" s="6" t="s">
        <v>4811</v>
      </c>
      <c r="H1300" s="6" t="s">
        <v>4812</v>
      </c>
      <c r="I1300" s="6" t="s">
        <v>4813</v>
      </c>
      <c r="J1300" s="6" t="s">
        <v>322</v>
      </c>
      <c r="K1300" s="5"/>
      <c r="L1300" s="4" t="s">
        <v>62</v>
      </c>
      <c r="M1300" s="8" t="s">
        <v>28</v>
      </c>
      <c r="N1300" s="9" t="s">
        <v>4495</v>
      </c>
      <c r="O1300" s="5"/>
      <c r="P1300" s="5"/>
      <c r="Q1300" s="6" t="s">
        <v>30</v>
      </c>
      <c r="R1300" s="4" t="s">
        <v>31</v>
      </c>
      <c r="S1300" s="7" t="s">
        <v>32</v>
      </c>
      <c r="T1300" s="5"/>
    </row>
    <row r="1301" customFormat="false" ht="29.25" hidden="false" customHeight="true" outlineLevel="0" collapsed="false">
      <c r="A1301" s="4" t="n">
        <v>1300</v>
      </c>
      <c r="B1301" s="6" t="s">
        <v>1787</v>
      </c>
      <c r="C1301" s="6" t="s">
        <v>4481</v>
      </c>
      <c r="D1301" s="6" t="s">
        <v>4482</v>
      </c>
      <c r="E1301" s="7" t="s">
        <v>21</v>
      </c>
      <c r="F1301" s="6" t="s">
        <v>4814</v>
      </c>
      <c r="G1301" s="6" t="s">
        <v>4815</v>
      </c>
      <c r="H1301" s="6" t="s">
        <v>4816</v>
      </c>
      <c r="I1301" s="6" t="s">
        <v>4817</v>
      </c>
      <c r="J1301" s="6" t="s">
        <v>4750</v>
      </c>
      <c r="K1301" s="5"/>
      <c r="L1301" s="4" t="s">
        <v>27</v>
      </c>
      <c r="M1301" s="8" t="s">
        <v>79</v>
      </c>
      <c r="N1301" s="9" t="s">
        <v>4495</v>
      </c>
      <c r="O1301" s="5"/>
      <c r="P1301" s="5"/>
      <c r="Q1301" s="6" t="s">
        <v>30</v>
      </c>
      <c r="R1301" s="4" t="s">
        <v>31</v>
      </c>
      <c r="S1301" s="7" t="s">
        <v>32</v>
      </c>
      <c r="T1301" s="5"/>
    </row>
    <row r="1302" customFormat="false" ht="29.25" hidden="false" customHeight="true" outlineLevel="0" collapsed="false">
      <c r="A1302" s="4" t="n">
        <v>1301</v>
      </c>
      <c r="B1302" s="6" t="s">
        <v>1787</v>
      </c>
      <c r="C1302" s="6" t="s">
        <v>4481</v>
      </c>
      <c r="D1302" s="6" t="s">
        <v>4482</v>
      </c>
      <c r="E1302" s="7" t="s">
        <v>21</v>
      </c>
      <c r="F1302" s="6" t="s">
        <v>4818</v>
      </c>
      <c r="G1302" s="6" t="s">
        <v>2478</v>
      </c>
      <c r="H1302" s="6" t="s">
        <v>4819</v>
      </c>
      <c r="I1302" s="6" t="s">
        <v>4820</v>
      </c>
      <c r="J1302" s="6" t="s">
        <v>903</v>
      </c>
      <c r="K1302" s="5"/>
      <c r="L1302" s="4" t="s">
        <v>44</v>
      </c>
      <c r="M1302" s="8" t="s">
        <v>79</v>
      </c>
      <c r="N1302" s="9" t="s">
        <v>4495</v>
      </c>
      <c r="O1302" s="5"/>
      <c r="P1302" s="5"/>
      <c r="Q1302" s="6" t="s">
        <v>30</v>
      </c>
      <c r="R1302" s="4" t="s">
        <v>31</v>
      </c>
      <c r="S1302" s="7" t="s">
        <v>32</v>
      </c>
      <c r="T1302" s="5"/>
    </row>
    <row r="1303" customFormat="false" ht="29.25" hidden="false" customHeight="true" outlineLevel="0" collapsed="false">
      <c r="A1303" s="4" t="n">
        <v>1302</v>
      </c>
      <c r="B1303" s="6" t="s">
        <v>1787</v>
      </c>
      <c r="C1303" s="6" t="s">
        <v>4481</v>
      </c>
      <c r="D1303" s="6" t="s">
        <v>4482</v>
      </c>
      <c r="E1303" s="7" t="s">
        <v>21</v>
      </c>
      <c r="F1303" s="6" t="s">
        <v>4821</v>
      </c>
      <c r="G1303" s="6" t="s">
        <v>4822</v>
      </c>
      <c r="H1303" s="6" t="s">
        <v>4823</v>
      </c>
      <c r="I1303" s="6" t="s">
        <v>4824</v>
      </c>
      <c r="J1303" s="6" t="s">
        <v>4825</v>
      </c>
      <c r="K1303" s="5"/>
      <c r="L1303" s="4" t="s">
        <v>51</v>
      </c>
      <c r="M1303" s="8" t="s">
        <v>28</v>
      </c>
      <c r="N1303" s="9" t="s">
        <v>4495</v>
      </c>
      <c r="O1303" s="5"/>
      <c r="P1303" s="5"/>
      <c r="Q1303" s="6" t="s">
        <v>30</v>
      </c>
      <c r="R1303" s="4" t="s">
        <v>31</v>
      </c>
      <c r="S1303" s="7" t="s">
        <v>32</v>
      </c>
      <c r="T1303" s="5"/>
    </row>
    <row r="1304" customFormat="false" ht="15" hidden="false" customHeight="true" outlineLevel="0" collapsed="false">
      <c r="A1304" s="4" t="n">
        <v>1303</v>
      </c>
      <c r="B1304" s="6" t="s">
        <v>1787</v>
      </c>
      <c r="C1304" s="6" t="s">
        <v>4481</v>
      </c>
      <c r="D1304" s="6" t="s">
        <v>4482</v>
      </c>
      <c r="E1304" s="7" t="s">
        <v>21</v>
      </c>
      <c r="F1304" s="6" t="s">
        <v>4826</v>
      </c>
      <c r="G1304" s="6" t="s">
        <v>4827</v>
      </c>
      <c r="H1304" s="6" t="s">
        <v>4828</v>
      </c>
      <c r="I1304" s="6" t="s">
        <v>4829</v>
      </c>
      <c r="J1304" s="6" t="s">
        <v>4830</v>
      </c>
      <c r="K1304" s="5"/>
      <c r="L1304" s="4" t="s">
        <v>51</v>
      </c>
      <c r="M1304" s="8" t="s">
        <v>129</v>
      </c>
      <c r="N1304" s="9" t="s">
        <v>4495</v>
      </c>
      <c r="O1304" s="5"/>
      <c r="P1304" s="5"/>
      <c r="Q1304" s="6" t="s">
        <v>30</v>
      </c>
      <c r="R1304" s="4" t="s">
        <v>31</v>
      </c>
      <c r="S1304" s="7" t="s">
        <v>32</v>
      </c>
      <c r="T1304" s="5"/>
    </row>
    <row r="1305" customFormat="false" ht="43.5" hidden="false" customHeight="true" outlineLevel="0" collapsed="false">
      <c r="A1305" s="4" t="n">
        <v>1304</v>
      </c>
      <c r="B1305" s="6" t="s">
        <v>1787</v>
      </c>
      <c r="C1305" s="6" t="s">
        <v>4481</v>
      </c>
      <c r="D1305" s="6" t="s">
        <v>4482</v>
      </c>
      <c r="E1305" s="7" t="s">
        <v>21</v>
      </c>
      <c r="F1305" s="6" t="s">
        <v>4831</v>
      </c>
      <c r="G1305" s="6" t="s">
        <v>4832</v>
      </c>
      <c r="H1305" s="6" t="s">
        <v>4833</v>
      </c>
      <c r="I1305" s="6" t="s">
        <v>4834</v>
      </c>
      <c r="J1305" s="6" t="s">
        <v>4835</v>
      </c>
      <c r="K1305" s="5"/>
      <c r="L1305" s="4" t="s">
        <v>62</v>
      </c>
      <c r="M1305" s="8" t="s">
        <v>79</v>
      </c>
      <c r="N1305" s="9" t="s">
        <v>4495</v>
      </c>
      <c r="O1305" s="5"/>
      <c r="P1305" s="5"/>
      <c r="Q1305" s="6" t="s">
        <v>30</v>
      </c>
      <c r="R1305" s="4" t="s">
        <v>31</v>
      </c>
      <c r="S1305" s="7" t="s">
        <v>32</v>
      </c>
      <c r="T1305" s="5"/>
    </row>
    <row r="1306" customFormat="false" ht="15" hidden="false" customHeight="true" outlineLevel="0" collapsed="false">
      <c r="A1306" s="4" t="n">
        <v>1305</v>
      </c>
      <c r="B1306" s="6" t="s">
        <v>1787</v>
      </c>
      <c r="C1306" s="6" t="s">
        <v>4481</v>
      </c>
      <c r="D1306" s="6" t="s">
        <v>4482</v>
      </c>
      <c r="E1306" s="7" t="s">
        <v>21</v>
      </c>
      <c r="F1306" s="6" t="s">
        <v>4836</v>
      </c>
      <c r="G1306" s="6" t="s">
        <v>4837</v>
      </c>
      <c r="H1306" s="6" t="s">
        <v>4838</v>
      </c>
      <c r="I1306" s="6" t="s">
        <v>4839</v>
      </c>
      <c r="J1306" s="6" t="s">
        <v>150</v>
      </c>
      <c r="K1306" s="5"/>
      <c r="L1306" s="4" t="s">
        <v>62</v>
      </c>
      <c r="M1306" s="8" t="s">
        <v>79</v>
      </c>
      <c r="N1306" s="9" t="s">
        <v>4495</v>
      </c>
      <c r="O1306" s="5"/>
      <c r="P1306" s="5"/>
      <c r="Q1306" s="6" t="s">
        <v>30</v>
      </c>
      <c r="R1306" s="4" t="s">
        <v>31</v>
      </c>
      <c r="S1306" s="7" t="s">
        <v>32</v>
      </c>
      <c r="T1306" s="5"/>
    </row>
    <row r="1307" customFormat="false" ht="57.75" hidden="false" customHeight="true" outlineLevel="0" collapsed="false">
      <c r="A1307" s="4" t="n">
        <v>1306</v>
      </c>
      <c r="B1307" s="6" t="s">
        <v>1787</v>
      </c>
      <c r="C1307" s="6" t="s">
        <v>4481</v>
      </c>
      <c r="D1307" s="6" t="s">
        <v>4482</v>
      </c>
      <c r="E1307" s="7" t="s">
        <v>21</v>
      </c>
      <c r="F1307" s="6" t="s">
        <v>4840</v>
      </c>
      <c r="G1307" s="5" t="s">
        <v>4724</v>
      </c>
      <c r="H1307" s="5" t="s">
        <v>4722</v>
      </c>
      <c r="I1307" s="5" t="s">
        <v>4723</v>
      </c>
      <c r="J1307" s="5" t="s">
        <v>4721</v>
      </c>
      <c r="K1307" s="5"/>
      <c r="L1307" s="4" t="s">
        <v>62</v>
      </c>
      <c r="M1307" s="8" t="s">
        <v>28</v>
      </c>
      <c r="N1307" s="9" t="s">
        <v>4495</v>
      </c>
      <c r="O1307" s="5"/>
      <c r="P1307" s="5"/>
      <c r="Q1307" s="6" t="s">
        <v>30</v>
      </c>
      <c r="R1307" s="4" t="s">
        <v>31</v>
      </c>
      <c r="S1307" s="7" t="s">
        <v>32</v>
      </c>
      <c r="T1307" s="5"/>
    </row>
    <row r="1308" customFormat="false" ht="15" hidden="false" customHeight="true" outlineLevel="0" collapsed="false">
      <c r="A1308" s="4" t="n">
        <v>1307</v>
      </c>
      <c r="B1308" s="6" t="s">
        <v>1787</v>
      </c>
      <c r="C1308" s="6" t="s">
        <v>4481</v>
      </c>
      <c r="D1308" s="6" t="s">
        <v>4482</v>
      </c>
      <c r="E1308" s="7" t="s">
        <v>21</v>
      </c>
      <c r="F1308" s="6" t="s">
        <v>4841</v>
      </c>
      <c r="G1308" s="5" t="s">
        <v>4724</v>
      </c>
      <c r="H1308" s="5" t="s">
        <v>4723</v>
      </c>
      <c r="I1308" s="5" t="s">
        <v>4722</v>
      </c>
      <c r="J1308" s="6" t="s">
        <v>150</v>
      </c>
      <c r="K1308" s="5"/>
      <c r="L1308" s="4" t="s">
        <v>27</v>
      </c>
      <c r="M1308" s="8" t="s">
        <v>79</v>
      </c>
      <c r="N1308" s="9" t="s">
        <v>4495</v>
      </c>
      <c r="O1308" s="5"/>
      <c r="P1308" s="5"/>
      <c r="Q1308" s="6" t="s">
        <v>30</v>
      </c>
      <c r="R1308" s="4" t="s">
        <v>31</v>
      </c>
      <c r="S1308" s="7" t="s">
        <v>32</v>
      </c>
      <c r="T1308" s="5"/>
    </row>
    <row r="1309" customFormat="false" ht="29.25" hidden="false" customHeight="true" outlineLevel="0" collapsed="false">
      <c r="A1309" s="4" t="n">
        <v>1308</v>
      </c>
      <c r="B1309" s="6" t="s">
        <v>1787</v>
      </c>
      <c r="C1309" s="6" t="s">
        <v>4481</v>
      </c>
      <c r="D1309" s="6" t="s">
        <v>4482</v>
      </c>
      <c r="E1309" s="7" t="s">
        <v>21</v>
      </c>
      <c r="F1309" s="6" t="s">
        <v>4842</v>
      </c>
      <c r="G1309" s="6" t="s">
        <v>4843</v>
      </c>
      <c r="H1309" s="6" t="s">
        <v>4844</v>
      </c>
      <c r="I1309" s="6" t="s">
        <v>4845</v>
      </c>
      <c r="J1309" s="6" t="s">
        <v>4846</v>
      </c>
      <c r="K1309" s="5"/>
      <c r="L1309" s="4" t="s">
        <v>27</v>
      </c>
      <c r="M1309" s="8" t="s">
        <v>79</v>
      </c>
      <c r="N1309" s="9" t="s">
        <v>4495</v>
      </c>
      <c r="O1309" s="5"/>
      <c r="P1309" s="5"/>
      <c r="Q1309" s="6" t="s">
        <v>30</v>
      </c>
      <c r="R1309" s="4" t="s">
        <v>31</v>
      </c>
      <c r="S1309" s="7" t="s">
        <v>32</v>
      </c>
      <c r="T1309" s="5"/>
    </row>
    <row r="1310" customFormat="false" ht="43.5" hidden="false" customHeight="true" outlineLevel="0" collapsed="false">
      <c r="A1310" s="4" t="n">
        <v>1309</v>
      </c>
      <c r="B1310" s="6" t="s">
        <v>1787</v>
      </c>
      <c r="C1310" s="6" t="s">
        <v>4481</v>
      </c>
      <c r="D1310" s="6" t="s">
        <v>4482</v>
      </c>
      <c r="E1310" s="7" t="s">
        <v>21</v>
      </c>
      <c r="F1310" s="5" t="s">
        <v>4847</v>
      </c>
      <c r="G1310" s="6" t="s">
        <v>4833</v>
      </c>
      <c r="H1310" s="6" t="s">
        <v>4848</v>
      </c>
      <c r="I1310" s="6" t="s">
        <v>4785</v>
      </c>
      <c r="J1310" s="6" t="s">
        <v>78</v>
      </c>
      <c r="K1310" s="5"/>
      <c r="L1310" s="4" t="s">
        <v>44</v>
      </c>
      <c r="M1310" s="8" t="s">
        <v>79</v>
      </c>
      <c r="N1310" s="9" t="s">
        <v>4495</v>
      </c>
      <c r="O1310" s="5"/>
      <c r="P1310" s="5"/>
      <c r="Q1310" s="6" t="s">
        <v>30</v>
      </c>
      <c r="R1310" s="4" t="s">
        <v>31</v>
      </c>
      <c r="S1310" s="7" t="s">
        <v>32</v>
      </c>
      <c r="T1310" s="5"/>
    </row>
    <row r="1311" customFormat="false" ht="29.25" hidden="false" customHeight="true" outlineLevel="0" collapsed="false">
      <c r="A1311" s="4" t="n">
        <v>1310</v>
      </c>
      <c r="B1311" s="6" t="s">
        <v>1787</v>
      </c>
      <c r="C1311" s="6" t="s">
        <v>4481</v>
      </c>
      <c r="D1311" s="6" t="s">
        <v>4482</v>
      </c>
      <c r="E1311" s="7" t="s">
        <v>21</v>
      </c>
      <c r="F1311" s="6" t="s">
        <v>4849</v>
      </c>
      <c r="G1311" s="5" t="s">
        <v>4788</v>
      </c>
      <c r="H1311" s="5" t="s">
        <v>4723</v>
      </c>
      <c r="I1311" s="5" t="s">
        <v>4722</v>
      </c>
      <c r="J1311" s="5" t="s">
        <v>4724</v>
      </c>
      <c r="K1311" s="5"/>
      <c r="L1311" s="4" t="s">
        <v>44</v>
      </c>
      <c r="M1311" s="8" t="s">
        <v>129</v>
      </c>
      <c r="N1311" s="9" t="s">
        <v>4495</v>
      </c>
      <c r="O1311" s="5"/>
      <c r="P1311" s="5"/>
      <c r="Q1311" s="6" t="s">
        <v>30</v>
      </c>
      <c r="R1311" s="4" t="s">
        <v>31</v>
      </c>
      <c r="S1311" s="7" t="s">
        <v>32</v>
      </c>
      <c r="T1311" s="5"/>
    </row>
    <row r="1312" customFormat="false" ht="29.25" hidden="false" customHeight="true" outlineLevel="0" collapsed="false">
      <c r="A1312" s="4" t="n">
        <v>1311</v>
      </c>
      <c r="B1312" s="6" t="s">
        <v>1787</v>
      </c>
      <c r="C1312" s="6" t="s">
        <v>4481</v>
      </c>
      <c r="D1312" s="6" t="s">
        <v>4482</v>
      </c>
      <c r="E1312" s="7" t="s">
        <v>21</v>
      </c>
      <c r="F1312" s="6" t="s">
        <v>4850</v>
      </c>
      <c r="G1312" s="6" t="s">
        <v>4851</v>
      </c>
      <c r="H1312" s="6" t="s">
        <v>4852</v>
      </c>
      <c r="I1312" s="6" t="s">
        <v>4853</v>
      </c>
      <c r="J1312" s="6" t="s">
        <v>4854</v>
      </c>
      <c r="K1312" s="5"/>
      <c r="L1312" s="4" t="s">
        <v>51</v>
      </c>
      <c r="M1312" s="8" t="s">
        <v>79</v>
      </c>
      <c r="N1312" s="9" t="s">
        <v>4495</v>
      </c>
      <c r="O1312" s="5"/>
      <c r="P1312" s="5"/>
      <c r="Q1312" s="6" t="s">
        <v>30</v>
      </c>
      <c r="R1312" s="4" t="s">
        <v>31</v>
      </c>
      <c r="S1312" s="7" t="s">
        <v>32</v>
      </c>
      <c r="T1312" s="5"/>
    </row>
    <row r="1313" customFormat="false" ht="15" hidden="false" customHeight="true" outlineLevel="0" collapsed="false">
      <c r="A1313" s="4" t="n">
        <v>1312</v>
      </c>
      <c r="B1313" s="6" t="s">
        <v>1787</v>
      </c>
      <c r="C1313" s="6" t="s">
        <v>4481</v>
      </c>
      <c r="D1313" s="6" t="s">
        <v>4482</v>
      </c>
      <c r="E1313" s="7" t="s">
        <v>21</v>
      </c>
      <c r="F1313" s="6" t="s">
        <v>4855</v>
      </c>
      <c r="G1313" s="6" t="s">
        <v>127</v>
      </c>
      <c r="H1313" s="6" t="s">
        <v>4856</v>
      </c>
      <c r="I1313" s="6" t="s">
        <v>4857</v>
      </c>
      <c r="J1313" s="6" t="s">
        <v>4858</v>
      </c>
      <c r="K1313" s="5"/>
      <c r="L1313" s="4" t="s">
        <v>62</v>
      </c>
      <c r="M1313" s="8" t="s">
        <v>129</v>
      </c>
      <c r="N1313" s="9" t="s">
        <v>4859</v>
      </c>
      <c r="O1313" s="5"/>
      <c r="P1313" s="5"/>
      <c r="Q1313" s="6" t="s">
        <v>30</v>
      </c>
      <c r="R1313" s="4" t="s">
        <v>31</v>
      </c>
      <c r="S1313" s="7" t="s">
        <v>32</v>
      </c>
      <c r="T1313" s="5"/>
    </row>
    <row r="1314" customFormat="false" ht="15" hidden="false" customHeight="true" outlineLevel="0" collapsed="false">
      <c r="A1314" s="4" t="n">
        <v>1313</v>
      </c>
      <c r="B1314" s="6" t="s">
        <v>1787</v>
      </c>
      <c r="C1314" s="6" t="s">
        <v>4481</v>
      </c>
      <c r="D1314" s="6" t="s">
        <v>4482</v>
      </c>
      <c r="E1314" s="7" t="s">
        <v>21</v>
      </c>
      <c r="F1314" s="6" t="s">
        <v>4860</v>
      </c>
      <c r="G1314" s="6" t="s">
        <v>4861</v>
      </c>
      <c r="H1314" s="6" t="s">
        <v>4862</v>
      </c>
      <c r="I1314" s="6" t="s">
        <v>4863</v>
      </c>
      <c r="J1314" s="6" t="s">
        <v>150</v>
      </c>
      <c r="K1314" s="5"/>
      <c r="L1314" s="4" t="s">
        <v>27</v>
      </c>
      <c r="M1314" s="8" t="s">
        <v>79</v>
      </c>
      <c r="N1314" s="9" t="s">
        <v>4495</v>
      </c>
      <c r="O1314" s="5"/>
      <c r="P1314" s="5"/>
      <c r="Q1314" s="6" t="s">
        <v>30</v>
      </c>
      <c r="R1314" s="4" t="s">
        <v>31</v>
      </c>
      <c r="S1314" s="7" t="s">
        <v>32</v>
      </c>
      <c r="T1314" s="5"/>
    </row>
    <row r="1315" customFormat="false" ht="29.25" hidden="false" customHeight="true" outlineLevel="0" collapsed="false">
      <c r="A1315" s="4" t="n">
        <v>1314</v>
      </c>
      <c r="B1315" s="6" t="s">
        <v>1787</v>
      </c>
      <c r="C1315" s="6" t="s">
        <v>4481</v>
      </c>
      <c r="D1315" s="6" t="s">
        <v>4482</v>
      </c>
      <c r="E1315" s="7" t="s">
        <v>21</v>
      </c>
      <c r="F1315" s="6" t="s">
        <v>4864</v>
      </c>
      <c r="G1315" s="6" t="s">
        <v>4865</v>
      </c>
      <c r="H1315" s="6" t="s">
        <v>4856</v>
      </c>
      <c r="I1315" s="6" t="s">
        <v>4866</v>
      </c>
      <c r="J1315" s="6" t="s">
        <v>4867</v>
      </c>
      <c r="K1315" s="5"/>
      <c r="L1315" s="4" t="s">
        <v>62</v>
      </c>
      <c r="M1315" s="8" t="s">
        <v>79</v>
      </c>
      <c r="N1315" s="9" t="s">
        <v>4859</v>
      </c>
      <c r="O1315" s="5"/>
      <c r="P1315" s="5"/>
      <c r="Q1315" s="6" t="s">
        <v>30</v>
      </c>
      <c r="R1315" s="4" t="s">
        <v>31</v>
      </c>
      <c r="S1315" s="7" t="s">
        <v>32</v>
      </c>
      <c r="T1315" s="5"/>
    </row>
    <row r="1316" customFormat="false" ht="29.25" hidden="false" customHeight="true" outlineLevel="0" collapsed="false">
      <c r="A1316" s="4" t="n">
        <v>1315</v>
      </c>
      <c r="B1316" s="6" t="s">
        <v>1787</v>
      </c>
      <c r="C1316" s="6" t="s">
        <v>4481</v>
      </c>
      <c r="D1316" s="6" t="s">
        <v>4482</v>
      </c>
      <c r="E1316" s="7" t="s">
        <v>21</v>
      </c>
      <c r="F1316" s="6" t="s">
        <v>4868</v>
      </c>
      <c r="G1316" s="6" t="s">
        <v>4869</v>
      </c>
      <c r="H1316" s="6" t="s">
        <v>4870</v>
      </c>
      <c r="I1316" s="6" t="s">
        <v>4871</v>
      </c>
      <c r="J1316" s="6" t="s">
        <v>4872</v>
      </c>
      <c r="K1316" s="5"/>
      <c r="L1316" s="4" t="s">
        <v>27</v>
      </c>
      <c r="M1316" s="8" t="s">
        <v>129</v>
      </c>
      <c r="N1316" s="9" t="s">
        <v>4859</v>
      </c>
      <c r="O1316" s="5"/>
      <c r="P1316" s="5"/>
      <c r="Q1316" s="6" t="s">
        <v>30</v>
      </c>
      <c r="R1316" s="4" t="s">
        <v>31</v>
      </c>
      <c r="S1316" s="7" t="s">
        <v>32</v>
      </c>
      <c r="T1316" s="5"/>
    </row>
    <row r="1317" customFormat="false" ht="29.25" hidden="false" customHeight="true" outlineLevel="0" collapsed="false">
      <c r="A1317" s="4" t="n">
        <v>1316</v>
      </c>
      <c r="B1317" s="6" t="s">
        <v>1787</v>
      </c>
      <c r="C1317" s="6" t="s">
        <v>4481</v>
      </c>
      <c r="D1317" s="6" t="s">
        <v>4482</v>
      </c>
      <c r="E1317" s="7" t="s">
        <v>21</v>
      </c>
      <c r="F1317" s="6" t="s">
        <v>4873</v>
      </c>
      <c r="G1317" s="6" t="s">
        <v>4869</v>
      </c>
      <c r="H1317" s="6" t="s">
        <v>4870</v>
      </c>
      <c r="I1317" s="6" t="s">
        <v>4871</v>
      </c>
      <c r="J1317" s="6" t="s">
        <v>4872</v>
      </c>
      <c r="K1317" s="5"/>
      <c r="L1317" s="4" t="s">
        <v>44</v>
      </c>
      <c r="M1317" s="8" t="s">
        <v>79</v>
      </c>
      <c r="N1317" s="9" t="s">
        <v>4859</v>
      </c>
      <c r="O1317" s="5"/>
      <c r="P1317" s="5"/>
      <c r="Q1317" s="6" t="s">
        <v>30</v>
      </c>
      <c r="R1317" s="4" t="s">
        <v>31</v>
      </c>
      <c r="S1317" s="7" t="s">
        <v>32</v>
      </c>
      <c r="T1317" s="5"/>
    </row>
    <row r="1318" customFormat="false" ht="29.25" hidden="false" customHeight="true" outlineLevel="0" collapsed="false">
      <c r="A1318" s="4" t="n">
        <v>1317</v>
      </c>
      <c r="B1318" s="6" t="s">
        <v>1787</v>
      </c>
      <c r="C1318" s="6" t="s">
        <v>4481</v>
      </c>
      <c r="D1318" s="6" t="s">
        <v>4482</v>
      </c>
      <c r="E1318" s="7" t="s">
        <v>21</v>
      </c>
      <c r="F1318" s="6" t="s">
        <v>4874</v>
      </c>
      <c r="G1318" s="6" t="s">
        <v>4869</v>
      </c>
      <c r="H1318" s="6" t="s">
        <v>4870</v>
      </c>
      <c r="I1318" s="6" t="s">
        <v>4871</v>
      </c>
      <c r="J1318" s="6" t="s">
        <v>4872</v>
      </c>
      <c r="K1318" s="5"/>
      <c r="L1318" s="4" t="s">
        <v>27</v>
      </c>
      <c r="M1318" s="8" t="s">
        <v>79</v>
      </c>
      <c r="N1318" s="9" t="s">
        <v>4495</v>
      </c>
      <c r="O1318" s="5"/>
      <c r="P1318" s="5"/>
      <c r="Q1318" s="6" t="s">
        <v>30</v>
      </c>
      <c r="R1318" s="4" t="s">
        <v>31</v>
      </c>
      <c r="S1318" s="7" t="s">
        <v>32</v>
      </c>
      <c r="T1318" s="5"/>
    </row>
    <row r="1319" customFormat="false" ht="29.25" hidden="false" customHeight="true" outlineLevel="0" collapsed="false">
      <c r="A1319" s="4" t="n">
        <v>1318</v>
      </c>
      <c r="B1319" s="6" t="s">
        <v>1787</v>
      </c>
      <c r="C1319" s="6" t="s">
        <v>4481</v>
      </c>
      <c r="D1319" s="6" t="s">
        <v>4482</v>
      </c>
      <c r="E1319" s="7" t="s">
        <v>21</v>
      </c>
      <c r="F1319" s="6" t="s">
        <v>4875</v>
      </c>
      <c r="G1319" s="6" t="s">
        <v>4869</v>
      </c>
      <c r="H1319" s="6" t="s">
        <v>4870</v>
      </c>
      <c r="I1319" s="6" t="s">
        <v>4871</v>
      </c>
      <c r="J1319" s="6" t="s">
        <v>4872</v>
      </c>
      <c r="K1319" s="5"/>
      <c r="L1319" s="4" t="s">
        <v>51</v>
      </c>
      <c r="M1319" s="8" t="s">
        <v>79</v>
      </c>
      <c r="N1319" s="9" t="s">
        <v>4495</v>
      </c>
      <c r="O1319" s="5"/>
      <c r="P1319" s="5"/>
      <c r="Q1319" s="6" t="s">
        <v>30</v>
      </c>
      <c r="R1319" s="4" t="s">
        <v>31</v>
      </c>
      <c r="S1319" s="7" t="s">
        <v>32</v>
      </c>
      <c r="T1319" s="5"/>
    </row>
    <row r="1320" customFormat="false" ht="29.25" hidden="false" customHeight="true" outlineLevel="0" collapsed="false">
      <c r="A1320" s="4" t="n">
        <v>1319</v>
      </c>
      <c r="B1320" s="6" t="s">
        <v>1787</v>
      </c>
      <c r="C1320" s="6" t="s">
        <v>4481</v>
      </c>
      <c r="D1320" s="6" t="s">
        <v>4482</v>
      </c>
      <c r="E1320" s="7" t="s">
        <v>21</v>
      </c>
      <c r="F1320" s="6" t="s">
        <v>4876</v>
      </c>
      <c r="G1320" s="5" t="s">
        <v>2673</v>
      </c>
      <c r="H1320" s="5" t="s">
        <v>2680</v>
      </c>
      <c r="I1320" s="5" t="s">
        <v>4877</v>
      </c>
      <c r="J1320" s="5" t="s">
        <v>4878</v>
      </c>
      <c r="K1320" s="5"/>
      <c r="L1320" s="4" t="s">
        <v>27</v>
      </c>
      <c r="M1320" s="8" t="s">
        <v>129</v>
      </c>
      <c r="N1320" s="9" t="s">
        <v>4776</v>
      </c>
      <c r="O1320" s="5"/>
      <c r="P1320" s="5"/>
      <c r="Q1320" s="6" t="s">
        <v>30</v>
      </c>
      <c r="R1320" s="4" t="s">
        <v>31</v>
      </c>
      <c r="S1320" s="7" t="s">
        <v>32</v>
      </c>
      <c r="T1320" s="5"/>
    </row>
    <row r="1321" customFormat="false" ht="29.25" hidden="false" customHeight="true" outlineLevel="0" collapsed="false">
      <c r="A1321" s="4" t="n">
        <v>1320</v>
      </c>
      <c r="B1321" s="6" t="s">
        <v>1787</v>
      </c>
      <c r="C1321" s="6" t="s">
        <v>4481</v>
      </c>
      <c r="D1321" s="6" t="s">
        <v>4482</v>
      </c>
      <c r="E1321" s="7" t="s">
        <v>21</v>
      </c>
      <c r="F1321" s="6" t="s">
        <v>4879</v>
      </c>
      <c r="G1321" s="5" t="s">
        <v>2673</v>
      </c>
      <c r="H1321" s="5" t="s">
        <v>2680</v>
      </c>
      <c r="I1321" s="5" t="s">
        <v>4877</v>
      </c>
      <c r="J1321" s="5" t="s">
        <v>4878</v>
      </c>
      <c r="K1321" s="5"/>
      <c r="L1321" s="4" t="s">
        <v>44</v>
      </c>
      <c r="M1321" s="8" t="s">
        <v>129</v>
      </c>
      <c r="N1321" s="9" t="s">
        <v>4776</v>
      </c>
      <c r="O1321" s="5"/>
      <c r="P1321" s="5"/>
      <c r="Q1321" s="6" t="s">
        <v>30</v>
      </c>
      <c r="R1321" s="4" t="s">
        <v>31</v>
      </c>
      <c r="S1321" s="7" t="s">
        <v>32</v>
      </c>
      <c r="T1321" s="5"/>
    </row>
    <row r="1322" customFormat="false" ht="43.5" hidden="false" customHeight="true" outlineLevel="0" collapsed="false">
      <c r="A1322" s="4" t="n">
        <v>1321</v>
      </c>
      <c r="B1322" s="6" t="s">
        <v>1787</v>
      </c>
      <c r="C1322" s="6" t="s">
        <v>4481</v>
      </c>
      <c r="D1322" s="6" t="s">
        <v>4482</v>
      </c>
      <c r="E1322" s="7" t="s">
        <v>21</v>
      </c>
      <c r="F1322" s="6" t="s">
        <v>4880</v>
      </c>
      <c r="G1322" s="6" t="s">
        <v>4881</v>
      </c>
      <c r="H1322" s="6" t="s">
        <v>4882</v>
      </c>
      <c r="I1322" s="6" t="s">
        <v>4883</v>
      </c>
      <c r="J1322" s="6" t="s">
        <v>4884</v>
      </c>
      <c r="K1322" s="5"/>
      <c r="L1322" s="4" t="s">
        <v>51</v>
      </c>
      <c r="M1322" s="8" t="s">
        <v>28</v>
      </c>
      <c r="N1322" s="9" t="s">
        <v>4495</v>
      </c>
      <c r="O1322" s="5"/>
      <c r="P1322" s="5"/>
      <c r="Q1322" s="6" t="s">
        <v>30</v>
      </c>
      <c r="R1322" s="4" t="s">
        <v>31</v>
      </c>
      <c r="S1322" s="7" t="s">
        <v>32</v>
      </c>
      <c r="T1322" s="5"/>
    </row>
    <row r="1323" customFormat="false" ht="29.25" hidden="false" customHeight="true" outlineLevel="0" collapsed="false">
      <c r="A1323" s="4" t="n">
        <v>1322</v>
      </c>
      <c r="B1323" s="6" t="s">
        <v>1787</v>
      </c>
      <c r="C1323" s="6" t="s">
        <v>4481</v>
      </c>
      <c r="D1323" s="6" t="s">
        <v>4482</v>
      </c>
      <c r="E1323" s="7" t="s">
        <v>21</v>
      </c>
      <c r="F1323" s="6" t="s">
        <v>4885</v>
      </c>
      <c r="G1323" s="6" t="s">
        <v>4886</v>
      </c>
      <c r="H1323" s="6" t="s">
        <v>4887</v>
      </c>
      <c r="I1323" s="6" t="s">
        <v>4888</v>
      </c>
      <c r="J1323" s="6" t="s">
        <v>150</v>
      </c>
      <c r="K1323" s="5"/>
      <c r="L1323" s="4" t="s">
        <v>27</v>
      </c>
      <c r="M1323" s="8" t="s">
        <v>79</v>
      </c>
      <c r="N1323" s="9" t="s">
        <v>4495</v>
      </c>
      <c r="O1323" s="5"/>
      <c r="P1323" s="5"/>
      <c r="Q1323" s="6" t="s">
        <v>30</v>
      </c>
      <c r="R1323" s="4" t="s">
        <v>31</v>
      </c>
      <c r="S1323" s="7" t="s">
        <v>32</v>
      </c>
      <c r="T1323" s="5"/>
    </row>
    <row r="1324" customFormat="false" ht="29.25" hidden="false" customHeight="true" outlineLevel="0" collapsed="false">
      <c r="A1324" s="4" t="n">
        <v>1323</v>
      </c>
      <c r="B1324" s="6" t="s">
        <v>1787</v>
      </c>
      <c r="C1324" s="6" t="s">
        <v>4481</v>
      </c>
      <c r="D1324" s="6" t="s">
        <v>4482</v>
      </c>
      <c r="E1324" s="7" t="s">
        <v>21</v>
      </c>
      <c r="F1324" s="6" t="s">
        <v>4889</v>
      </c>
      <c r="G1324" s="6" t="s">
        <v>4890</v>
      </c>
      <c r="H1324" s="6" t="s">
        <v>4891</v>
      </c>
      <c r="I1324" s="6" t="s">
        <v>4747</v>
      </c>
      <c r="J1324" s="6" t="s">
        <v>4892</v>
      </c>
      <c r="K1324" s="5"/>
      <c r="L1324" s="4" t="s">
        <v>62</v>
      </c>
      <c r="M1324" s="8" t="s">
        <v>79</v>
      </c>
      <c r="N1324" s="9" t="s">
        <v>4495</v>
      </c>
      <c r="O1324" s="5"/>
      <c r="P1324" s="5"/>
      <c r="Q1324" s="6" t="s">
        <v>30</v>
      </c>
      <c r="R1324" s="4" t="s">
        <v>31</v>
      </c>
      <c r="S1324" s="7" t="s">
        <v>32</v>
      </c>
      <c r="T1324" s="5"/>
    </row>
    <row r="1325" customFormat="false" ht="15" hidden="false" customHeight="true" outlineLevel="0" collapsed="false">
      <c r="A1325" s="4" t="n">
        <v>1324</v>
      </c>
      <c r="B1325" s="6" t="s">
        <v>1787</v>
      </c>
      <c r="C1325" s="6" t="s">
        <v>4481</v>
      </c>
      <c r="D1325" s="6" t="s">
        <v>4482</v>
      </c>
      <c r="E1325" s="7" t="s">
        <v>21</v>
      </c>
      <c r="F1325" s="6" t="s">
        <v>4893</v>
      </c>
      <c r="G1325" s="6" t="s">
        <v>209</v>
      </c>
      <c r="H1325" s="6" t="s">
        <v>3697</v>
      </c>
      <c r="I1325" s="6" t="s">
        <v>210</v>
      </c>
      <c r="J1325" s="6" t="s">
        <v>3698</v>
      </c>
      <c r="K1325" s="5"/>
      <c r="L1325" s="4" t="s">
        <v>27</v>
      </c>
      <c r="M1325" s="8" t="s">
        <v>129</v>
      </c>
      <c r="N1325" s="9" t="s">
        <v>4495</v>
      </c>
      <c r="O1325" s="5"/>
      <c r="P1325" s="5"/>
      <c r="Q1325" s="6" t="s">
        <v>30</v>
      </c>
      <c r="R1325" s="4" t="s">
        <v>31</v>
      </c>
      <c r="S1325" s="7" t="s">
        <v>32</v>
      </c>
      <c r="T1325" s="5"/>
    </row>
    <row r="1326" customFormat="false" ht="15" hidden="false" customHeight="true" outlineLevel="0" collapsed="false">
      <c r="A1326" s="4" t="n">
        <v>1325</v>
      </c>
      <c r="B1326" s="6" t="s">
        <v>1787</v>
      </c>
      <c r="C1326" s="6" t="s">
        <v>4481</v>
      </c>
      <c r="D1326" s="6" t="s">
        <v>4482</v>
      </c>
      <c r="E1326" s="7" t="s">
        <v>21</v>
      </c>
      <c r="F1326" s="6" t="s">
        <v>4894</v>
      </c>
      <c r="G1326" s="6" t="s">
        <v>4895</v>
      </c>
      <c r="H1326" s="6" t="s">
        <v>1405</v>
      </c>
      <c r="I1326" s="6" t="s">
        <v>4896</v>
      </c>
      <c r="J1326" s="6" t="s">
        <v>4897</v>
      </c>
      <c r="K1326" s="5"/>
      <c r="L1326" s="4" t="s">
        <v>62</v>
      </c>
      <c r="M1326" s="8" t="s">
        <v>129</v>
      </c>
      <c r="N1326" s="9" t="s">
        <v>4495</v>
      </c>
      <c r="O1326" s="5"/>
      <c r="P1326" s="5"/>
      <c r="Q1326" s="6" t="s">
        <v>30</v>
      </c>
      <c r="R1326" s="4" t="s">
        <v>31</v>
      </c>
      <c r="S1326" s="7" t="s">
        <v>32</v>
      </c>
      <c r="T1326" s="5"/>
    </row>
    <row r="1327" customFormat="false" ht="29.25" hidden="false" customHeight="true" outlineLevel="0" collapsed="false">
      <c r="A1327" s="4" t="n">
        <v>1326</v>
      </c>
      <c r="B1327" s="6" t="s">
        <v>1787</v>
      </c>
      <c r="C1327" s="6" t="s">
        <v>4481</v>
      </c>
      <c r="D1327" s="6" t="s">
        <v>4482</v>
      </c>
      <c r="E1327" s="7" t="s">
        <v>21</v>
      </c>
      <c r="F1327" s="6" t="s">
        <v>4898</v>
      </c>
      <c r="G1327" s="6" t="s">
        <v>4899</v>
      </c>
      <c r="H1327" s="6" t="s">
        <v>4900</v>
      </c>
      <c r="I1327" s="6" t="s">
        <v>4901</v>
      </c>
      <c r="J1327" s="6" t="s">
        <v>4902</v>
      </c>
      <c r="K1327" s="5"/>
      <c r="L1327" s="4" t="s">
        <v>27</v>
      </c>
      <c r="M1327" s="8" t="s">
        <v>28</v>
      </c>
      <c r="N1327" s="9" t="s">
        <v>4627</v>
      </c>
      <c r="O1327" s="5"/>
      <c r="P1327" s="5"/>
      <c r="Q1327" s="6" t="s">
        <v>30</v>
      </c>
      <c r="R1327" s="4" t="s">
        <v>31</v>
      </c>
      <c r="S1327" s="7" t="s">
        <v>32</v>
      </c>
      <c r="T1327" s="5"/>
    </row>
    <row r="1328" customFormat="false" ht="29.25" hidden="false" customHeight="true" outlineLevel="0" collapsed="false">
      <c r="A1328" s="4" t="n">
        <v>1327</v>
      </c>
      <c r="B1328" s="6" t="s">
        <v>1787</v>
      </c>
      <c r="C1328" s="6" t="s">
        <v>4481</v>
      </c>
      <c r="D1328" s="6" t="s">
        <v>4482</v>
      </c>
      <c r="E1328" s="7" t="s">
        <v>21</v>
      </c>
      <c r="F1328" s="6" t="s">
        <v>4903</v>
      </c>
      <c r="G1328" s="6" t="s">
        <v>4904</v>
      </c>
      <c r="H1328" s="6" t="s">
        <v>4905</v>
      </c>
      <c r="I1328" s="6" t="s">
        <v>4906</v>
      </c>
      <c r="J1328" s="6" t="s">
        <v>4907</v>
      </c>
      <c r="K1328" s="5"/>
      <c r="L1328" s="4" t="s">
        <v>44</v>
      </c>
      <c r="M1328" s="8" t="s">
        <v>79</v>
      </c>
      <c r="N1328" s="9" t="s">
        <v>4627</v>
      </c>
      <c r="O1328" s="5"/>
      <c r="P1328" s="5"/>
      <c r="Q1328" s="6" t="s">
        <v>30</v>
      </c>
      <c r="R1328" s="4" t="s">
        <v>31</v>
      </c>
      <c r="S1328" s="7" t="s">
        <v>32</v>
      </c>
      <c r="T1328" s="5"/>
    </row>
    <row r="1329" customFormat="false" ht="43.5" hidden="false" customHeight="true" outlineLevel="0" collapsed="false">
      <c r="A1329" s="4" t="n">
        <v>1328</v>
      </c>
      <c r="B1329" s="6" t="s">
        <v>1787</v>
      </c>
      <c r="C1329" s="6" t="s">
        <v>4481</v>
      </c>
      <c r="D1329" s="6" t="s">
        <v>4482</v>
      </c>
      <c r="E1329" s="7" t="s">
        <v>21</v>
      </c>
      <c r="F1329" s="6" t="s">
        <v>4908</v>
      </c>
      <c r="G1329" s="6" t="s">
        <v>4909</v>
      </c>
      <c r="H1329" s="6" t="s">
        <v>4910</v>
      </c>
      <c r="I1329" s="6" t="s">
        <v>4911</v>
      </c>
      <c r="J1329" s="6" t="s">
        <v>4912</v>
      </c>
      <c r="K1329" s="5"/>
      <c r="L1329" s="4" t="s">
        <v>62</v>
      </c>
      <c r="M1329" s="8" t="s">
        <v>28</v>
      </c>
      <c r="N1329" s="9" t="s">
        <v>4627</v>
      </c>
      <c r="O1329" s="5"/>
      <c r="P1329" s="5"/>
      <c r="Q1329" s="6" t="s">
        <v>30</v>
      </c>
      <c r="R1329" s="4" t="s">
        <v>31</v>
      </c>
      <c r="S1329" s="7" t="s">
        <v>32</v>
      </c>
      <c r="T1329" s="5"/>
    </row>
    <row r="1330" customFormat="false" ht="29.25" hidden="false" customHeight="true" outlineLevel="0" collapsed="false">
      <c r="A1330" s="4" t="n">
        <v>1329</v>
      </c>
      <c r="B1330" s="6" t="s">
        <v>1787</v>
      </c>
      <c r="C1330" s="6" t="s">
        <v>4481</v>
      </c>
      <c r="D1330" s="6" t="s">
        <v>4482</v>
      </c>
      <c r="E1330" s="7" t="s">
        <v>21</v>
      </c>
      <c r="F1330" s="6" t="s">
        <v>4913</v>
      </c>
      <c r="G1330" s="6" t="s">
        <v>4914</v>
      </c>
      <c r="H1330" s="6" t="s">
        <v>4915</v>
      </c>
      <c r="I1330" s="6" t="s">
        <v>4916</v>
      </c>
      <c r="J1330" s="6" t="s">
        <v>4917</v>
      </c>
      <c r="K1330" s="5"/>
      <c r="L1330" s="4" t="s">
        <v>27</v>
      </c>
      <c r="M1330" s="8" t="s">
        <v>79</v>
      </c>
      <c r="N1330" s="9" t="s">
        <v>4495</v>
      </c>
      <c r="O1330" s="5"/>
      <c r="P1330" s="5"/>
      <c r="Q1330" s="6" t="s">
        <v>30</v>
      </c>
      <c r="R1330" s="4" t="s">
        <v>31</v>
      </c>
      <c r="S1330" s="7" t="s">
        <v>32</v>
      </c>
      <c r="T1330" s="5"/>
    </row>
    <row r="1331" customFormat="false" ht="15" hidden="false" customHeight="true" outlineLevel="0" collapsed="false">
      <c r="A1331" s="4" t="n">
        <v>1330</v>
      </c>
      <c r="B1331" s="6" t="s">
        <v>1787</v>
      </c>
      <c r="C1331" s="6" t="s">
        <v>4481</v>
      </c>
      <c r="D1331" s="6" t="s">
        <v>4482</v>
      </c>
      <c r="E1331" s="7" t="s">
        <v>21</v>
      </c>
      <c r="F1331" s="6" t="s">
        <v>4918</v>
      </c>
      <c r="G1331" s="6" t="s">
        <v>4919</v>
      </c>
      <c r="H1331" s="6" t="s">
        <v>4920</v>
      </c>
      <c r="I1331" s="6" t="s">
        <v>4921</v>
      </c>
      <c r="J1331" s="6" t="s">
        <v>4922</v>
      </c>
      <c r="K1331" s="5"/>
      <c r="L1331" s="4" t="s">
        <v>27</v>
      </c>
      <c r="M1331" s="8" t="s">
        <v>129</v>
      </c>
      <c r="N1331" s="9" t="s">
        <v>4495</v>
      </c>
      <c r="O1331" s="5"/>
      <c r="P1331" s="5"/>
      <c r="Q1331" s="6" t="s">
        <v>30</v>
      </c>
      <c r="R1331" s="4" t="s">
        <v>31</v>
      </c>
      <c r="S1331" s="7" t="s">
        <v>32</v>
      </c>
      <c r="T1331" s="5"/>
    </row>
    <row r="1332" customFormat="false" ht="15" hidden="false" customHeight="true" outlineLevel="0" collapsed="false">
      <c r="A1332" s="4" t="n">
        <v>1331</v>
      </c>
      <c r="B1332" s="6" t="s">
        <v>1787</v>
      </c>
      <c r="C1332" s="6" t="s">
        <v>4481</v>
      </c>
      <c r="D1332" s="6" t="s">
        <v>4482</v>
      </c>
      <c r="E1332" s="7" t="s">
        <v>21</v>
      </c>
      <c r="F1332" s="6" t="s">
        <v>4923</v>
      </c>
      <c r="G1332" s="6" t="s">
        <v>4924</v>
      </c>
      <c r="H1332" s="6" t="s">
        <v>4925</v>
      </c>
      <c r="I1332" s="6" t="s">
        <v>4926</v>
      </c>
      <c r="J1332" s="6" t="s">
        <v>4927</v>
      </c>
      <c r="K1332" s="5"/>
      <c r="L1332" s="4" t="s">
        <v>44</v>
      </c>
      <c r="M1332" s="8" t="s">
        <v>129</v>
      </c>
      <c r="N1332" s="9" t="s">
        <v>4495</v>
      </c>
      <c r="O1332" s="5"/>
      <c r="P1332" s="5"/>
      <c r="Q1332" s="6" t="s">
        <v>30</v>
      </c>
      <c r="R1332" s="4" t="s">
        <v>31</v>
      </c>
      <c r="S1332" s="7" t="s">
        <v>32</v>
      </c>
      <c r="T1332" s="5"/>
    </row>
    <row r="1333" customFormat="false" ht="29.25" hidden="false" customHeight="true" outlineLevel="0" collapsed="false">
      <c r="A1333" s="4" t="n">
        <v>1332</v>
      </c>
      <c r="B1333" s="6" t="s">
        <v>1787</v>
      </c>
      <c r="C1333" s="6" t="s">
        <v>4481</v>
      </c>
      <c r="D1333" s="6" t="s">
        <v>4482</v>
      </c>
      <c r="E1333" s="7" t="s">
        <v>21</v>
      </c>
      <c r="F1333" s="6" t="s">
        <v>4928</v>
      </c>
      <c r="G1333" s="6" t="s">
        <v>210</v>
      </c>
      <c r="H1333" s="6" t="s">
        <v>4929</v>
      </c>
      <c r="I1333" s="6" t="s">
        <v>3697</v>
      </c>
      <c r="J1333" s="6" t="s">
        <v>208</v>
      </c>
      <c r="K1333" s="5"/>
      <c r="L1333" s="4" t="s">
        <v>51</v>
      </c>
      <c r="M1333" s="8" t="s">
        <v>79</v>
      </c>
      <c r="N1333" s="9" t="s">
        <v>4495</v>
      </c>
      <c r="O1333" s="5"/>
      <c r="P1333" s="5"/>
      <c r="Q1333" s="6" t="s">
        <v>30</v>
      </c>
      <c r="R1333" s="4" t="s">
        <v>31</v>
      </c>
      <c r="S1333" s="7" t="s">
        <v>32</v>
      </c>
      <c r="T1333" s="5"/>
    </row>
    <row r="1334" customFormat="false" ht="29.25" hidden="false" customHeight="true" outlineLevel="0" collapsed="false">
      <c r="A1334" s="4" t="n">
        <v>1333</v>
      </c>
      <c r="B1334" s="6" t="s">
        <v>1787</v>
      </c>
      <c r="C1334" s="6" t="s">
        <v>4481</v>
      </c>
      <c r="D1334" s="6" t="s">
        <v>4482</v>
      </c>
      <c r="E1334" s="7" t="s">
        <v>21</v>
      </c>
      <c r="F1334" s="6" t="s">
        <v>4930</v>
      </c>
      <c r="G1334" s="6" t="s">
        <v>3659</v>
      </c>
      <c r="H1334" s="6" t="s">
        <v>1985</v>
      </c>
      <c r="I1334" s="6" t="s">
        <v>4931</v>
      </c>
      <c r="J1334" s="6" t="s">
        <v>4932</v>
      </c>
      <c r="K1334" s="5"/>
      <c r="L1334" s="4" t="s">
        <v>62</v>
      </c>
      <c r="M1334" s="8" t="s">
        <v>79</v>
      </c>
      <c r="N1334" s="9" t="s">
        <v>4495</v>
      </c>
      <c r="O1334" s="5"/>
      <c r="P1334" s="5"/>
      <c r="Q1334" s="6" t="s">
        <v>30</v>
      </c>
      <c r="R1334" s="4" t="s">
        <v>31</v>
      </c>
      <c r="S1334" s="7" t="s">
        <v>32</v>
      </c>
      <c r="T1334" s="5"/>
    </row>
    <row r="1335" customFormat="false" ht="29.25" hidden="false" customHeight="true" outlineLevel="0" collapsed="false">
      <c r="A1335" s="4" t="n">
        <v>1334</v>
      </c>
      <c r="B1335" s="6" t="s">
        <v>1787</v>
      </c>
      <c r="C1335" s="6" t="s">
        <v>4481</v>
      </c>
      <c r="D1335" s="6" t="s">
        <v>4482</v>
      </c>
      <c r="E1335" s="7" t="s">
        <v>21</v>
      </c>
      <c r="F1335" s="6" t="s">
        <v>4933</v>
      </c>
      <c r="G1335" s="6" t="s">
        <v>3659</v>
      </c>
      <c r="H1335" s="6" t="s">
        <v>4699</v>
      </c>
      <c r="I1335" s="6" t="s">
        <v>4931</v>
      </c>
      <c r="J1335" s="6" t="s">
        <v>4932</v>
      </c>
      <c r="K1335" s="5"/>
      <c r="L1335" s="4" t="s">
        <v>62</v>
      </c>
      <c r="M1335" s="8" t="s">
        <v>28</v>
      </c>
      <c r="N1335" s="9" t="s">
        <v>4511</v>
      </c>
      <c r="O1335" s="5"/>
      <c r="P1335" s="5"/>
      <c r="Q1335" s="6" t="s">
        <v>30</v>
      </c>
      <c r="R1335" s="4" t="s">
        <v>31</v>
      </c>
      <c r="S1335" s="7" t="s">
        <v>32</v>
      </c>
      <c r="T1335" s="5"/>
    </row>
    <row r="1336" customFormat="false" ht="43.5" hidden="false" customHeight="true" outlineLevel="0" collapsed="false">
      <c r="A1336" s="4" t="n">
        <v>1335</v>
      </c>
      <c r="B1336" s="6" t="s">
        <v>1787</v>
      </c>
      <c r="C1336" s="6" t="s">
        <v>4481</v>
      </c>
      <c r="D1336" s="6" t="s">
        <v>4482</v>
      </c>
      <c r="E1336" s="7" t="s">
        <v>21</v>
      </c>
      <c r="F1336" s="6" t="s">
        <v>4934</v>
      </c>
      <c r="G1336" s="6" t="s">
        <v>4935</v>
      </c>
      <c r="H1336" s="6" t="s">
        <v>4936</v>
      </c>
      <c r="I1336" s="6" t="s">
        <v>4937</v>
      </c>
      <c r="J1336" s="6" t="s">
        <v>4938</v>
      </c>
      <c r="K1336" s="5"/>
      <c r="L1336" s="4" t="s">
        <v>27</v>
      </c>
      <c r="M1336" s="8" t="s">
        <v>28</v>
      </c>
      <c r="N1336" s="9" t="s">
        <v>4627</v>
      </c>
      <c r="O1336" s="5"/>
      <c r="P1336" s="5"/>
      <c r="Q1336" s="6" t="s">
        <v>30</v>
      </c>
      <c r="R1336" s="4" t="s">
        <v>31</v>
      </c>
      <c r="S1336" s="7" t="s">
        <v>32</v>
      </c>
      <c r="T1336" s="5"/>
    </row>
    <row r="1337" customFormat="false" ht="15" hidden="false" customHeight="true" outlineLevel="0" collapsed="false">
      <c r="A1337" s="4" t="n">
        <v>1336</v>
      </c>
      <c r="B1337" s="6" t="s">
        <v>1787</v>
      </c>
      <c r="C1337" s="6" t="s">
        <v>4481</v>
      </c>
      <c r="D1337" s="6" t="s">
        <v>4482</v>
      </c>
      <c r="E1337" s="7" t="s">
        <v>21</v>
      </c>
      <c r="F1337" s="6" t="s">
        <v>4939</v>
      </c>
      <c r="G1337" s="6" t="s">
        <v>4940</v>
      </c>
      <c r="H1337" s="6" t="s">
        <v>4941</v>
      </c>
      <c r="I1337" s="6" t="s">
        <v>4942</v>
      </c>
      <c r="J1337" s="6" t="s">
        <v>4943</v>
      </c>
      <c r="K1337" s="5"/>
      <c r="L1337" s="4" t="s">
        <v>51</v>
      </c>
      <c r="M1337" s="8" t="s">
        <v>28</v>
      </c>
      <c r="N1337" s="9" t="s">
        <v>4495</v>
      </c>
      <c r="O1337" s="5"/>
      <c r="P1337" s="5"/>
      <c r="Q1337" s="6" t="s">
        <v>30</v>
      </c>
      <c r="R1337" s="4" t="s">
        <v>31</v>
      </c>
      <c r="S1337" s="7" t="s">
        <v>32</v>
      </c>
      <c r="T1337" s="5"/>
    </row>
    <row r="1338" customFormat="false" ht="15" hidden="false" customHeight="true" outlineLevel="0" collapsed="false">
      <c r="A1338" s="4" t="n">
        <v>1337</v>
      </c>
      <c r="B1338" s="6" t="s">
        <v>1787</v>
      </c>
      <c r="C1338" s="6" t="s">
        <v>4481</v>
      </c>
      <c r="D1338" s="6" t="s">
        <v>4482</v>
      </c>
      <c r="E1338" s="7" t="s">
        <v>21</v>
      </c>
      <c r="F1338" s="6" t="s">
        <v>4944</v>
      </c>
      <c r="G1338" s="6" t="s">
        <v>4681</v>
      </c>
      <c r="H1338" s="6" t="s">
        <v>4945</v>
      </c>
      <c r="I1338" s="6" t="s">
        <v>4410</v>
      </c>
      <c r="J1338" s="6" t="s">
        <v>4946</v>
      </c>
      <c r="K1338" s="5"/>
      <c r="L1338" s="4" t="s">
        <v>62</v>
      </c>
      <c r="M1338" s="8" t="s">
        <v>28</v>
      </c>
      <c r="N1338" s="9" t="s">
        <v>4495</v>
      </c>
      <c r="O1338" s="5"/>
      <c r="P1338" s="5"/>
      <c r="Q1338" s="6" t="s">
        <v>30</v>
      </c>
      <c r="R1338" s="4" t="s">
        <v>31</v>
      </c>
      <c r="S1338" s="7" t="s">
        <v>32</v>
      </c>
      <c r="T1338" s="5"/>
    </row>
    <row r="1339" customFormat="false" ht="43.5" hidden="false" customHeight="true" outlineLevel="0" collapsed="false">
      <c r="A1339" s="4" t="n">
        <v>1338</v>
      </c>
      <c r="B1339" s="6" t="s">
        <v>1787</v>
      </c>
      <c r="C1339" s="6" t="s">
        <v>4481</v>
      </c>
      <c r="D1339" s="6" t="s">
        <v>4482</v>
      </c>
      <c r="E1339" s="7" t="s">
        <v>21</v>
      </c>
      <c r="F1339" s="6" t="s">
        <v>4947</v>
      </c>
      <c r="G1339" s="6" t="s">
        <v>4948</v>
      </c>
      <c r="H1339" s="6" t="s">
        <v>4949</v>
      </c>
      <c r="I1339" s="6" t="s">
        <v>4950</v>
      </c>
      <c r="J1339" s="6" t="s">
        <v>4951</v>
      </c>
      <c r="K1339" s="5"/>
      <c r="L1339" s="4" t="s">
        <v>27</v>
      </c>
      <c r="M1339" s="8" t="s">
        <v>79</v>
      </c>
      <c r="N1339" s="9" t="s">
        <v>4495</v>
      </c>
      <c r="O1339" s="5"/>
      <c r="P1339" s="5"/>
      <c r="Q1339" s="6" t="s">
        <v>30</v>
      </c>
      <c r="R1339" s="4" t="s">
        <v>31</v>
      </c>
      <c r="S1339" s="7" t="s">
        <v>32</v>
      </c>
      <c r="T1339" s="5"/>
    </row>
    <row r="1340" customFormat="false" ht="29.25" hidden="false" customHeight="true" outlineLevel="0" collapsed="false">
      <c r="A1340" s="4" t="n">
        <v>1339</v>
      </c>
      <c r="B1340" s="6" t="s">
        <v>1787</v>
      </c>
      <c r="C1340" s="6" t="s">
        <v>4481</v>
      </c>
      <c r="D1340" s="6" t="s">
        <v>4482</v>
      </c>
      <c r="E1340" s="7" t="s">
        <v>21</v>
      </c>
      <c r="F1340" s="6" t="s">
        <v>4952</v>
      </c>
      <c r="G1340" s="6" t="s">
        <v>4953</v>
      </c>
      <c r="H1340" s="6" t="s">
        <v>4954</v>
      </c>
      <c r="I1340" s="6" t="s">
        <v>4955</v>
      </c>
      <c r="J1340" s="6" t="s">
        <v>78</v>
      </c>
      <c r="K1340" s="5"/>
      <c r="L1340" s="4" t="s">
        <v>27</v>
      </c>
      <c r="M1340" s="8" t="s">
        <v>28</v>
      </c>
      <c r="N1340" s="9" t="s">
        <v>4956</v>
      </c>
      <c r="O1340" s="5"/>
      <c r="P1340" s="5"/>
      <c r="Q1340" s="6" t="s">
        <v>30</v>
      </c>
      <c r="R1340" s="4" t="s">
        <v>31</v>
      </c>
      <c r="S1340" s="7" t="s">
        <v>32</v>
      </c>
      <c r="T1340" s="5"/>
    </row>
    <row r="1341" customFormat="false" ht="15" hidden="false" customHeight="true" outlineLevel="0" collapsed="false">
      <c r="A1341" s="4" t="n">
        <v>1340</v>
      </c>
      <c r="B1341" s="6" t="s">
        <v>1787</v>
      </c>
      <c r="C1341" s="6" t="s">
        <v>4481</v>
      </c>
      <c r="D1341" s="6" t="s">
        <v>4482</v>
      </c>
      <c r="E1341" s="7" t="s">
        <v>21</v>
      </c>
      <c r="F1341" s="6" t="s">
        <v>4957</v>
      </c>
      <c r="G1341" s="6" t="s">
        <v>4958</v>
      </c>
      <c r="H1341" s="6" t="s">
        <v>4959</v>
      </c>
      <c r="I1341" s="6" t="s">
        <v>838</v>
      </c>
      <c r="J1341" s="6" t="s">
        <v>4960</v>
      </c>
      <c r="K1341" s="5"/>
      <c r="L1341" s="4" t="s">
        <v>44</v>
      </c>
      <c r="M1341" s="8" t="s">
        <v>79</v>
      </c>
      <c r="N1341" s="9" t="s">
        <v>4495</v>
      </c>
      <c r="O1341" s="5"/>
      <c r="P1341" s="5"/>
      <c r="Q1341" s="6" t="s">
        <v>30</v>
      </c>
      <c r="R1341" s="4" t="s">
        <v>31</v>
      </c>
      <c r="S1341" s="7" t="s">
        <v>32</v>
      </c>
      <c r="T1341" s="5"/>
    </row>
    <row r="1342" customFormat="false" ht="29.25" hidden="false" customHeight="true" outlineLevel="0" collapsed="false">
      <c r="A1342" s="4" t="n">
        <v>1341</v>
      </c>
      <c r="B1342" s="6" t="s">
        <v>1787</v>
      </c>
      <c r="C1342" s="6" t="s">
        <v>4481</v>
      </c>
      <c r="D1342" s="6" t="s">
        <v>4482</v>
      </c>
      <c r="E1342" s="7" t="s">
        <v>21</v>
      </c>
      <c r="F1342" s="6" t="s">
        <v>4961</v>
      </c>
      <c r="G1342" s="6" t="s">
        <v>4962</v>
      </c>
      <c r="H1342" s="6" t="s">
        <v>4963</v>
      </c>
      <c r="I1342" s="6" t="s">
        <v>4964</v>
      </c>
      <c r="J1342" s="6" t="s">
        <v>4965</v>
      </c>
      <c r="K1342" s="5"/>
      <c r="L1342" s="4" t="s">
        <v>44</v>
      </c>
      <c r="M1342" s="8" t="s">
        <v>79</v>
      </c>
      <c r="N1342" s="9" t="s">
        <v>4495</v>
      </c>
      <c r="O1342" s="5"/>
      <c r="P1342" s="5"/>
      <c r="Q1342" s="6" t="s">
        <v>30</v>
      </c>
      <c r="R1342" s="4" t="s">
        <v>31</v>
      </c>
      <c r="S1342" s="7" t="s">
        <v>32</v>
      </c>
      <c r="T1342" s="5"/>
    </row>
    <row r="1343" customFormat="false" ht="43.5" hidden="false" customHeight="true" outlineLevel="0" collapsed="false">
      <c r="A1343" s="4" t="n">
        <v>1342</v>
      </c>
      <c r="B1343" s="6" t="s">
        <v>1787</v>
      </c>
      <c r="C1343" s="6" t="s">
        <v>4481</v>
      </c>
      <c r="D1343" s="6" t="s">
        <v>4482</v>
      </c>
      <c r="E1343" s="7" t="s">
        <v>21</v>
      </c>
      <c r="F1343" s="6" t="s">
        <v>4966</v>
      </c>
      <c r="G1343" s="6" t="s">
        <v>4967</v>
      </c>
      <c r="H1343" s="6" t="s">
        <v>4968</v>
      </c>
      <c r="I1343" s="6" t="s">
        <v>4969</v>
      </c>
      <c r="J1343" s="6" t="s">
        <v>4970</v>
      </c>
      <c r="K1343" s="5"/>
      <c r="L1343" s="4" t="s">
        <v>44</v>
      </c>
      <c r="M1343" s="8" t="s">
        <v>79</v>
      </c>
      <c r="N1343" s="9" t="s">
        <v>4627</v>
      </c>
      <c r="O1343" s="5"/>
      <c r="P1343" s="5"/>
      <c r="Q1343" s="6" t="s">
        <v>30</v>
      </c>
      <c r="R1343" s="4" t="s">
        <v>31</v>
      </c>
      <c r="S1343" s="7" t="s">
        <v>32</v>
      </c>
      <c r="T1343" s="5"/>
    </row>
    <row r="1344" customFormat="false" ht="15" hidden="false" customHeight="true" outlineLevel="0" collapsed="false">
      <c r="A1344" s="4" t="n">
        <v>1343</v>
      </c>
      <c r="B1344" s="6" t="s">
        <v>1787</v>
      </c>
      <c r="C1344" s="6" t="s">
        <v>4481</v>
      </c>
      <c r="D1344" s="6" t="s">
        <v>4482</v>
      </c>
      <c r="E1344" s="7" t="s">
        <v>21</v>
      </c>
      <c r="F1344" s="6" t="s">
        <v>4971</v>
      </c>
      <c r="G1344" s="6" t="s">
        <v>4972</v>
      </c>
      <c r="H1344" s="6" t="s">
        <v>4973</v>
      </c>
      <c r="I1344" s="6" t="s">
        <v>4974</v>
      </c>
      <c r="J1344" s="6" t="s">
        <v>4975</v>
      </c>
      <c r="K1344" s="5"/>
      <c r="L1344" s="4" t="s">
        <v>27</v>
      </c>
      <c r="M1344" s="8" t="s">
        <v>28</v>
      </c>
      <c r="N1344" s="9" t="s">
        <v>4495</v>
      </c>
      <c r="O1344" s="5"/>
      <c r="P1344" s="5"/>
      <c r="Q1344" s="6" t="s">
        <v>30</v>
      </c>
      <c r="R1344" s="4" t="s">
        <v>31</v>
      </c>
      <c r="S1344" s="7" t="s">
        <v>32</v>
      </c>
      <c r="T1344" s="5"/>
    </row>
    <row r="1345" customFormat="false" ht="15" hidden="false" customHeight="true" outlineLevel="0" collapsed="false">
      <c r="A1345" s="4" t="n">
        <v>1344</v>
      </c>
      <c r="B1345" s="6" t="s">
        <v>1787</v>
      </c>
      <c r="C1345" s="6" t="s">
        <v>4481</v>
      </c>
      <c r="D1345" s="6" t="s">
        <v>4482</v>
      </c>
      <c r="E1345" s="7" t="s">
        <v>21</v>
      </c>
      <c r="F1345" s="6" t="s">
        <v>4976</v>
      </c>
      <c r="G1345" s="6" t="s">
        <v>4977</v>
      </c>
      <c r="H1345" s="6" t="s">
        <v>4973</v>
      </c>
      <c r="I1345" s="6" t="s">
        <v>3655</v>
      </c>
      <c r="J1345" s="6" t="s">
        <v>78</v>
      </c>
      <c r="K1345" s="5"/>
      <c r="L1345" s="4" t="s">
        <v>44</v>
      </c>
      <c r="M1345" s="8" t="s">
        <v>79</v>
      </c>
      <c r="N1345" s="9" t="s">
        <v>4495</v>
      </c>
      <c r="O1345" s="5"/>
      <c r="P1345" s="5"/>
      <c r="Q1345" s="6" t="s">
        <v>30</v>
      </c>
      <c r="R1345" s="4" t="s">
        <v>31</v>
      </c>
      <c r="S1345" s="7" t="s">
        <v>32</v>
      </c>
      <c r="T1345" s="5"/>
    </row>
    <row r="1346" customFormat="false" ht="43.5" hidden="false" customHeight="true" outlineLevel="0" collapsed="false">
      <c r="A1346" s="4" t="n">
        <v>1345</v>
      </c>
      <c r="B1346" s="6" t="s">
        <v>1787</v>
      </c>
      <c r="C1346" s="6" t="s">
        <v>4481</v>
      </c>
      <c r="D1346" s="6" t="s">
        <v>4482</v>
      </c>
      <c r="E1346" s="7" t="s">
        <v>21</v>
      </c>
      <c r="F1346" s="6" t="s">
        <v>4978</v>
      </c>
      <c r="G1346" s="6" t="s">
        <v>4977</v>
      </c>
      <c r="H1346" s="6" t="s">
        <v>4973</v>
      </c>
      <c r="I1346" s="6" t="s">
        <v>4979</v>
      </c>
      <c r="J1346" s="6" t="s">
        <v>78</v>
      </c>
      <c r="K1346" s="5"/>
      <c r="L1346" s="4" t="s">
        <v>44</v>
      </c>
      <c r="M1346" s="8" t="s">
        <v>79</v>
      </c>
      <c r="N1346" s="9" t="s">
        <v>4495</v>
      </c>
      <c r="O1346" s="5"/>
      <c r="P1346" s="5"/>
      <c r="Q1346" s="6" t="s">
        <v>30</v>
      </c>
      <c r="R1346" s="4" t="s">
        <v>31</v>
      </c>
      <c r="S1346" s="7" t="s">
        <v>32</v>
      </c>
      <c r="T1346" s="5"/>
    </row>
    <row r="1347" customFormat="false" ht="15" hidden="false" customHeight="true" outlineLevel="0" collapsed="false">
      <c r="A1347" s="4" t="n">
        <v>1346</v>
      </c>
      <c r="B1347" s="6" t="s">
        <v>1787</v>
      </c>
      <c r="C1347" s="6" t="s">
        <v>4481</v>
      </c>
      <c r="D1347" s="6" t="s">
        <v>4482</v>
      </c>
      <c r="E1347" s="7" t="s">
        <v>21</v>
      </c>
      <c r="F1347" s="6" t="s">
        <v>4980</v>
      </c>
      <c r="G1347" s="6" t="s">
        <v>1817</v>
      </c>
      <c r="H1347" s="6" t="s">
        <v>2093</v>
      </c>
      <c r="I1347" s="6" t="s">
        <v>1823</v>
      </c>
      <c r="J1347" s="6" t="s">
        <v>4981</v>
      </c>
      <c r="K1347" s="5"/>
      <c r="L1347" s="4" t="s">
        <v>44</v>
      </c>
      <c r="M1347" s="8" t="s">
        <v>79</v>
      </c>
      <c r="N1347" s="9" t="s">
        <v>4495</v>
      </c>
      <c r="O1347" s="5"/>
      <c r="P1347" s="5"/>
      <c r="Q1347" s="6" t="s">
        <v>30</v>
      </c>
      <c r="R1347" s="4" t="s">
        <v>31</v>
      </c>
      <c r="S1347" s="7" t="s">
        <v>32</v>
      </c>
      <c r="T1347" s="5"/>
    </row>
    <row r="1348" customFormat="false" ht="15" hidden="false" customHeight="true" outlineLevel="0" collapsed="false">
      <c r="A1348" s="4" t="n">
        <v>1347</v>
      </c>
      <c r="B1348" s="6" t="s">
        <v>1787</v>
      </c>
      <c r="C1348" s="6" t="s">
        <v>4481</v>
      </c>
      <c r="D1348" s="6" t="s">
        <v>4482</v>
      </c>
      <c r="E1348" s="7" t="s">
        <v>21</v>
      </c>
      <c r="F1348" s="6" t="s">
        <v>4982</v>
      </c>
      <c r="G1348" s="6" t="s">
        <v>4983</v>
      </c>
      <c r="H1348" s="6" t="s">
        <v>4973</v>
      </c>
      <c r="I1348" s="6" t="s">
        <v>3655</v>
      </c>
      <c r="J1348" s="6" t="s">
        <v>4977</v>
      </c>
      <c r="K1348" s="5"/>
      <c r="L1348" s="4" t="s">
        <v>51</v>
      </c>
      <c r="M1348" s="8" t="s">
        <v>129</v>
      </c>
      <c r="N1348" s="9" t="s">
        <v>4495</v>
      </c>
      <c r="O1348" s="5"/>
      <c r="P1348" s="5"/>
      <c r="Q1348" s="6" t="s">
        <v>30</v>
      </c>
      <c r="R1348" s="4" t="s">
        <v>31</v>
      </c>
      <c r="S1348" s="7" t="s">
        <v>32</v>
      </c>
      <c r="T1348" s="5"/>
    </row>
    <row r="1349" customFormat="false" ht="29.25" hidden="false" customHeight="true" outlineLevel="0" collapsed="false">
      <c r="A1349" s="4" t="n">
        <v>1348</v>
      </c>
      <c r="B1349" s="6" t="s">
        <v>1787</v>
      </c>
      <c r="C1349" s="6" t="s">
        <v>4481</v>
      </c>
      <c r="D1349" s="6" t="s">
        <v>4482</v>
      </c>
      <c r="E1349" s="7" t="s">
        <v>21</v>
      </c>
      <c r="F1349" s="6" t="s">
        <v>4984</v>
      </c>
      <c r="G1349" s="6" t="s">
        <v>2434</v>
      </c>
      <c r="H1349" s="6" t="s">
        <v>2167</v>
      </c>
      <c r="I1349" s="6" t="s">
        <v>4985</v>
      </c>
      <c r="J1349" s="6" t="s">
        <v>78</v>
      </c>
      <c r="K1349" s="5"/>
      <c r="L1349" s="4" t="s">
        <v>44</v>
      </c>
      <c r="M1349" s="8" t="s">
        <v>28</v>
      </c>
      <c r="N1349" s="9" t="s">
        <v>4495</v>
      </c>
      <c r="O1349" s="5"/>
      <c r="P1349" s="5"/>
      <c r="Q1349" s="6" t="s">
        <v>30</v>
      </c>
      <c r="R1349" s="4" t="s">
        <v>31</v>
      </c>
      <c r="S1349" s="7" t="s">
        <v>32</v>
      </c>
      <c r="T1349" s="5"/>
    </row>
    <row r="1350" customFormat="false" ht="43.5" hidden="false" customHeight="true" outlineLevel="0" collapsed="false">
      <c r="A1350" s="4" t="n">
        <v>1349</v>
      </c>
      <c r="B1350" s="6" t="s">
        <v>1787</v>
      </c>
      <c r="C1350" s="6" t="s">
        <v>4481</v>
      </c>
      <c r="D1350" s="6" t="s">
        <v>4482</v>
      </c>
      <c r="E1350" s="7" t="s">
        <v>21</v>
      </c>
      <c r="F1350" s="6" t="s">
        <v>4777</v>
      </c>
      <c r="G1350" s="6" t="s">
        <v>4986</v>
      </c>
      <c r="H1350" s="6" t="s">
        <v>4987</v>
      </c>
      <c r="I1350" s="6" t="s">
        <v>4988</v>
      </c>
      <c r="J1350" s="6" t="s">
        <v>4989</v>
      </c>
      <c r="K1350" s="5"/>
      <c r="L1350" s="4" t="s">
        <v>62</v>
      </c>
      <c r="M1350" s="8" t="s">
        <v>79</v>
      </c>
      <c r="N1350" s="9" t="s">
        <v>4495</v>
      </c>
      <c r="O1350" s="5"/>
      <c r="P1350" s="5"/>
      <c r="Q1350" s="6" t="s">
        <v>30</v>
      </c>
      <c r="R1350" s="4" t="s">
        <v>31</v>
      </c>
      <c r="S1350" s="7" t="s">
        <v>32</v>
      </c>
      <c r="T1350" s="5"/>
    </row>
    <row r="1351" customFormat="false" ht="15" hidden="false" customHeight="true" outlineLevel="0" collapsed="false">
      <c r="A1351" s="4" t="n">
        <v>1350</v>
      </c>
      <c r="B1351" s="6" t="s">
        <v>1787</v>
      </c>
      <c r="C1351" s="6" t="s">
        <v>4481</v>
      </c>
      <c r="D1351" s="6" t="s">
        <v>4482</v>
      </c>
      <c r="E1351" s="7" t="s">
        <v>21</v>
      </c>
      <c r="F1351" s="6" t="s">
        <v>4990</v>
      </c>
      <c r="G1351" s="5" t="s">
        <v>4991</v>
      </c>
      <c r="H1351" s="5" t="s">
        <v>4992</v>
      </c>
      <c r="I1351" s="5" t="s">
        <v>4993</v>
      </c>
      <c r="J1351" s="5" t="s">
        <v>4994</v>
      </c>
      <c r="K1351" s="5"/>
      <c r="L1351" s="4" t="s">
        <v>27</v>
      </c>
      <c r="M1351" s="8" t="s">
        <v>129</v>
      </c>
      <c r="N1351" s="9" t="s">
        <v>4495</v>
      </c>
      <c r="O1351" s="5"/>
      <c r="P1351" s="5"/>
      <c r="Q1351" s="6" t="s">
        <v>30</v>
      </c>
      <c r="R1351" s="4" t="s">
        <v>31</v>
      </c>
      <c r="S1351" s="7" t="s">
        <v>32</v>
      </c>
      <c r="T1351" s="5"/>
    </row>
    <row r="1352" customFormat="false" ht="15" hidden="false" customHeight="true" outlineLevel="0" collapsed="false">
      <c r="A1352" s="4" t="n">
        <v>1351</v>
      </c>
      <c r="B1352" s="6" t="s">
        <v>1787</v>
      </c>
      <c r="C1352" s="6" t="s">
        <v>4481</v>
      </c>
      <c r="D1352" s="6" t="s">
        <v>4482</v>
      </c>
      <c r="E1352" s="7" t="s">
        <v>21</v>
      </c>
      <c r="F1352" s="6" t="s">
        <v>4995</v>
      </c>
      <c r="G1352" s="6" t="s">
        <v>4996</v>
      </c>
      <c r="H1352" s="6" t="s">
        <v>4997</v>
      </c>
      <c r="I1352" s="6" t="s">
        <v>4998</v>
      </c>
      <c r="J1352" s="6" t="s">
        <v>4999</v>
      </c>
      <c r="K1352" s="5"/>
      <c r="L1352" s="4" t="s">
        <v>62</v>
      </c>
      <c r="M1352" s="8" t="s">
        <v>79</v>
      </c>
      <c r="N1352" s="9" t="s">
        <v>4495</v>
      </c>
      <c r="O1352" s="5"/>
      <c r="P1352" s="5"/>
      <c r="Q1352" s="6" t="s">
        <v>30</v>
      </c>
      <c r="R1352" s="4" t="s">
        <v>31</v>
      </c>
      <c r="S1352" s="7" t="s">
        <v>32</v>
      </c>
      <c r="T1352" s="5"/>
    </row>
    <row r="1353" customFormat="false" ht="15" hidden="false" customHeight="true" outlineLevel="0" collapsed="false">
      <c r="A1353" s="4" t="n">
        <v>1352</v>
      </c>
      <c r="B1353" s="6" t="s">
        <v>1787</v>
      </c>
      <c r="C1353" s="6" t="s">
        <v>4481</v>
      </c>
      <c r="D1353" s="6" t="s">
        <v>4482</v>
      </c>
      <c r="E1353" s="7" t="s">
        <v>21</v>
      </c>
      <c r="F1353" s="6" t="s">
        <v>5000</v>
      </c>
      <c r="G1353" s="6" t="s">
        <v>5001</v>
      </c>
      <c r="H1353" s="6" t="s">
        <v>5002</v>
      </c>
      <c r="I1353" s="6" t="s">
        <v>5003</v>
      </c>
      <c r="J1353" s="6" t="s">
        <v>5004</v>
      </c>
      <c r="K1353" s="5"/>
      <c r="L1353" s="4" t="s">
        <v>27</v>
      </c>
      <c r="M1353" s="8" t="s">
        <v>79</v>
      </c>
      <c r="N1353" s="9" t="s">
        <v>4495</v>
      </c>
      <c r="O1353" s="5"/>
      <c r="P1353" s="5"/>
      <c r="Q1353" s="6" t="s">
        <v>30</v>
      </c>
      <c r="R1353" s="4" t="s">
        <v>31</v>
      </c>
      <c r="S1353" s="7" t="s">
        <v>32</v>
      </c>
      <c r="T1353" s="5"/>
    </row>
    <row r="1354" customFormat="false" ht="29.25" hidden="false" customHeight="true" outlineLevel="0" collapsed="false">
      <c r="A1354" s="4" t="n">
        <v>1353</v>
      </c>
      <c r="B1354" s="6" t="s">
        <v>1787</v>
      </c>
      <c r="C1354" s="6" t="s">
        <v>4481</v>
      </c>
      <c r="D1354" s="6" t="s">
        <v>4482</v>
      </c>
      <c r="E1354" s="7" t="s">
        <v>21</v>
      </c>
      <c r="F1354" s="6" t="s">
        <v>5005</v>
      </c>
      <c r="G1354" s="6" t="s">
        <v>5006</v>
      </c>
      <c r="H1354" s="6" t="s">
        <v>5007</v>
      </c>
      <c r="I1354" s="6" t="s">
        <v>5008</v>
      </c>
      <c r="J1354" s="6" t="s">
        <v>5009</v>
      </c>
      <c r="K1354" s="5"/>
      <c r="L1354" s="4" t="s">
        <v>44</v>
      </c>
      <c r="M1354" s="8" t="s">
        <v>79</v>
      </c>
      <c r="N1354" s="9" t="s">
        <v>4495</v>
      </c>
      <c r="O1354" s="5"/>
      <c r="P1354" s="5"/>
      <c r="Q1354" s="6" t="s">
        <v>30</v>
      </c>
      <c r="R1354" s="4" t="s">
        <v>31</v>
      </c>
      <c r="S1354" s="7" t="s">
        <v>32</v>
      </c>
      <c r="T1354" s="5"/>
    </row>
    <row r="1355" customFormat="false" ht="43.5" hidden="false" customHeight="true" outlineLevel="0" collapsed="false">
      <c r="A1355" s="4" t="n">
        <v>1354</v>
      </c>
      <c r="B1355" s="6" t="s">
        <v>1787</v>
      </c>
      <c r="C1355" s="6" t="s">
        <v>4481</v>
      </c>
      <c r="D1355" s="6" t="s">
        <v>4482</v>
      </c>
      <c r="E1355" s="7" t="s">
        <v>21</v>
      </c>
      <c r="F1355" s="6" t="s">
        <v>5010</v>
      </c>
      <c r="G1355" s="6" t="s">
        <v>1985</v>
      </c>
      <c r="H1355" s="6" t="s">
        <v>536</v>
      </c>
      <c r="I1355" s="6" t="s">
        <v>5011</v>
      </c>
      <c r="J1355" s="6" t="s">
        <v>78</v>
      </c>
      <c r="K1355" s="5"/>
      <c r="L1355" s="4" t="s">
        <v>51</v>
      </c>
      <c r="M1355" s="8" t="s">
        <v>28</v>
      </c>
      <c r="N1355" s="9" t="s">
        <v>4495</v>
      </c>
      <c r="O1355" s="5"/>
      <c r="P1355" s="5"/>
      <c r="Q1355" s="6" t="s">
        <v>30</v>
      </c>
      <c r="R1355" s="4" t="s">
        <v>31</v>
      </c>
      <c r="S1355" s="7" t="s">
        <v>32</v>
      </c>
      <c r="T1355" s="5"/>
    </row>
    <row r="1356" customFormat="false" ht="29.25" hidden="false" customHeight="true" outlineLevel="0" collapsed="false">
      <c r="A1356" s="4" t="n">
        <v>1355</v>
      </c>
      <c r="B1356" s="6" t="s">
        <v>1787</v>
      </c>
      <c r="C1356" s="6" t="s">
        <v>4481</v>
      </c>
      <c r="D1356" s="6" t="s">
        <v>4482</v>
      </c>
      <c r="E1356" s="7" t="s">
        <v>21</v>
      </c>
      <c r="F1356" s="6" t="s">
        <v>5012</v>
      </c>
      <c r="G1356" s="6" t="s">
        <v>5013</v>
      </c>
      <c r="H1356" s="6" t="s">
        <v>5014</v>
      </c>
      <c r="I1356" s="6" t="s">
        <v>5015</v>
      </c>
      <c r="J1356" s="6" t="s">
        <v>5016</v>
      </c>
      <c r="K1356" s="5"/>
      <c r="L1356" s="4" t="s">
        <v>27</v>
      </c>
      <c r="M1356" s="8" t="s">
        <v>79</v>
      </c>
      <c r="N1356" s="9" t="s">
        <v>4495</v>
      </c>
      <c r="O1356" s="5"/>
      <c r="P1356" s="5"/>
      <c r="Q1356" s="6" t="s">
        <v>30</v>
      </c>
      <c r="R1356" s="4" t="s">
        <v>31</v>
      </c>
      <c r="S1356" s="7" t="s">
        <v>32</v>
      </c>
      <c r="T1356" s="5"/>
    </row>
    <row r="1357" customFormat="false" ht="29.25" hidden="false" customHeight="true" outlineLevel="0" collapsed="false">
      <c r="A1357" s="4" t="n">
        <v>1356</v>
      </c>
      <c r="B1357" s="6" t="s">
        <v>1787</v>
      </c>
      <c r="C1357" s="6" t="s">
        <v>4481</v>
      </c>
      <c r="D1357" s="6" t="s">
        <v>4482</v>
      </c>
      <c r="E1357" s="7" t="s">
        <v>21</v>
      </c>
      <c r="F1357" s="6" t="s">
        <v>5017</v>
      </c>
      <c r="G1357" s="6" t="s">
        <v>5018</v>
      </c>
      <c r="H1357" s="6" t="s">
        <v>5019</v>
      </c>
      <c r="I1357" s="6" t="s">
        <v>5020</v>
      </c>
      <c r="J1357" s="6" t="s">
        <v>5021</v>
      </c>
      <c r="K1357" s="5"/>
      <c r="L1357" s="4" t="s">
        <v>51</v>
      </c>
      <c r="M1357" s="8" t="s">
        <v>79</v>
      </c>
      <c r="N1357" s="9" t="s">
        <v>4495</v>
      </c>
      <c r="O1357" s="5"/>
      <c r="P1357" s="5"/>
      <c r="Q1357" s="6" t="s">
        <v>30</v>
      </c>
      <c r="R1357" s="4" t="s">
        <v>31</v>
      </c>
      <c r="S1357" s="7" t="s">
        <v>32</v>
      </c>
      <c r="T1357" s="5"/>
    </row>
    <row r="1358" customFormat="false" ht="43.5" hidden="false" customHeight="true" outlineLevel="0" collapsed="false">
      <c r="A1358" s="4" t="n">
        <v>1357</v>
      </c>
      <c r="B1358" s="6" t="s">
        <v>1787</v>
      </c>
      <c r="C1358" s="6" t="s">
        <v>4481</v>
      </c>
      <c r="D1358" s="6" t="s">
        <v>4482</v>
      </c>
      <c r="E1358" s="7" t="s">
        <v>21</v>
      </c>
      <c r="F1358" s="6" t="s">
        <v>5022</v>
      </c>
      <c r="G1358" s="6" t="s">
        <v>5023</v>
      </c>
      <c r="H1358" s="6" t="s">
        <v>5024</v>
      </c>
      <c r="I1358" s="6" t="s">
        <v>5025</v>
      </c>
      <c r="J1358" s="6" t="s">
        <v>5026</v>
      </c>
      <c r="K1358" s="5"/>
      <c r="L1358" s="4" t="s">
        <v>27</v>
      </c>
      <c r="M1358" s="8" t="s">
        <v>79</v>
      </c>
      <c r="N1358" s="9" t="s">
        <v>4495</v>
      </c>
      <c r="O1358" s="5"/>
      <c r="P1358" s="5"/>
      <c r="Q1358" s="6" t="s">
        <v>30</v>
      </c>
      <c r="R1358" s="4" t="s">
        <v>31</v>
      </c>
      <c r="S1358" s="7" t="s">
        <v>32</v>
      </c>
      <c r="T1358" s="5"/>
    </row>
    <row r="1359" customFormat="false" ht="15" hidden="false" customHeight="true" outlineLevel="0" collapsed="false">
      <c r="A1359" s="4" t="n">
        <v>1358</v>
      </c>
      <c r="B1359" s="6" t="s">
        <v>1787</v>
      </c>
      <c r="C1359" s="6" t="s">
        <v>4481</v>
      </c>
      <c r="D1359" s="6" t="s">
        <v>4482</v>
      </c>
      <c r="E1359" s="7" t="s">
        <v>21</v>
      </c>
      <c r="F1359" s="6" t="s">
        <v>5027</v>
      </c>
      <c r="G1359" s="6" t="s">
        <v>5028</v>
      </c>
      <c r="H1359" s="6" t="s">
        <v>5029</v>
      </c>
      <c r="I1359" s="6" t="s">
        <v>5030</v>
      </c>
      <c r="J1359" s="6" t="s">
        <v>150</v>
      </c>
      <c r="K1359" s="5"/>
      <c r="L1359" s="4" t="s">
        <v>27</v>
      </c>
      <c r="M1359" s="8" t="s">
        <v>79</v>
      </c>
      <c r="N1359" s="9" t="s">
        <v>4495</v>
      </c>
      <c r="O1359" s="5"/>
      <c r="P1359" s="5"/>
      <c r="Q1359" s="6" t="s">
        <v>30</v>
      </c>
      <c r="R1359" s="4" t="s">
        <v>31</v>
      </c>
      <c r="S1359" s="7" t="s">
        <v>32</v>
      </c>
      <c r="T1359" s="5"/>
    </row>
    <row r="1360" customFormat="false" ht="15" hidden="false" customHeight="true" outlineLevel="0" collapsed="false">
      <c r="A1360" s="4" t="n">
        <v>1359</v>
      </c>
      <c r="B1360" s="6" t="s">
        <v>1787</v>
      </c>
      <c r="C1360" s="6" t="s">
        <v>4481</v>
      </c>
      <c r="D1360" s="6" t="s">
        <v>4482</v>
      </c>
      <c r="E1360" s="7" t="s">
        <v>21</v>
      </c>
      <c r="F1360" s="6" t="s">
        <v>5031</v>
      </c>
      <c r="G1360" s="6" t="s">
        <v>5030</v>
      </c>
      <c r="H1360" s="6" t="s">
        <v>5029</v>
      </c>
      <c r="I1360" s="6" t="s">
        <v>5028</v>
      </c>
      <c r="J1360" s="6" t="s">
        <v>150</v>
      </c>
      <c r="K1360" s="5"/>
      <c r="L1360" s="4" t="s">
        <v>62</v>
      </c>
      <c r="M1360" s="8" t="s">
        <v>79</v>
      </c>
      <c r="N1360" s="9" t="s">
        <v>4627</v>
      </c>
      <c r="O1360" s="5"/>
      <c r="P1360" s="5"/>
      <c r="Q1360" s="6" t="s">
        <v>30</v>
      </c>
      <c r="R1360" s="4" t="s">
        <v>31</v>
      </c>
      <c r="S1360" s="7" t="s">
        <v>32</v>
      </c>
      <c r="T1360" s="5"/>
    </row>
    <row r="1361" customFormat="false" ht="29.25" hidden="false" customHeight="true" outlineLevel="0" collapsed="false">
      <c r="A1361" s="4" t="n">
        <v>1360</v>
      </c>
      <c r="B1361" s="6" t="s">
        <v>1787</v>
      </c>
      <c r="C1361" s="6" t="s">
        <v>4481</v>
      </c>
      <c r="D1361" s="6" t="s">
        <v>4482</v>
      </c>
      <c r="E1361" s="7" t="s">
        <v>21</v>
      </c>
      <c r="F1361" s="6" t="s">
        <v>5032</v>
      </c>
      <c r="G1361" s="6" t="s">
        <v>5033</v>
      </c>
      <c r="H1361" s="6" t="s">
        <v>2536</v>
      </c>
      <c r="I1361" s="6" t="s">
        <v>5034</v>
      </c>
      <c r="J1361" s="6" t="s">
        <v>322</v>
      </c>
      <c r="K1361" s="5"/>
      <c r="L1361" s="4" t="s">
        <v>51</v>
      </c>
      <c r="M1361" s="8" t="s">
        <v>79</v>
      </c>
      <c r="N1361" s="9" t="s">
        <v>4627</v>
      </c>
      <c r="O1361" s="5"/>
      <c r="P1361" s="5"/>
      <c r="Q1361" s="6" t="s">
        <v>30</v>
      </c>
      <c r="R1361" s="4" t="s">
        <v>31</v>
      </c>
      <c r="S1361" s="7" t="s">
        <v>32</v>
      </c>
      <c r="T1361" s="5"/>
    </row>
    <row r="1362" customFormat="false" ht="29.25" hidden="false" customHeight="true" outlineLevel="0" collapsed="false">
      <c r="A1362" s="4" t="n">
        <v>1361</v>
      </c>
      <c r="B1362" s="6" t="s">
        <v>1787</v>
      </c>
      <c r="C1362" s="6" t="s">
        <v>4481</v>
      </c>
      <c r="D1362" s="6" t="s">
        <v>4482</v>
      </c>
      <c r="E1362" s="7" t="s">
        <v>21</v>
      </c>
      <c r="F1362" s="6" t="s">
        <v>5035</v>
      </c>
      <c r="G1362" s="6" t="s">
        <v>209</v>
      </c>
      <c r="H1362" s="6" t="s">
        <v>5036</v>
      </c>
      <c r="I1362" s="6" t="s">
        <v>5037</v>
      </c>
      <c r="J1362" s="6" t="s">
        <v>5038</v>
      </c>
      <c r="K1362" s="5"/>
      <c r="L1362" s="4" t="s">
        <v>62</v>
      </c>
      <c r="M1362" s="8" t="s">
        <v>79</v>
      </c>
      <c r="N1362" s="9" t="s">
        <v>4627</v>
      </c>
      <c r="O1362" s="5"/>
      <c r="P1362" s="5"/>
      <c r="Q1362" s="6" t="s">
        <v>30</v>
      </c>
      <c r="R1362" s="4" t="s">
        <v>31</v>
      </c>
      <c r="S1362" s="7" t="s">
        <v>32</v>
      </c>
      <c r="T1362" s="5"/>
    </row>
    <row r="1363" customFormat="false" ht="15" hidden="false" customHeight="true" outlineLevel="0" collapsed="false">
      <c r="A1363" s="4" t="n">
        <v>1362</v>
      </c>
      <c r="B1363" s="6" t="s">
        <v>1787</v>
      </c>
      <c r="C1363" s="6" t="s">
        <v>4481</v>
      </c>
      <c r="D1363" s="6" t="s">
        <v>4482</v>
      </c>
      <c r="E1363" s="7" t="s">
        <v>21</v>
      </c>
      <c r="F1363" s="6" t="s">
        <v>5039</v>
      </c>
      <c r="G1363" s="6" t="s">
        <v>5040</v>
      </c>
      <c r="H1363" s="6" t="s">
        <v>5041</v>
      </c>
      <c r="I1363" s="6" t="s">
        <v>5042</v>
      </c>
      <c r="J1363" s="6" t="s">
        <v>5043</v>
      </c>
      <c r="K1363" s="5"/>
      <c r="L1363" s="4" t="s">
        <v>51</v>
      </c>
      <c r="M1363" s="8" t="s">
        <v>129</v>
      </c>
      <c r="N1363" s="9" t="s">
        <v>4495</v>
      </c>
      <c r="O1363" s="5"/>
      <c r="P1363" s="5"/>
      <c r="Q1363" s="6" t="s">
        <v>30</v>
      </c>
      <c r="R1363" s="4" t="s">
        <v>31</v>
      </c>
      <c r="S1363" s="7" t="s">
        <v>32</v>
      </c>
      <c r="T1363" s="5"/>
    </row>
    <row r="1364" customFormat="false" ht="29.25" hidden="false" customHeight="true" outlineLevel="0" collapsed="false">
      <c r="A1364" s="4" t="n">
        <v>1363</v>
      </c>
      <c r="B1364" s="6" t="s">
        <v>1787</v>
      </c>
      <c r="C1364" s="6" t="s">
        <v>4481</v>
      </c>
      <c r="D1364" s="6" t="s">
        <v>4482</v>
      </c>
      <c r="E1364" s="7" t="s">
        <v>21</v>
      </c>
      <c r="F1364" s="6" t="s">
        <v>5044</v>
      </c>
      <c r="G1364" s="6" t="s">
        <v>3994</v>
      </c>
      <c r="H1364" s="6" t="s">
        <v>5045</v>
      </c>
      <c r="I1364" s="6" t="s">
        <v>5046</v>
      </c>
      <c r="J1364" s="6" t="s">
        <v>3988</v>
      </c>
      <c r="K1364" s="5"/>
      <c r="L1364" s="4" t="s">
        <v>51</v>
      </c>
      <c r="M1364" s="8" t="s">
        <v>79</v>
      </c>
      <c r="N1364" s="9" t="s">
        <v>4495</v>
      </c>
      <c r="O1364" s="5"/>
      <c r="P1364" s="5"/>
      <c r="Q1364" s="6" t="s">
        <v>30</v>
      </c>
      <c r="R1364" s="4" t="s">
        <v>31</v>
      </c>
      <c r="S1364" s="7" t="s">
        <v>32</v>
      </c>
      <c r="T1364" s="5"/>
    </row>
    <row r="1365" customFormat="false" ht="29.25" hidden="false" customHeight="true" outlineLevel="0" collapsed="false">
      <c r="A1365" s="4" t="n">
        <v>1364</v>
      </c>
      <c r="B1365" s="6" t="s">
        <v>1787</v>
      </c>
      <c r="C1365" s="6" t="s">
        <v>4481</v>
      </c>
      <c r="D1365" s="6" t="s">
        <v>4482</v>
      </c>
      <c r="E1365" s="7" t="s">
        <v>21</v>
      </c>
      <c r="F1365" s="6" t="s">
        <v>5047</v>
      </c>
      <c r="G1365" s="6" t="s">
        <v>5048</v>
      </c>
      <c r="H1365" s="6" t="s">
        <v>5049</v>
      </c>
      <c r="I1365" s="6" t="s">
        <v>5050</v>
      </c>
      <c r="J1365" s="6" t="s">
        <v>5051</v>
      </c>
      <c r="K1365" s="5"/>
      <c r="L1365" s="4" t="s">
        <v>27</v>
      </c>
      <c r="M1365" s="8" t="s">
        <v>28</v>
      </c>
      <c r="N1365" s="9" t="s">
        <v>5052</v>
      </c>
      <c r="O1365" s="5"/>
      <c r="P1365" s="5"/>
      <c r="Q1365" s="6" t="s">
        <v>30</v>
      </c>
      <c r="R1365" s="4" t="s">
        <v>31</v>
      </c>
      <c r="S1365" s="7" t="s">
        <v>32</v>
      </c>
      <c r="T1365" s="5"/>
    </row>
    <row r="1366" customFormat="false" ht="29.25" hidden="false" customHeight="true" outlineLevel="0" collapsed="false">
      <c r="A1366" s="4" t="n">
        <v>1365</v>
      </c>
      <c r="B1366" s="6" t="s">
        <v>1787</v>
      </c>
      <c r="C1366" s="6" t="s">
        <v>4481</v>
      </c>
      <c r="D1366" s="6" t="s">
        <v>4482</v>
      </c>
      <c r="E1366" s="7" t="s">
        <v>21</v>
      </c>
      <c r="F1366" s="6" t="s">
        <v>5053</v>
      </c>
      <c r="G1366" s="6" t="s">
        <v>5054</v>
      </c>
      <c r="H1366" s="6" t="s">
        <v>5055</v>
      </c>
      <c r="I1366" s="6" t="s">
        <v>5056</v>
      </c>
      <c r="J1366" s="6" t="s">
        <v>78</v>
      </c>
      <c r="K1366" s="5"/>
      <c r="L1366" s="4" t="s">
        <v>44</v>
      </c>
      <c r="M1366" s="8" t="s">
        <v>79</v>
      </c>
      <c r="N1366" s="9" t="s">
        <v>4495</v>
      </c>
      <c r="O1366" s="5"/>
      <c r="P1366" s="5"/>
      <c r="Q1366" s="6" t="s">
        <v>30</v>
      </c>
      <c r="R1366" s="4" t="s">
        <v>31</v>
      </c>
      <c r="S1366" s="7" t="s">
        <v>32</v>
      </c>
      <c r="T1366" s="5"/>
    </row>
    <row r="1367" customFormat="false" ht="43.5" hidden="false" customHeight="true" outlineLevel="0" collapsed="false">
      <c r="A1367" s="4" t="n">
        <v>1366</v>
      </c>
      <c r="B1367" s="6" t="s">
        <v>1787</v>
      </c>
      <c r="C1367" s="6" t="s">
        <v>4481</v>
      </c>
      <c r="D1367" s="6" t="s">
        <v>4482</v>
      </c>
      <c r="E1367" s="7" t="s">
        <v>21</v>
      </c>
      <c r="F1367" s="6" t="s">
        <v>5057</v>
      </c>
      <c r="G1367" s="6" t="s">
        <v>5058</v>
      </c>
      <c r="H1367" s="6" t="s">
        <v>5059</v>
      </c>
      <c r="I1367" s="6" t="s">
        <v>5060</v>
      </c>
      <c r="J1367" s="6" t="s">
        <v>78</v>
      </c>
      <c r="K1367" s="5"/>
      <c r="L1367" s="4" t="s">
        <v>44</v>
      </c>
      <c r="M1367" s="8" t="s">
        <v>28</v>
      </c>
      <c r="N1367" s="9" t="s">
        <v>5061</v>
      </c>
      <c r="O1367" s="5"/>
      <c r="P1367" s="5"/>
      <c r="Q1367" s="6" t="s">
        <v>30</v>
      </c>
      <c r="R1367" s="4" t="s">
        <v>31</v>
      </c>
      <c r="S1367" s="7" t="s">
        <v>32</v>
      </c>
      <c r="T1367" s="5"/>
    </row>
    <row r="1368" customFormat="false" ht="15" hidden="false" customHeight="true" outlineLevel="0" collapsed="false">
      <c r="A1368" s="4" t="n">
        <v>1367</v>
      </c>
      <c r="B1368" s="6" t="s">
        <v>1787</v>
      </c>
      <c r="C1368" s="6" t="s">
        <v>4481</v>
      </c>
      <c r="D1368" s="6" t="s">
        <v>4482</v>
      </c>
      <c r="E1368" s="7" t="s">
        <v>21</v>
      </c>
      <c r="F1368" s="6" t="s">
        <v>5062</v>
      </c>
      <c r="G1368" s="6" t="s">
        <v>5063</v>
      </c>
      <c r="H1368" s="6" t="s">
        <v>5064</v>
      </c>
      <c r="I1368" s="6" t="s">
        <v>5065</v>
      </c>
      <c r="J1368" s="6" t="s">
        <v>78</v>
      </c>
      <c r="K1368" s="5"/>
      <c r="L1368" s="4" t="s">
        <v>44</v>
      </c>
      <c r="M1368" s="8" t="s">
        <v>79</v>
      </c>
      <c r="N1368" s="9" t="s">
        <v>4495</v>
      </c>
      <c r="O1368" s="5"/>
      <c r="P1368" s="5"/>
      <c r="Q1368" s="6" t="s">
        <v>30</v>
      </c>
      <c r="R1368" s="4" t="s">
        <v>31</v>
      </c>
      <c r="S1368" s="7" t="s">
        <v>32</v>
      </c>
      <c r="T1368" s="5"/>
    </row>
    <row r="1369" customFormat="false" ht="29.25" hidden="false" customHeight="true" outlineLevel="0" collapsed="false">
      <c r="A1369" s="4" t="n">
        <v>1368</v>
      </c>
      <c r="B1369" s="6" t="s">
        <v>1787</v>
      </c>
      <c r="C1369" s="6" t="s">
        <v>4481</v>
      </c>
      <c r="D1369" s="6" t="s">
        <v>4482</v>
      </c>
      <c r="E1369" s="7" t="s">
        <v>21</v>
      </c>
      <c r="F1369" s="6" t="s">
        <v>5066</v>
      </c>
      <c r="G1369" s="6" t="s">
        <v>5067</v>
      </c>
      <c r="H1369" s="6" t="s">
        <v>5068</v>
      </c>
      <c r="I1369" s="6" t="s">
        <v>5069</v>
      </c>
      <c r="J1369" s="6" t="s">
        <v>78</v>
      </c>
      <c r="K1369" s="5"/>
      <c r="L1369" s="4" t="s">
        <v>44</v>
      </c>
      <c r="M1369" s="8" t="s">
        <v>79</v>
      </c>
      <c r="N1369" s="9" t="s">
        <v>4495</v>
      </c>
      <c r="O1369" s="5"/>
      <c r="P1369" s="5"/>
      <c r="Q1369" s="6" t="s">
        <v>30</v>
      </c>
      <c r="R1369" s="4" t="s">
        <v>31</v>
      </c>
      <c r="S1369" s="7" t="s">
        <v>32</v>
      </c>
      <c r="T1369" s="5"/>
    </row>
    <row r="1370" customFormat="false" ht="29.25" hidden="false" customHeight="true" outlineLevel="0" collapsed="false">
      <c r="A1370" s="4" t="n">
        <v>1369</v>
      </c>
      <c r="B1370" s="6" t="s">
        <v>1787</v>
      </c>
      <c r="C1370" s="6" t="s">
        <v>4481</v>
      </c>
      <c r="D1370" s="6" t="s">
        <v>4482</v>
      </c>
      <c r="E1370" s="7" t="s">
        <v>21</v>
      </c>
      <c r="F1370" s="6" t="s">
        <v>5070</v>
      </c>
      <c r="G1370" s="6" t="s">
        <v>5067</v>
      </c>
      <c r="H1370" s="6" t="s">
        <v>5071</v>
      </c>
      <c r="I1370" s="6" t="s">
        <v>5068</v>
      </c>
      <c r="J1370" s="6" t="s">
        <v>78</v>
      </c>
      <c r="K1370" s="5"/>
      <c r="L1370" s="4" t="s">
        <v>44</v>
      </c>
      <c r="M1370" s="8" t="s">
        <v>79</v>
      </c>
      <c r="N1370" s="9" t="s">
        <v>4495</v>
      </c>
      <c r="O1370" s="5"/>
      <c r="P1370" s="5"/>
      <c r="Q1370" s="6" t="s">
        <v>30</v>
      </c>
      <c r="R1370" s="4" t="s">
        <v>31</v>
      </c>
      <c r="S1370" s="7" t="s">
        <v>32</v>
      </c>
      <c r="T1370" s="5"/>
    </row>
    <row r="1371" customFormat="false" ht="43.5" hidden="false" customHeight="true" outlineLevel="0" collapsed="false">
      <c r="A1371" s="4" t="n">
        <v>1370</v>
      </c>
      <c r="B1371" s="6" t="s">
        <v>1787</v>
      </c>
      <c r="C1371" s="6" t="s">
        <v>4481</v>
      </c>
      <c r="D1371" s="6" t="s">
        <v>4482</v>
      </c>
      <c r="E1371" s="7" t="s">
        <v>21</v>
      </c>
      <c r="F1371" s="6" t="s">
        <v>5072</v>
      </c>
      <c r="G1371" s="6" t="s">
        <v>5073</v>
      </c>
      <c r="H1371" s="6" t="s">
        <v>5074</v>
      </c>
      <c r="I1371" s="6" t="s">
        <v>5051</v>
      </c>
      <c r="J1371" s="6" t="s">
        <v>78</v>
      </c>
      <c r="K1371" s="5"/>
      <c r="L1371" s="4" t="s">
        <v>44</v>
      </c>
      <c r="M1371" s="8" t="s">
        <v>28</v>
      </c>
      <c r="N1371" s="9" t="s">
        <v>5052</v>
      </c>
      <c r="O1371" s="5"/>
      <c r="P1371" s="5"/>
      <c r="Q1371" s="6" t="s">
        <v>30</v>
      </c>
      <c r="R1371" s="4" t="s">
        <v>31</v>
      </c>
      <c r="S1371" s="7" t="s">
        <v>32</v>
      </c>
      <c r="T1371" s="5"/>
    </row>
    <row r="1372" customFormat="false" ht="29.25" hidden="false" customHeight="true" outlineLevel="0" collapsed="false">
      <c r="A1372" s="4" t="n">
        <v>1371</v>
      </c>
      <c r="B1372" s="6" t="s">
        <v>1787</v>
      </c>
      <c r="C1372" s="6" t="s">
        <v>4481</v>
      </c>
      <c r="D1372" s="6" t="s">
        <v>4482</v>
      </c>
      <c r="E1372" s="7" t="s">
        <v>21</v>
      </c>
      <c r="F1372" s="6" t="s">
        <v>5075</v>
      </c>
      <c r="G1372" s="6" t="s">
        <v>5009</v>
      </c>
      <c r="H1372" s="6" t="s">
        <v>5076</v>
      </c>
      <c r="I1372" s="6" t="s">
        <v>5077</v>
      </c>
      <c r="J1372" s="6" t="s">
        <v>322</v>
      </c>
      <c r="K1372" s="5"/>
      <c r="L1372" s="4" t="s">
        <v>51</v>
      </c>
      <c r="M1372" s="8" t="s">
        <v>79</v>
      </c>
      <c r="N1372" s="9" t="s">
        <v>4495</v>
      </c>
      <c r="O1372" s="5"/>
      <c r="P1372" s="5"/>
      <c r="Q1372" s="6" t="s">
        <v>30</v>
      </c>
      <c r="R1372" s="4" t="s">
        <v>31</v>
      </c>
      <c r="S1372" s="7" t="s">
        <v>32</v>
      </c>
      <c r="T1372" s="5"/>
    </row>
    <row r="1373" customFormat="false" ht="29.25" hidden="false" customHeight="true" outlineLevel="0" collapsed="false">
      <c r="A1373" s="4" t="n">
        <v>1372</v>
      </c>
      <c r="B1373" s="6" t="s">
        <v>1787</v>
      </c>
      <c r="C1373" s="6" t="s">
        <v>4481</v>
      </c>
      <c r="D1373" s="6" t="s">
        <v>4482</v>
      </c>
      <c r="E1373" s="7" t="s">
        <v>21</v>
      </c>
      <c r="F1373" s="6" t="s">
        <v>5078</v>
      </c>
      <c r="G1373" s="6" t="s">
        <v>5079</v>
      </c>
      <c r="H1373" s="6" t="s">
        <v>5080</v>
      </c>
      <c r="I1373" s="6" t="s">
        <v>5081</v>
      </c>
      <c r="J1373" s="6" t="s">
        <v>5082</v>
      </c>
      <c r="K1373" s="5"/>
      <c r="L1373" s="4" t="s">
        <v>62</v>
      </c>
      <c r="M1373" s="8" t="s">
        <v>28</v>
      </c>
      <c r="N1373" s="9" t="s">
        <v>4495</v>
      </c>
      <c r="O1373" s="5"/>
      <c r="P1373" s="5"/>
      <c r="Q1373" s="6" t="s">
        <v>30</v>
      </c>
      <c r="R1373" s="4" t="s">
        <v>31</v>
      </c>
      <c r="S1373" s="7" t="s">
        <v>32</v>
      </c>
      <c r="T1373" s="5"/>
    </row>
    <row r="1374" customFormat="false" ht="15" hidden="false" customHeight="true" outlineLevel="0" collapsed="false">
      <c r="A1374" s="4" t="n">
        <v>1373</v>
      </c>
      <c r="B1374" s="6" t="s">
        <v>1787</v>
      </c>
      <c r="C1374" s="6" t="s">
        <v>4481</v>
      </c>
      <c r="D1374" s="6" t="s">
        <v>4482</v>
      </c>
      <c r="E1374" s="7" t="s">
        <v>21</v>
      </c>
      <c r="F1374" s="6" t="s">
        <v>5083</v>
      </c>
      <c r="G1374" s="6" t="s">
        <v>213</v>
      </c>
      <c r="H1374" s="6" t="s">
        <v>535</v>
      </c>
      <c r="I1374" s="6" t="s">
        <v>5084</v>
      </c>
      <c r="J1374" s="6" t="s">
        <v>5085</v>
      </c>
      <c r="K1374" s="5"/>
      <c r="L1374" s="4" t="s">
        <v>44</v>
      </c>
      <c r="M1374" s="8" t="s">
        <v>129</v>
      </c>
      <c r="N1374" s="9" t="s">
        <v>4495</v>
      </c>
      <c r="O1374" s="5"/>
      <c r="P1374" s="5"/>
      <c r="Q1374" s="6" t="s">
        <v>30</v>
      </c>
      <c r="R1374" s="4" t="s">
        <v>31</v>
      </c>
      <c r="S1374" s="7" t="s">
        <v>32</v>
      </c>
      <c r="T1374" s="5"/>
    </row>
    <row r="1375" customFormat="false" ht="43.5" hidden="false" customHeight="true" outlineLevel="0" collapsed="false">
      <c r="A1375" s="4" t="n">
        <v>1374</v>
      </c>
      <c r="B1375" s="6" t="s">
        <v>1787</v>
      </c>
      <c r="C1375" s="6" t="s">
        <v>4481</v>
      </c>
      <c r="D1375" s="6" t="s">
        <v>4482</v>
      </c>
      <c r="E1375" s="7" t="s">
        <v>21</v>
      </c>
      <c r="F1375" s="6" t="s">
        <v>5086</v>
      </c>
      <c r="G1375" s="6" t="s">
        <v>5087</v>
      </c>
      <c r="H1375" s="6" t="s">
        <v>5088</v>
      </c>
      <c r="I1375" s="6" t="s">
        <v>5082</v>
      </c>
      <c r="J1375" s="6" t="s">
        <v>5089</v>
      </c>
      <c r="K1375" s="5"/>
      <c r="L1375" s="4" t="s">
        <v>51</v>
      </c>
      <c r="M1375" s="8" t="s">
        <v>28</v>
      </c>
      <c r="N1375" s="9" t="s">
        <v>4495</v>
      </c>
      <c r="O1375" s="5"/>
      <c r="P1375" s="5"/>
      <c r="Q1375" s="6" t="s">
        <v>30</v>
      </c>
      <c r="R1375" s="4" t="s">
        <v>31</v>
      </c>
      <c r="S1375" s="7" t="s">
        <v>32</v>
      </c>
      <c r="T1375" s="5"/>
    </row>
    <row r="1376" customFormat="false" ht="72" hidden="false" customHeight="true" outlineLevel="0" collapsed="false">
      <c r="A1376" s="4" t="n">
        <v>1375</v>
      </c>
      <c r="B1376" s="6" t="s">
        <v>1787</v>
      </c>
      <c r="C1376" s="6" t="s">
        <v>4481</v>
      </c>
      <c r="D1376" s="6" t="s">
        <v>4482</v>
      </c>
      <c r="E1376" s="7" t="s">
        <v>21</v>
      </c>
      <c r="F1376" s="6" t="s">
        <v>5090</v>
      </c>
      <c r="G1376" s="6" t="s">
        <v>5091</v>
      </c>
      <c r="H1376" s="6" t="s">
        <v>5092</v>
      </c>
      <c r="I1376" s="6" t="s">
        <v>5093</v>
      </c>
      <c r="J1376" s="6" t="s">
        <v>78</v>
      </c>
      <c r="K1376" s="5"/>
      <c r="L1376" s="4" t="s">
        <v>27</v>
      </c>
      <c r="M1376" s="8" t="s">
        <v>79</v>
      </c>
      <c r="N1376" s="9" t="s">
        <v>4495</v>
      </c>
      <c r="O1376" s="5"/>
      <c r="P1376" s="5"/>
      <c r="Q1376" s="6" t="s">
        <v>30</v>
      </c>
      <c r="R1376" s="4" t="s">
        <v>31</v>
      </c>
      <c r="S1376" s="7" t="s">
        <v>32</v>
      </c>
      <c r="T1376" s="5"/>
    </row>
    <row r="1377" customFormat="false" ht="29.25" hidden="false" customHeight="true" outlineLevel="0" collapsed="false">
      <c r="A1377" s="4" t="n">
        <v>1376</v>
      </c>
      <c r="B1377" s="6" t="s">
        <v>1787</v>
      </c>
      <c r="C1377" s="6" t="s">
        <v>4481</v>
      </c>
      <c r="D1377" s="6" t="s">
        <v>4482</v>
      </c>
      <c r="E1377" s="7" t="s">
        <v>21</v>
      </c>
      <c r="F1377" s="6" t="s">
        <v>5094</v>
      </c>
      <c r="G1377" s="6" t="s">
        <v>5095</v>
      </c>
      <c r="H1377" s="6" t="s">
        <v>5096</v>
      </c>
      <c r="I1377" s="6" t="s">
        <v>5097</v>
      </c>
      <c r="J1377" s="6" t="s">
        <v>5098</v>
      </c>
      <c r="K1377" s="5"/>
      <c r="L1377" s="4" t="s">
        <v>62</v>
      </c>
      <c r="M1377" s="8" t="s">
        <v>79</v>
      </c>
      <c r="N1377" s="9" t="s">
        <v>4495</v>
      </c>
      <c r="O1377" s="5"/>
      <c r="P1377" s="5"/>
      <c r="Q1377" s="6" t="s">
        <v>30</v>
      </c>
      <c r="R1377" s="4" t="s">
        <v>31</v>
      </c>
      <c r="S1377" s="7" t="s">
        <v>32</v>
      </c>
      <c r="T1377" s="5"/>
    </row>
    <row r="1378" customFormat="false" ht="29.25" hidden="false" customHeight="true" outlineLevel="0" collapsed="false">
      <c r="A1378" s="4" t="n">
        <v>1377</v>
      </c>
      <c r="B1378" s="6" t="s">
        <v>1787</v>
      </c>
      <c r="C1378" s="6" t="s">
        <v>4481</v>
      </c>
      <c r="D1378" s="6" t="s">
        <v>4482</v>
      </c>
      <c r="E1378" s="7" t="s">
        <v>21</v>
      </c>
      <c r="F1378" s="6" t="s">
        <v>5099</v>
      </c>
      <c r="G1378" s="6" t="s">
        <v>5100</v>
      </c>
      <c r="H1378" s="6" t="s">
        <v>5101</v>
      </c>
      <c r="I1378" s="6" t="s">
        <v>5102</v>
      </c>
      <c r="J1378" s="6" t="s">
        <v>5103</v>
      </c>
      <c r="K1378" s="5"/>
      <c r="L1378" s="4" t="s">
        <v>27</v>
      </c>
      <c r="M1378" s="8" t="s">
        <v>79</v>
      </c>
      <c r="N1378" s="9" t="s">
        <v>4495</v>
      </c>
      <c r="O1378" s="5"/>
      <c r="P1378" s="5"/>
      <c r="Q1378" s="6" t="s">
        <v>30</v>
      </c>
      <c r="R1378" s="4" t="s">
        <v>31</v>
      </c>
      <c r="S1378" s="7" t="s">
        <v>32</v>
      </c>
      <c r="T1378" s="5"/>
    </row>
    <row r="1379" customFormat="false" ht="43.5" hidden="false" customHeight="true" outlineLevel="0" collapsed="false">
      <c r="A1379" s="4" t="n">
        <v>1378</v>
      </c>
      <c r="B1379" s="6" t="s">
        <v>1787</v>
      </c>
      <c r="C1379" s="6" t="s">
        <v>4481</v>
      </c>
      <c r="D1379" s="6" t="s">
        <v>4482</v>
      </c>
      <c r="E1379" s="7" t="s">
        <v>21</v>
      </c>
      <c r="F1379" s="6" t="s">
        <v>5104</v>
      </c>
      <c r="G1379" s="6" t="s">
        <v>5105</v>
      </c>
      <c r="H1379" s="6" t="s">
        <v>5106</v>
      </c>
      <c r="I1379" s="6" t="s">
        <v>5107</v>
      </c>
      <c r="J1379" s="6" t="s">
        <v>5108</v>
      </c>
      <c r="K1379" s="5"/>
      <c r="L1379" s="4" t="s">
        <v>44</v>
      </c>
      <c r="M1379" s="8" t="s">
        <v>79</v>
      </c>
      <c r="N1379" s="9" t="s">
        <v>4495</v>
      </c>
      <c r="O1379" s="5"/>
      <c r="P1379" s="5"/>
      <c r="Q1379" s="6" t="s">
        <v>30</v>
      </c>
      <c r="R1379" s="4" t="s">
        <v>31</v>
      </c>
      <c r="S1379" s="7" t="s">
        <v>32</v>
      </c>
      <c r="T1379" s="5"/>
    </row>
    <row r="1380" customFormat="false" ht="29.25" hidden="false" customHeight="true" outlineLevel="0" collapsed="false">
      <c r="A1380" s="4" t="n">
        <v>1379</v>
      </c>
      <c r="B1380" s="6" t="s">
        <v>1787</v>
      </c>
      <c r="C1380" s="6" t="s">
        <v>4481</v>
      </c>
      <c r="D1380" s="6" t="s">
        <v>4482</v>
      </c>
      <c r="E1380" s="7" t="s">
        <v>21</v>
      </c>
      <c r="F1380" s="6" t="s">
        <v>5109</v>
      </c>
      <c r="G1380" s="6" t="s">
        <v>210</v>
      </c>
      <c r="H1380" s="6" t="s">
        <v>536</v>
      </c>
      <c r="I1380" s="6" t="s">
        <v>208</v>
      </c>
      <c r="J1380" s="6" t="s">
        <v>535</v>
      </c>
      <c r="K1380" s="5"/>
      <c r="L1380" s="4" t="s">
        <v>44</v>
      </c>
      <c r="M1380" s="8" t="s">
        <v>79</v>
      </c>
      <c r="N1380" s="9" t="s">
        <v>5061</v>
      </c>
      <c r="O1380" s="5"/>
      <c r="P1380" s="5"/>
      <c r="Q1380" s="6" t="s">
        <v>30</v>
      </c>
      <c r="R1380" s="4" t="s">
        <v>31</v>
      </c>
      <c r="S1380" s="7" t="s">
        <v>32</v>
      </c>
      <c r="T1380" s="5"/>
    </row>
    <row r="1381" customFormat="false" ht="29.25" hidden="false" customHeight="true" outlineLevel="0" collapsed="false">
      <c r="A1381" s="4" t="n">
        <v>1380</v>
      </c>
      <c r="B1381" s="6" t="s">
        <v>1787</v>
      </c>
      <c r="C1381" s="6" t="s">
        <v>4481</v>
      </c>
      <c r="D1381" s="6" t="s">
        <v>4482</v>
      </c>
      <c r="E1381" s="7" t="s">
        <v>21</v>
      </c>
      <c r="F1381" s="6" t="s">
        <v>5110</v>
      </c>
      <c r="G1381" s="6" t="s">
        <v>5111</v>
      </c>
      <c r="H1381" s="6" t="s">
        <v>5112</v>
      </c>
      <c r="I1381" s="6" t="s">
        <v>5113</v>
      </c>
      <c r="J1381" s="6" t="s">
        <v>5114</v>
      </c>
      <c r="K1381" s="5"/>
      <c r="L1381" s="4" t="s">
        <v>51</v>
      </c>
      <c r="M1381" s="8" t="s">
        <v>79</v>
      </c>
      <c r="N1381" s="9" t="s">
        <v>4627</v>
      </c>
      <c r="O1381" s="5"/>
      <c r="P1381" s="5"/>
      <c r="Q1381" s="6" t="s">
        <v>30</v>
      </c>
      <c r="R1381" s="4" t="s">
        <v>31</v>
      </c>
      <c r="S1381" s="7" t="s">
        <v>32</v>
      </c>
      <c r="T1381" s="5"/>
    </row>
    <row r="1382" customFormat="false" ht="15" hidden="false" customHeight="true" outlineLevel="0" collapsed="false">
      <c r="A1382" s="4" t="n">
        <v>1381</v>
      </c>
      <c r="B1382" s="6" t="s">
        <v>1787</v>
      </c>
      <c r="C1382" s="6" t="s">
        <v>4481</v>
      </c>
      <c r="D1382" s="6" t="s">
        <v>4482</v>
      </c>
      <c r="E1382" s="7" t="s">
        <v>21</v>
      </c>
      <c r="F1382" s="6" t="s">
        <v>5115</v>
      </c>
      <c r="G1382" s="6" t="s">
        <v>142</v>
      </c>
      <c r="H1382" s="6" t="s">
        <v>1956</v>
      </c>
      <c r="I1382" s="6" t="s">
        <v>3994</v>
      </c>
      <c r="J1382" s="6" t="s">
        <v>138</v>
      </c>
      <c r="K1382" s="5"/>
      <c r="L1382" s="4" t="s">
        <v>27</v>
      </c>
      <c r="M1382" s="8" t="s">
        <v>129</v>
      </c>
      <c r="N1382" s="9" t="s">
        <v>4495</v>
      </c>
      <c r="O1382" s="5"/>
      <c r="P1382" s="5"/>
      <c r="Q1382" s="6" t="s">
        <v>30</v>
      </c>
      <c r="R1382" s="4" t="s">
        <v>31</v>
      </c>
      <c r="S1382" s="7" t="s">
        <v>32</v>
      </c>
      <c r="T1382" s="5"/>
    </row>
    <row r="1383" customFormat="false" ht="29.25" hidden="false" customHeight="true" outlineLevel="0" collapsed="false">
      <c r="A1383" s="4" t="n">
        <v>1382</v>
      </c>
      <c r="B1383" s="6" t="s">
        <v>1787</v>
      </c>
      <c r="C1383" s="6" t="s">
        <v>4481</v>
      </c>
      <c r="D1383" s="6" t="s">
        <v>4482</v>
      </c>
      <c r="E1383" s="7" t="s">
        <v>21</v>
      </c>
      <c r="F1383" s="6" t="s">
        <v>5116</v>
      </c>
      <c r="G1383" s="6" t="s">
        <v>5117</v>
      </c>
      <c r="H1383" s="6" t="s">
        <v>5118</v>
      </c>
      <c r="I1383" s="6" t="s">
        <v>5119</v>
      </c>
      <c r="J1383" s="6" t="s">
        <v>5120</v>
      </c>
      <c r="K1383" s="5"/>
      <c r="L1383" s="4" t="s">
        <v>51</v>
      </c>
      <c r="M1383" s="8" t="s">
        <v>79</v>
      </c>
      <c r="N1383" s="9" t="s">
        <v>4495</v>
      </c>
      <c r="O1383" s="5"/>
      <c r="P1383" s="5"/>
      <c r="Q1383" s="6" t="s">
        <v>30</v>
      </c>
      <c r="R1383" s="4" t="s">
        <v>31</v>
      </c>
      <c r="S1383" s="7" t="s">
        <v>32</v>
      </c>
      <c r="T1383" s="5"/>
    </row>
    <row r="1384" customFormat="false" ht="72" hidden="false" customHeight="true" outlineLevel="0" collapsed="false">
      <c r="A1384" s="4" t="n">
        <v>1383</v>
      </c>
      <c r="B1384" s="6" t="s">
        <v>1787</v>
      </c>
      <c r="C1384" s="6" t="s">
        <v>4481</v>
      </c>
      <c r="D1384" s="6" t="s">
        <v>4482</v>
      </c>
      <c r="E1384" s="7" t="s">
        <v>21</v>
      </c>
      <c r="F1384" s="6" t="s">
        <v>5121</v>
      </c>
      <c r="G1384" s="6" t="s">
        <v>5122</v>
      </c>
      <c r="H1384" s="6" t="s">
        <v>5123</v>
      </c>
      <c r="I1384" s="6" t="s">
        <v>5124</v>
      </c>
      <c r="J1384" s="6" t="s">
        <v>5125</v>
      </c>
      <c r="K1384" s="5"/>
      <c r="L1384" s="4" t="s">
        <v>27</v>
      </c>
      <c r="M1384" s="8" t="s">
        <v>28</v>
      </c>
      <c r="N1384" s="9" t="s">
        <v>4495</v>
      </c>
      <c r="O1384" s="5"/>
      <c r="P1384" s="5"/>
      <c r="Q1384" s="6" t="s">
        <v>30</v>
      </c>
      <c r="R1384" s="4" t="s">
        <v>31</v>
      </c>
      <c r="S1384" s="7" t="s">
        <v>32</v>
      </c>
      <c r="T1384" s="5"/>
    </row>
    <row r="1385" customFormat="false" ht="29.25" hidden="false" customHeight="true" outlineLevel="0" collapsed="false">
      <c r="A1385" s="4" t="n">
        <v>1384</v>
      </c>
      <c r="B1385" s="6" t="s">
        <v>1787</v>
      </c>
      <c r="C1385" s="6" t="s">
        <v>4481</v>
      </c>
      <c r="D1385" s="6" t="s">
        <v>4482</v>
      </c>
      <c r="E1385" s="7" t="s">
        <v>21</v>
      </c>
      <c r="F1385" s="6" t="s">
        <v>5126</v>
      </c>
      <c r="G1385" s="6" t="s">
        <v>5127</v>
      </c>
      <c r="H1385" s="6" t="s">
        <v>5128</v>
      </c>
      <c r="I1385" s="6" t="s">
        <v>5129</v>
      </c>
      <c r="J1385" s="6" t="s">
        <v>5130</v>
      </c>
      <c r="K1385" s="5"/>
      <c r="L1385" s="4" t="s">
        <v>51</v>
      </c>
      <c r="M1385" s="8" t="s">
        <v>79</v>
      </c>
      <c r="N1385" s="9" t="s">
        <v>4495</v>
      </c>
      <c r="O1385" s="5"/>
      <c r="P1385" s="5"/>
      <c r="Q1385" s="6" t="s">
        <v>30</v>
      </c>
      <c r="R1385" s="4" t="s">
        <v>31</v>
      </c>
      <c r="S1385" s="7" t="s">
        <v>32</v>
      </c>
      <c r="T1385" s="5"/>
    </row>
    <row r="1386" customFormat="false" ht="29.25" hidden="false" customHeight="true" outlineLevel="0" collapsed="false">
      <c r="A1386" s="4" t="n">
        <v>1385</v>
      </c>
      <c r="B1386" s="6" t="s">
        <v>1787</v>
      </c>
      <c r="C1386" s="6" t="s">
        <v>4481</v>
      </c>
      <c r="D1386" s="6" t="s">
        <v>4482</v>
      </c>
      <c r="E1386" s="7" t="s">
        <v>21</v>
      </c>
      <c r="F1386" s="6" t="s">
        <v>5131</v>
      </c>
      <c r="G1386" s="6" t="s">
        <v>536</v>
      </c>
      <c r="H1386" s="6" t="s">
        <v>5132</v>
      </c>
      <c r="I1386" s="6" t="s">
        <v>535</v>
      </c>
      <c r="J1386" s="6" t="s">
        <v>78</v>
      </c>
      <c r="K1386" s="5"/>
      <c r="L1386" s="4" t="s">
        <v>62</v>
      </c>
      <c r="M1386" s="8" t="s">
        <v>79</v>
      </c>
      <c r="N1386" s="9" t="s">
        <v>4495</v>
      </c>
      <c r="O1386" s="5"/>
      <c r="P1386" s="5"/>
      <c r="Q1386" s="6" t="s">
        <v>30</v>
      </c>
      <c r="R1386" s="4" t="s">
        <v>31</v>
      </c>
      <c r="S1386" s="7" t="s">
        <v>32</v>
      </c>
      <c r="T1386" s="5"/>
    </row>
    <row r="1387" customFormat="false" ht="29.25" hidden="false" customHeight="true" outlineLevel="0" collapsed="false">
      <c r="A1387" s="4" t="n">
        <v>1386</v>
      </c>
      <c r="B1387" s="6" t="s">
        <v>1787</v>
      </c>
      <c r="C1387" s="6" t="s">
        <v>4481</v>
      </c>
      <c r="D1387" s="6" t="s">
        <v>4482</v>
      </c>
      <c r="E1387" s="7" t="s">
        <v>21</v>
      </c>
      <c r="F1387" s="6" t="s">
        <v>5133</v>
      </c>
      <c r="G1387" s="6" t="s">
        <v>208</v>
      </c>
      <c r="H1387" s="6" t="s">
        <v>210</v>
      </c>
      <c r="I1387" s="6" t="s">
        <v>1317</v>
      </c>
      <c r="J1387" s="6" t="s">
        <v>78</v>
      </c>
      <c r="K1387" s="5"/>
      <c r="L1387" s="4" t="s">
        <v>44</v>
      </c>
      <c r="M1387" s="8" t="s">
        <v>79</v>
      </c>
      <c r="N1387" s="9" t="s">
        <v>4495</v>
      </c>
      <c r="O1387" s="5"/>
      <c r="P1387" s="5"/>
      <c r="Q1387" s="6" t="s">
        <v>30</v>
      </c>
      <c r="R1387" s="4" t="s">
        <v>31</v>
      </c>
      <c r="S1387" s="7" t="s">
        <v>32</v>
      </c>
      <c r="T1387" s="5"/>
    </row>
    <row r="1388" customFormat="false" ht="57.75" hidden="false" customHeight="true" outlineLevel="0" collapsed="false">
      <c r="A1388" s="4" t="n">
        <v>1387</v>
      </c>
      <c r="B1388" s="6" t="s">
        <v>1787</v>
      </c>
      <c r="C1388" s="6" t="s">
        <v>4481</v>
      </c>
      <c r="D1388" s="6" t="s">
        <v>4482</v>
      </c>
      <c r="E1388" s="7" t="s">
        <v>21</v>
      </c>
      <c r="F1388" s="6" t="s">
        <v>5134</v>
      </c>
      <c r="G1388" s="6" t="s">
        <v>5135</v>
      </c>
      <c r="H1388" s="6" t="s">
        <v>5136</v>
      </c>
      <c r="I1388" s="6" t="s">
        <v>5137</v>
      </c>
      <c r="J1388" s="6" t="s">
        <v>78</v>
      </c>
      <c r="K1388" s="5"/>
      <c r="L1388" s="4" t="s">
        <v>44</v>
      </c>
      <c r="M1388" s="8" t="s">
        <v>28</v>
      </c>
      <c r="N1388" s="9" t="s">
        <v>4495</v>
      </c>
      <c r="O1388" s="5"/>
      <c r="P1388" s="5"/>
      <c r="Q1388" s="6" t="s">
        <v>30</v>
      </c>
      <c r="R1388" s="4" t="s">
        <v>31</v>
      </c>
      <c r="S1388" s="7" t="s">
        <v>32</v>
      </c>
      <c r="T1388" s="5"/>
    </row>
    <row r="1389" customFormat="false" ht="29.25" hidden="false" customHeight="true" outlineLevel="0" collapsed="false">
      <c r="A1389" s="4" t="n">
        <v>1388</v>
      </c>
      <c r="B1389" s="6" t="s">
        <v>1787</v>
      </c>
      <c r="C1389" s="6" t="s">
        <v>4481</v>
      </c>
      <c r="D1389" s="6" t="s">
        <v>4482</v>
      </c>
      <c r="E1389" s="7" t="s">
        <v>21</v>
      </c>
      <c r="F1389" s="6" t="s">
        <v>5138</v>
      </c>
      <c r="G1389" s="6" t="s">
        <v>5139</v>
      </c>
      <c r="H1389" s="6" t="s">
        <v>5140</v>
      </c>
      <c r="I1389" s="6" t="s">
        <v>5141</v>
      </c>
      <c r="J1389" s="6" t="s">
        <v>5142</v>
      </c>
      <c r="K1389" s="5"/>
      <c r="L1389" s="4" t="s">
        <v>44</v>
      </c>
      <c r="M1389" s="8" t="s">
        <v>79</v>
      </c>
      <c r="N1389" s="9" t="s">
        <v>4495</v>
      </c>
      <c r="O1389" s="5"/>
      <c r="P1389" s="5"/>
      <c r="Q1389" s="6" t="s">
        <v>30</v>
      </c>
      <c r="R1389" s="4" t="s">
        <v>31</v>
      </c>
      <c r="S1389" s="7" t="s">
        <v>32</v>
      </c>
      <c r="T1389" s="5"/>
    </row>
    <row r="1390" customFormat="false" ht="57.75" hidden="false" customHeight="true" outlineLevel="0" collapsed="false">
      <c r="A1390" s="4" t="n">
        <v>1389</v>
      </c>
      <c r="B1390" s="6" t="s">
        <v>1787</v>
      </c>
      <c r="C1390" s="6" t="s">
        <v>4481</v>
      </c>
      <c r="D1390" s="6" t="s">
        <v>4482</v>
      </c>
      <c r="E1390" s="7" t="s">
        <v>21</v>
      </c>
      <c r="F1390" s="6" t="s">
        <v>5143</v>
      </c>
      <c r="G1390" s="6" t="s">
        <v>536</v>
      </c>
      <c r="H1390" s="6" t="s">
        <v>5144</v>
      </c>
      <c r="I1390" s="6" t="s">
        <v>208</v>
      </c>
      <c r="J1390" s="6" t="s">
        <v>535</v>
      </c>
      <c r="K1390" s="5"/>
      <c r="L1390" s="4" t="s">
        <v>62</v>
      </c>
      <c r="M1390" s="8" t="s">
        <v>28</v>
      </c>
      <c r="N1390" s="9" t="s">
        <v>4627</v>
      </c>
      <c r="O1390" s="5"/>
      <c r="P1390" s="5"/>
      <c r="Q1390" s="6" t="s">
        <v>30</v>
      </c>
      <c r="R1390" s="4" t="s">
        <v>31</v>
      </c>
      <c r="S1390" s="7" t="s">
        <v>32</v>
      </c>
      <c r="T1390" s="5"/>
    </row>
    <row r="1391" customFormat="false" ht="15" hidden="false" customHeight="true" outlineLevel="0" collapsed="false">
      <c r="A1391" s="4" t="n">
        <v>1390</v>
      </c>
      <c r="B1391" s="6" t="s">
        <v>1787</v>
      </c>
      <c r="C1391" s="6" t="s">
        <v>4481</v>
      </c>
      <c r="D1391" s="6" t="s">
        <v>4482</v>
      </c>
      <c r="E1391" s="7" t="s">
        <v>21</v>
      </c>
      <c r="F1391" s="6" t="s">
        <v>5145</v>
      </c>
      <c r="G1391" s="6" t="s">
        <v>5146</v>
      </c>
      <c r="H1391" s="6" t="s">
        <v>5147</v>
      </c>
      <c r="I1391" s="6" t="s">
        <v>5148</v>
      </c>
      <c r="J1391" s="6" t="s">
        <v>78</v>
      </c>
      <c r="K1391" s="5"/>
      <c r="L1391" s="4" t="s">
        <v>27</v>
      </c>
      <c r="M1391" s="8" t="s">
        <v>79</v>
      </c>
      <c r="N1391" s="9" t="s">
        <v>4495</v>
      </c>
      <c r="O1391" s="5"/>
      <c r="P1391" s="5"/>
      <c r="Q1391" s="6" t="s">
        <v>30</v>
      </c>
      <c r="R1391" s="4" t="s">
        <v>31</v>
      </c>
      <c r="S1391" s="7" t="s">
        <v>32</v>
      </c>
      <c r="T1391" s="5"/>
    </row>
    <row r="1392" customFormat="false" ht="100.5" hidden="false" customHeight="true" outlineLevel="0" collapsed="false">
      <c r="A1392" s="4" t="n">
        <v>1391</v>
      </c>
      <c r="B1392" s="6" t="s">
        <v>1787</v>
      </c>
      <c r="C1392" s="6" t="s">
        <v>4481</v>
      </c>
      <c r="D1392" s="6" t="s">
        <v>4482</v>
      </c>
      <c r="E1392" s="7" t="s">
        <v>21</v>
      </c>
      <c r="F1392" s="6" t="s">
        <v>3032</v>
      </c>
      <c r="G1392" s="6" t="s">
        <v>5149</v>
      </c>
      <c r="H1392" s="6" t="s">
        <v>5150</v>
      </c>
      <c r="I1392" s="6" t="s">
        <v>5151</v>
      </c>
      <c r="J1392" s="6" t="s">
        <v>5152</v>
      </c>
      <c r="K1392" s="5"/>
      <c r="L1392" s="4" t="s">
        <v>62</v>
      </c>
      <c r="M1392" s="8" t="s">
        <v>28</v>
      </c>
      <c r="N1392" s="9" t="s">
        <v>4495</v>
      </c>
      <c r="O1392" s="5"/>
      <c r="P1392" s="5"/>
      <c r="Q1392" s="6" t="s">
        <v>30</v>
      </c>
      <c r="R1392" s="4" t="s">
        <v>31</v>
      </c>
      <c r="S1392" s="7" t="s">
        <v>32</v>
      </c>
      <c r="T1392" s="5"/>
    </row>
    <row r="1393" customFormat="false" ht="15" hidden="false" customHeight="true" outlineLevel="0" collapsed="false">
      <c r="A1393" s="4" t="n">
        <v>1392</v>
      </c>
      <c r="B1393" s="6" t="s">
        <v>1787</v>
      </c>
      <c r="C1393" s="6" t="s">
        <v>4481</v>
      </c>
      <c r="D1393" s="6" t="s">
        <v>4482</v>
      </c>
      <c r="E1393" s="7" t="s">
        <v>21</v>
      </c>
      <c r="F1393" s="6" t="s">
        <v>5153</v>
      </c>
      <c r="G1393" s="6" t="s">
        <v>5154</v>
      </c>
      <c r="H1393" s="6" t="s">
        <v>5155</v>
      </c>
      <c r="I1393" s="6" t="s">
        <v>5156</v>
      </c>
      <c r="J1393" s="6" t="s">
        <v>78</v>
      </c>
      <c r="K1393" s="5"/>
      <c r="L1393" s="4" t="s">
        <v>44</v>
      </c>
      <c r="M1393" s="8" t="s">
        <v>79</v>
      </c>
      <c r="N1393" s="9" t="s">
        <v>4495</v>
      </c>
      <c r="O1393" s="5"/>
      <c r="P1393" s="5"/>
      <c r="Q1393" s="6" t="s">
        <v>30</v>
      </c>
      <c r="R1393" s="4" t="s">
        <v>31</v>
      </c>
      <c r="S1393" s="7" t="s">
        <v>32</v>
      </c>
      <c r="T1393" s="5"/>
    </row>
    <row r="1394" customFormat="false" ht="15" hidden="false" customHeight="true" outlineLevel="0" collapsed="false">
      <c r="A1394" s="4" t="n">
        <v>1393</v>
      </c>
      <c r="B1394" s="6" t="s">
        <v>1787</v>
      </c>
      <c r="C1394" s="6" t="s">
        <v>4481</v>
      </c>
      <c r="D1394" s="6" t="s">
        <v>4482</v>
      </c>
      <c r="E1394" s="7" t="s">
        <v>21</v>
      </c>
      <c r="F1394" s="6" t="s">
        <v>3564</v>
      </c>
      <c r="G1394" s="6" t="s">
        <v>5157</v>
      </c>
      <c r="H1394" s="6" t="s">
        <v>5158</v>
      </c>
      <c r="I1394" s="6" t="s">
        <v>5159</v>
      </c>
      <c r="J1394" s="6" t="s">
        <v>3027</v>
      </c>
      <c r="K1394" s="5"/>
      <c r="L1394" s="4" t="s">
        <v>51</v>
      </c>
      <c r="M1394" s="8" t="s">
        <v>79</v>
      </c>
      <c r="N1394" s="9" t="s">
        <v>4495</v>
      </c>
      <c r="O1394" s="5"/>
      <c r="P1394" s="5"/>
      <c r="Q1394" s="6" t="s">
        <v>30</v>
      </c>
      <c r="R1394" s="4" t="s">
        <v>31</v>
      </c>
      <c r="S1394" s="7" t="s">
        <v>32</v>
      </c>
      <c r="T1394" s="5"/>
    </row>
    <row r="1395" customFormat="false" ht="29.25" hidden="false" customHeight="true" outlineLevel="0" collapsed="false">
      <c r="A1395" s="4" t="n">
        <v>1394</v>
      </c>
      <c r="B1395" s="6" t="s">
        <v>1787</v>
      </c>
      <c r="C1395" s="6" t="s">
        <v>4481</v>
      </c>
      <c r="D1395" s="6" t="s">
        <v>4482</v>
      </c>
      <c r="E1395" s="7" t="s">
        <v>21</v>
      </c>
      <c r="F1395" s="6" t="s">
        <v>5160</v>
      </c>
      <c r="G1395" s="6" t="s">
        <v>5161</v>
      </c>
      <c r="H1395" s="6" t="s">
        <v>5162</v>
      </c>
      <c r="I1395" s="6" t="s">
        <v>5163</v>
      </c>
      <c r="J1395" s="6" t="s">
        <v>3027</v>
      </c>
      <c r="K1395" s="5"/>
      <c r="L1395" s="4" t="s">
        <v>44</v>
      </c>
      <c r="M1395" s="8" t="s">
        <v>79</v>
      </c>
      <c r="N1395" s="9" t="s">
        <v>4495</v>
      </c>
      <c r="O1395" s="5"/>
      <c r="P1395" s="5"/>
      <c r="Q1395" s="6" t="s">
        <v>30</v>
      </c>
      <c r="R1395" s="4" t="s">
        <v>31</v>
      </c>
      <c r="S1395" s="7" t="s">
        <v>32</v>
      </c>
      <c r="T1395" s="5"/>
    </row>
    <row r="1396" customFormat="false" ht="43.5" hidden="false" customHeight="true" outlineLevel="0" collapsed="false">
      <c r="A1396" s="4" t="n">
        <v>1395</v>
      </c>
      <c r="B1396" s="6" t="s">
        <v>1787</v>
      </c>
      <c r="C1396" s="6" t="s">
        <v>4481</v>
      </c>
      <c r="D1396" s="6" t="s">
        <v>4482</v>
      </c>
      <c r="E1396" s="7" t="s">
        <v>21</v>
      </c>
      <c r="F1396" s="6" t="s">
        <v>5164</v>
      </c>
      <c r="G1396" s="6" t="s">
        <v>5165</v>
      </c>
      <c r="H1396" s="6" t="s">
        <v>5166</v>
      </c>
      <c r="I1396" s="6" t="s">
        <v>5167</v>
      </c>
      <c r="J1396" s="6" t="s">
        <v>3040</v>
      </c>
      <c r="K1396" s="5"/>
      <c r="L1396" s="4" t="s">
        <v>27</v>
      </c>
      <c r="M1396" s="8" t="s">
        <v>28</v>
      </c>
      <c r="N1396" s="9" t="s">
        <v>4495</v>
      </c>
      <c r="O1396" s="5"/>
      <c r="P1396" s="5"/>
      <c r="Q1396" s="6" t="s">
        <v>30</v>
      </c>
      <c r="R1396" s="4" t="s">
        <v>31</v>
      </c>
      <c r="S1396" s="7" t="s">
        <v>32</v>
      </c>
      <c r="T1396" s="5"/>
    </row>
    <row r="1397" customFormat="false" ht="43.5" hidden="false" customHeight="true" outlineLevel="0" collapsed="false">
      <c r="A1397" s="4" t="n">
        <v>1396</v>
      </c>
      <c r="B1397" s="6" t="s">
        <v>1787</v>
      </c>
      <c r="C1397" s="6" t="s">
        <v>4481</v>
      </c>
      <c r="D1397" s="6" t="s">
        <v>4482</v>
      </c>
      <c r="E1397" s="7" t="s">
        <v>21</v>
      </c>
      <c r="F1397" s="6" t="s">
        <v>5168</v>
      </c>
      <c r="G1397" s="6" t="s">
        <v>5169</v>
      </c>
      <c r="H1397" s="6" t="s">
        <v>5162</v>
      </c>
      <c r="I1397" s="6" t="s">
        <v>5158</v>
      </c>
      <c r="J1397" s="6" t="s">
        <v>3027</v>
      </c>
      <c r="K1397" s="5"/>
      <c r="L1397" s="4" t="s">
        <v>27</v>
      </c>
      <c r="M1397" s="8" t="s">
        <v>28</v>
      </c>
      <c r="N1397" s="9" t="s">
        <v>4495</v>
      </c>
      <c r="O1397" s="5"/>
      <c r="P1397" s="5"/>
      <c r="Q1397" s="6" t="s">
        <v>30</v>
      </c>
      <c r="R1397" s="4" t="s">
        <v>31</v>
      </c>
      <c r="S1397" s="7" t="s">
        <v>32</v>
      </c>
      <c r="T1397" s="5"/>
    </row>
    <row r="1398" customFormat="false" ht="43.5" hidden="false" customHeight="true" outlineLevel="0" collapsed="false">
      <c r="A1398" s="4" t="n">
        <v>1397</v>
      </c>
      <c r="B1398" s="6" t="s">
        <v>1787</v>
      </c>
      <c r="C1398" s="6" t="s">
        <v>4481</v>
      </c>
      <c r="D1398" s="6" t="s">
        <v>4482</v>
      </c>
      <c r="E1398" s="7" t="s">
        <v>21</v>
      </c>
      <c r="F1398" s="6" t="s">
        <v>5170</v>
      </c>
      <c r="G1398" s="6" t="s">
        <v>5157</v>
      </c>
      <c r="H1398" s="6" t="s">
        <v>5162</v>
      </c>
      <c r="I1398" s="6" t="s">
        <v>5158</v>
      </c>
      <c r="J1398" s="6" t="s">
        <v>3027</v>
      </c>
      <c r="K1398" s="5"/>
      <c r="L1398" s="4" t="s">
        <v>51</v>
      </c>
      <c r="M1398" s="8" t="s">
        <v>28</v>
      </c>
      <c r="N1398" s="9" t="s">
        <v>4495</v>
      </c>
      <c r="O1398" s="5"/>
      <c r="P1398" s="5"/>
      <c r="Q1398" s="6" t="s">
        <v>30</v>
      </c>
      <c r="R1398" s="4" t="s">
        <v>31</v>
      </c>
      <c r="S1398" s="7" t="s">
        <v>32</v>
      </c>
      <c r="T1398" s="5"/>
    </row>
    <row r="1399" customFormat="false" ht="15" hidden="false" customHeight="true" outlineLevel="0" collapsed="false">
      <c r="A1399" s="4" t="n">
        <v>1398</v>
      </c>
      <c r="B1399" s="6" t="s">
        <v>1787</v>
      </c>
      <c r="C1399" s="6" t="s">
        <v>4481</v>
      </c>
      <c r="D1399" s="6" t="s">
        <v>4482</v>
      </c>
      <c r="E1399" s="7" t="s">
        <v>21</v>
      </c>
      <c r="F1399" s="5" t="s">
        <v>5171</v>
      </c>
      <c r="G1399" s="5" t="s">
        <v>5172</v>
      </c>
      <c r="H1399" s="5" t="s">
        <v>5173</v>
      </c>
      <c r="I1399" s="5" t="s">
        <v>5174</v>
      </c>
      <c r="J1399" s="5" t="s">
        <v>5175</v>
      </c>
      <c r="K1399" s="5"/>
      <c r="L1399" s="4" t="s">
        <v>44</v>
      </c>
      <c r="M1399" s="8" t="s">
        <v>79</v>
      </c>
      <c r="N1399" s="9" t="s">
        <v>4495</v>
      </c>
      <c r="O1399" s="5"/>
      <c r="P1399" s="5"/>
      <c r="Q1399" s="6" t="s">
        <v>30</v>
      </c>
      <c r="R1399" s="4" t="s">
        <v>31</v>
      </c>
      <c r="S1399" s="7" t="s">
        <v>32</v>
      </c>
      <c r="T1399" s="5"/>
    </row>
    <row r="1400" customFormat="false" ht="15" hidden="false" customHeight="true" outlineLevel="0" collapsed="false">
      <c r="A1400" s="4" t="n">
        <v>1399</v>
      </c>
      <c r="B1400" s="6" t="s">
        <v>1787</v>
      </c>
      <c r="C1400" s="6" t="s">
        <v>4481</v>
      </c>
      <c r="D1400" s="6" t="s">
        <v>4482</v>
      </c>
      <c r="E1400" s="7" t="s">
        <v>21</v>
      </c>
      <c r="F1400" s="6" t="s">
        <v>5176</v>
      </c>
      <c r="G1400" s="5" t="s">
        <v>5177</v>
      </c>
      <c r="H1400" s="5" t="s">
        <v>5178</v>
      </c>
      <c r="I1400" s="5" t="s">
        <v>5179</v>
      </c>
      <c r="J1400" s="5" t="s">
        <v>3424</v>
      </c>
      <c r="K1400" s="5"/>
      <c r="L1400" s="4" t="s">
        <v>62</v>
      </c>
      <c r="M1400" s="8" t="s">
        <v>129</v>
      </c>
      <c r="N1400" s="9" t="s">
        <v>4495</v>
      </c>
      <c r="O1400" s="5"/>
      <c r="P1400" s="5"/>
      <c r="Q1400" s="6" t="s">
        <v>30</v>
      </c>
      <c r="R1400" s="4" t="s">
        <v>31</v>
      </c>
      <c r="S1400" s="7" t="s">
        <v>32</v>
      </c>
      <c r="T1400" s="5"/>
    </row>
    <row r="1401" customFormat="false" ht="29.25" hidden="false" customHeight="true" outlineLevel="0" collapsed="false">
      <c r="A1401" s="4" t="n">
        <v>1400</v>
      </c>
      <c r="B1401" s="6" t="s">
        <v>1787</v>
      </c>
      <c r="C1401" s="6" t="s">
        <v>4481</v>
      </c>
      <c r="D1401" s="6" t="s">
        <v>4482</v>
      </c>
      <c r="E1401" s="7" t="s">
        <v>21</v>
      </c>
      <c r="F1401" s="6" t="s">
        <v>3567</v>
      </c>
      <c r="G1401" s="6" t="s">
        <v>3024</v>
      </c>
      <c r="H1401" s="6" t="s">
        <v>2628</v>
      </c>
      <c r="I1401" s="6" t="s">
        <v>3039</v>
      </c>
      <c r="J1401" s="6" t="s">
        <v>3568</v>
      </c>
      <c r="K1401" s="5"/>
      <c r="L1401" s="4" t="s">
        <v>27</v>
      </c>
      <c r="M1401" s="8" t="s">
        <v>79</v>
      </c>
      <c r="N1401" s="9" t="s">
        <v>4495</v>
      </c>
      <c r="O1401" s="5"/>
      <c r="P1401" s="5"/>
      <c r="Q1401" s="6" t="s">
        <v>30</v>
      </c>
      <c r="R1401" s="4" t="s">
        <v>31</v>
      </c>
      <c r="S1401" s="7" t="s">
        <v>32</v>
      </c>
      <c r="T1401" s="5"/>
    </row>
    <row r="1402" customFormat="false" ht="43.5" hidden="false" customHeight="true" outlineLevel="0" collapsed="false">
      <c r="A1402" s="4" t="n">
        <v>1401</v>
      </c>
      <c r="B1402" s="6" t="s">
        <v>1787</v>
      </c>
      <c r="C1402" s="6" t="s">
        <v>4481</v>
      </c>
      <c r="D1402" s="6" t="s">
        <v>4482</v>
      </c>
      <c r="E1402" s="7" t="s">
        <v>21</v>
      </c>
      <c r="F1402" s="6" t="s">
        <v>5180</v>
      </c>
      <c r="G1402" s="6" t="s">
        <v>3127</v>
      </c>
      <c r="H1402" s="6" t="s">
        <v>2628</v>
      </c>
      <c r="I1402" s="6" t="s">
        <v>3039</v>
      </c>
      <c r="J1402" s="6" t="s">
        <v>5181</v>
      </c>
      <c r="K1402" s="5"/>
      <c r="L1402" s="4" t="s">
        <v>51</v>
      </c>
      <c r="M1402" s="8" t="s">
        <v>79</v>
      </c>
      <c r="N1402" s="9" t="s">
        <v>4495</v>
      </c>
      <c r="O1402" s="5"/>
      <c r="P1402" s="5"/>
      <c r="Q1402" s="6" t="s">
        <v>30</v>
      </c>
      <c r="R1402" s="4" t="s">
        <v>31</v>
      </c>
      <c r="S1402" s="7" t="s">
        <v>32</v>
      </c>
      <c r="T1402" s="5"/>
    </row>
    <row r="1403" customFormat="false" ht="15" hidden="false" customHeight="true" outlineLevel="0" collapsed="false">
      <c r="A1403" s="4" t="n">
        <v>1402</v>
      </c>
      <c r="B1403" s="6" t="s">
        <v>1787</v>
      </c>
      <c r="C1403" s="6" t="s">
        <v>4481</v>
      </c>
      <c r="D1403" s="6" t="s">
        <v>4482</v>
      </c>
      <c r="E1403" s="7" t="s">
        <v>21</v>
      </c>
      <c r="F1403" s="6" t="s">
        <v>5182</v>
      </c>
      <c r="G1403" s="5" t="s">
        <v>5183</v>
      </c>
      <c r="H1403" s="5" t="s">
        <v>5184</v>
      </c>
      <c r="I1403" s="6" t="s">
        <v>5185</v>
      </c>
      <c r="J1403" s="5" t="s">
        <v>5186</v>
      </c>
      <c r="K1403" s="5"/>
      <c r="L1403" s="4" t="s">
        <v>27</v>
      </c>
      <c r="M1403" s="8" t="s">
        <v>129</v>
      </c>
      <c r="N1403" s="9" t="s">
        <v>4495</v>
      </c>
      <c r="O1403" s="5"/>
      <c r="P1403" s="5"/>
      <c r="Q1403" s="6" t="s">
        <v>30</v>
      </c>
      <c r="R1403" s="4" t="s">
        <v>31</v>
      </c>
      <c r="S1403" s="7" t="s">
        <v>32</v>
      </c>
      <c r="T1403" s="5"/>
    </row>
    <row r="1404" customFormat="false" ht="15" hidden="false" customHeight="true" outlineLevel="0" collapsed="false">
      <c r="A1404" s="4" t="n">
        <v>1403</v>
      </c>
      <c r="B1404" s="6" t="s">
        <v>1787</v>
      </c>
      <c r="C1404" s="6" t="s">
        <v>4481</v>
      </c>
      <c r="D1404" s="6" t="s">
        <v>4482</v>
      </c>
      <c r="E1404" s="7" t="s">
        <v>21</v>
      </c>
      <c r="F1404" s="6" t="s">
        <v>3569</v>
      </c>
      <c r="G1404" s="6" t="s">
        <v>5187</v>
      </c>
      <c r="H1404" s="6" t="s">
        <v>5188</v>
      </c>
      <c r="I1404" s="5" t="s">
        <v>5189</v>
      </c>
      <c r="J1404" s="6" t="s">
        <v>150</v>
      </c>
      <c r="K1404" s="5"/>
      <c r="L1404" s="4" t="s">
        <v>51</v>
      </c>
      <c r="M1404" s="8" t="s">
        <v>79</v>
      </c>
      <c r="N1404" s="9" t="s">
        <v>4495</v>
      </c>
      <c r="O1404" s="5"/>
      <c r="P1404" s="5"/>
      <c r="Q1404" s="6" t="s">
        <v>30</v>
      </c>
      <c r="R1404" s="4" t="s">
        <v>31</v>
      </c>
      <c r="S1404" s="7" t="s">
        <v>32</v>
      </c>
      <c r="T1404" s="5"/>
    </row>
    <row r="1405" customFormat="false" ht="15" hidden="false" customHeight="true" outlineLevel="0" collapsed="false">
      <c r="A1405" s="4" t="n">
        <v>1404</v>
      </c>
      <c r="B1405" s="6" t="s">
        <v>1787</v>
      </c>
      <c r="C1405" s="6" t="s">
        <v>4481</v>
      </c>
      <c r="D1405" s="6" t="s">
        <v>4482</v>
      </c>
      <c r="E1405" s="7" t="s">
        <v>21</v>
      </c>
      <c r="F1405" s="6" t="s">
        <v>5190</v>
      </c>
      <c r="G1405" s="6" t="s">
        <v>1429</v>
      </c>
      <c r="H1405" s="6" t="s">
        <v>5191</v>
      </c>
      <c r="I1405" s="6" t="s">
        <v>5192</v>
      </c>
      <c r="J1405" s="6" t="s">
        <v>78</v>
      </c>
      <c r="K1405" s="5"/>
      <c r="L1405" s="4" t="s">
        <v>44</v>
      </c>
      <c r="M1405" s="8" t="s">
        <v>129</v>
      </c>
      <c r="N1405" s="9" t="s">
        <v>4495</v>
      </c>
      <c r="O1405" s="5"/>
      <c r="P1405" s="5"/>
      <c r="Q1405" s="6" t="s">
        <v>30</v>
      </c>
      <c r="R1405" s="4" t="s">
        <v>31</v>
      </c>
      <c r="S1405" s="7" t="s">
        <v>32</v>
      </c>
      <c r="T1405" s="5"/>
    </row>
    <row r="1406" customFormat="false" ht="15" hidden="false" customHeight="true" outlineLevel="0" collapsed="false">
      <c r="A1406" s="4" t="n">
        <v>1405</v>
      </c>
      <c r="B1406" s="6" t="s">
        <v>1787</v>
      </c>
      <c r="C1406" s="6" t="s">
        <v>4481</v>
      </c>
      <c r="D1406" s="6" t="s">
        <v>4482</v>
      </c>
      <c r="E1406" s="7" t="s">
        <v>21</v>
      </c>
      <c r="F1406" s="6" t="s">
        <v>5193</v>
      </c>
      <c r="G1406" s="6" t="s">
        <v>3309</v>
      </c>
      <c r="H1406" s="6" t="s">
        <v>3148</v>
      </c>
      <c r="I1406" s="6" t="s">
        <v>3310</v>
      </c>
      <c r="J1406" s="6" t="s">
        <v>78</v>
      </c>
      <c r="K1406" s="5"/>
      <c r="L1406" s="4" t="s">
        <v>44</v>
      </c>
      <c r="M1406" s="8" t="s">
        <v>79</v>
      </c>
      <c r="N1406" s="9" t="s">
        <v>4495</v>
      </c>
      <c r="O1406" s="5"/>
      <c r="P1406" s="5"/>
      <c r="Q1406" s="6" t="s">
        <v>30</v>
      </c>
      <c r="R1406" s="4" t="s">
        <v>31</v>
      </c>
      <c r="S1406" s="7" t="s">
        <v>32</v>
      </c>
      <c r="T1406" s="5"/>
    </row>
    <row r="1407" customFormat="false" ht="15" hidden="false" customHeight="true" outlineLevel="0" collapsed="false">
      <c r="A1407" s="4" t="n">
        <v>1406</v>
      </c>
      <c r="B1407" s="6" t="s">
        <v>1787</v>
      </c>
      <c r="C1407" s="6" t="s">
        <v>4481</v>
      </c>
      <c r="D1407" s="6" t="s">
        <v>4482</v>
      </c>
      <c r="E1407" s="7" t="s">
        <v>21</v>
      </c>
      <c r="F1407" s="6" t="s">
        <v>5194</v>
      </c>
      <c r="G1407" s="5" t="s">
        <v>3426</v>
      </c>
      <c r="H1407" s="5" t="s">
        <v>3423</v>
      </c>
      <c r="I1407" s="5" t="s">
        <v>3425</v>
      </c>
      <c r="J1407" s="5" t="s">
        <v>3424</v>
      </c>
      <c r="K1407" s="5"/>
      <c r="L1407" s="4" t="s">
        <v>27</v>
      </c>
      <c r="M1407" s="8" t="s">
        <v>129</v>
      </c>
      <c r="N1407" s="9" t="s">
        <v>4495</v>
      </c>
      <c r="O1407" s="5"/>
      <c r="P1407" s="5"/>
      <c r="Q1407" s="6" t="s">
        <v>30</v>
      </c>
      <c r="R1407" s="4" t="s">
        <v>31</v>
      </c>
      <c r="S1407" s="7" t="s">
        <v>32</v>
      </c>
      <c r="T1407" s="5"/>
    </row>
    <row r="1408" customFormat="false" ht="15" hidden="false" customHeight="true" outlineLevel="0" collapsed="false">
      <c r="A1408" s="4" t="n">
        <v>1407</v>
      </c>
      <c r="B1408" s="6" t="s">
        <v>1787</v>
      </c>
      <c r="C1408" s="6" t="s">
        <v>4481</v>
      </c>
      <c r="D1408" s="6" t="s">
        <v>4482</v>
      </c>
      <c r="E1408" s="7" t="s">
        <v>21</v>
      </c>
      <c r="F1408" s="6" t="s">
        <v>5195</v>
      </c>
      <c r="G1408" s="5" t="s">
        <v>3426</v>
      </c>
      <c r="H1408" s="5" t="s">
        <v>3423</v>
      </c>
      <c r="I1408" s="5" t="s">
        <v>3425</v>
      </c>
      <c r="J1408" s="5" t="s">
        <v>3424</v>
      </c>
      <c r="K1408" s="5"/>
      <c r="L1408" s="4" t="s">
        <v>62</v>
      </c>
      <c r="M1408" s="8" t="s">
        <v>129</v>
      </c>
      <c r="N1408" s="9" t="s">
        <v>4495</v>
      </c>
      <c r="O1408" s="5"/>
      <c r="P1408" s="5"/>
      <c r="Q1408" s="6" t="s">
        <v>30</v>
      </c>
      <c r="R1408" s="4" t="s">
        <v>31</v>
      </c>
      <c r="S1408" s="7" t="s">
        <v>32</v>
      </c>
      <c r="T1408" s="5"/>
    </row>
    <row r="1409" customFormat="false" ht="15" hidden="false" customHeight="true" outlineLevel="0" collapsed="false">
      <c r="A1409" s="4" t="n">
        <v>1408</v>
      </c>
      <c r="B1409" s="6" t="s">
        <v>1787</v>
      </c>
      <c r="C1409" s="6" t="s">
        <v>4481</v>
      </c>
      <c r="D1409" s="6" t="s">
        <v>4482</v>
      </c>
      <c r="E1409" s="7" t="s">
        <v>21</v>
      </c>
      <c r="F1409" s="6" t="s">
        <v>5196</v>
      </c>
      <c r="G1409" s="6" t="s">
        <v>5197</v>
      </c>
      <c r="H1409" s="6" t="s">
        <v>5198</v>
      </c>
      <c r="I1409" s="6" t="s">
        <v>5199</v>
      </c>
      <c r="J1409" s="6" t="s">
        <v>5200</v>
      </c>
      <c r="K1409" s="5"/>
      <c r="L1409" s="4" t="s">
        <v>44</v>
      </c>
      <c r="M1409" s="8" t="s">
        <v>129</v>
      </c>
      <c r="N1409" s="9" t="s">
        <v>4495</v>
      </c>
      <c r="O1409" s="5"/>
      <c r="P1409" s="5"/>
      <c r="Q1409" s="6" t="s">
        <v>30</v>
      </c>
      <c r="R1409" s="4" t="s">
        <v>31</v>
      </c>
      <c r="S1409" s="7" t="s">
        <v>32</v>
      </c>
      <c r="T1409" s="5"/>
    </row>
    <row r="1410" customFormat="false" ht="43.5" hidden="false" customHeight="true" outlineLevel="0" collapsed="false">
      <c r="A1410" s="4" t="n">
        <v>1409</v>
      </c>
      <c r="B1410" s="6" t="s">
        <v>1787</v>
      </c>
      <c r="C1410" s="6" t="s">
        <v>4481</v>
      </c>
      <c r="D1410" s="6" t="s">
        <v>4482</v>
      </c>
      <c r="E1410" s="7" t="s">
        <v>21</v>
      </c>
      <c r="F1410" s="6" t="s">
        <v>5201</v>
      </c>
      <c r="G1410" s="6" t="s">
        <v>5202</v>
      </c>
      <c r="H1410" s="6" t="s">
        <v>3658</v>
      </c>
      <c r="I1410" s="6" t="s">
        <v>5203</v>
      </c>
      <c r="J1410" s="6" t="s">
        <v>78</v>
      </c>
      <c r="K1410" s="5"/>
      <c r="L1410" s="4" t="s">
        <v>44</v>
      </c>
      <c r="M1410" s="8" t="s">
        <v>28</v>
      </c>
      <c r="N1410" s="9" t="s">
        <v>4627</v>
      </c>
      <c r="O1410" s="5"/>
      <c r="P1410" s="5"/>
      <c r="Q1410" s="6" t="s">
        <v>30</v>
      </c>
      <c r="R1410" s="4" t="s">
        <v>31</v>
      </c>
      <c r="S1410" s="7" t="s">
        <v>32</v>
      </c>
      <c r="T1410" s="5"/>
    </row>
    <row r="1411" customFormat="false" ht="29.25" hidden="false" customHeight="true" outlineLevel="0" collapsed="false">
      <c r="A1411" s="4" t="n">
        <v>1410</v>
      </c>
      <c r="B1411" s="6" t="s">
        <v>1787</v>
      </c>
      <c r="C1411" s="6" t="s">
        <v>4481</v>
      </c>
      <c r="D1411" s="6" t="s">
        <v>4482</v>
      </c>
      <c r="E1411" s="7" t="s">
        <v>21</v>
      </c>
      <c r="F1411" s="6" t="s">
        <v>5204</v>
      </c>
      <c r="G1411" s="6" t="s">
        <v>5205</v>
      </c>
      <c r="H1411" s="6" t="s">
        <v>1405</v>
      </c>
      <c r="I1411" s="6" t="s">
        <v>5206</v>
      </c>
      <c r="J1411" s="6" t="s">
        <v>5207</v>
      </c>
      <c r="K1411" s="5"/>
      <c r="L1411" s="4" t="s">
        <v>51</v>
      </c>
      <c r="M1411" s="8" t="s">
        <v>28</v>
      </c>
      <c r="N1411" s="9" t="s">
        <v>4495</v>
      </c>
      <c r="O1411" s="5"/>
      <c r="P1411" s="5"/>
      <c r="Q1411" s="6" t="s">
        <v>30</v>
      </c>
      <c r="R1411" s="4" t="s">
        <v>31</v>
      </c>
      <c r="S1411" s="7" t="s">
        <v>32</v>
      </c>
      <c r="T1411" s="5"/>
    </row>
    <row r="1412" customFormat="false" ht="29.25" hidden="false" customHeight="true" outlineLevel="0" collapsed="false">
      <c r="A1412" s="4" t="n">
        <v>1411</v>
      </c>
      <c r="B1412" s="6" t="s">
        <v>1787</v>
      </c>
      <c r="C1412" s="6" t="s">
        <v>4481</v>
      </c>
      <c r="D1412" s="6" t="s">
        <v>4482</v>
      </c>
      <c r="E1412" s="7" t="s">
        <v>21</v>
      </c>
      <c r="F1412" s="6" t="s">
        <v>5208</v>
      </c>
      <c r="G1412" s="6" t="s">
        <v>5209</v>
      </c>
      <c r="H1412" s="6" t="s">
        <v>5210</v>
      </c>
      <c r="I1412" s="6" t="s">
        <v>1931</v>
      </c>
      <c r="J1412" s="6" t="s">
        <v>5211</v>
      </c>
      <c r="K1412" s="5"/>
      <c r="L1412" s="4" t="s">
        <v>44</v>
      </c>
      <c r="M1412" s="8" t="s">
        <v>79</v>
      </c>
      <c r="N1412" s="9" t="s">
        <v>4490</v>
      </c>
      <c r="O1412" s="5"/>
      <c r="P1412" s="5"/>
      <c r="Q1412" s="6" t="s">
        <v>30</v>
      </c>
      <c r="R1412" s="4" t="s">
        <v>31</v>
      </c>
      <c r="S1412" s="7" t="s">
        <v>32</v>
      </c>
      <c r="T1412" s="5"/>
    </row>
    <row r="1413" customFormat="false" ht="15" hidden="false" customHeight="true" outlineLevel="0" collapsed="false">
      <c r="A1413" s="4" t="n">
        <v>1412</v>
      </c>
      <c r="B1413" s="6" t="s">
        <v>1787</v>
      </c>
      <c r="C1413" s="6" t="s">
        <v>4481</v>
      </c>
      <c r="D1413" s="6" t="s">
        <v>4482</v>
      </c>
      <c r="E1413" s="7" t="s">
        <v>21</v>
      </c>
      <c r="F1413" s="6" t="s">
        <v>5212</v>
      </c>
      <c r="G1413" s="6" t="s">
        <v>2306</v>
      </c>
      <c r="H1413" s="6" t="s">
        <v>5213</v>
      </c>
      <c r="I1413" s="6" t="s">
        <v>4500</v>
      </c>
      <c r="J1413" s="6" t="s">
        <v>2316</v>
      </c>
      <c r="K1413" s="5"/>
      <c r="L1413" s="4" t="s">
        <v>62</v>
      </c>
      <c r="M1413" s="8" t="s">
        <v>129</v>
      </c>
      <c r="N1413" s="9" t="s">
        <v>4495</v>
      </c>
      <c r="O1413" s="5"/>
      <c r="P1413" s="5"/>
      <c r="Q1413" s="6" t="s">
        <v>30</v>
      </c>
      <c r="R1413" s="4" t="s">
        <v>31</v>
      </c>
      <c r="S1413" s="7" t="s">
        <v>32</v>
      </c>
      <c r="T1413" s="5"/>
    </row>
    <row r="1414" customFormat="false" ht="29.25" hidden="false" customHeight="true" outlineLevel="0" collapsed="false">
      <c r="A1414" s="4" t="n">
        <v>1413</v>
      </c>
      <c r="B1414" s="6" t="s">
        <v>1787</v>
      </c>
      <c r="C1414" s="6" t="s">
        <v>4481</v>
      </c>
      <c r="D1414" s="6" t="s">
        <v>4482</v>
      </c>
      <c r="E1414" s="7" t="s">
        <v>21</v>
      </c>
      <c r="F1414" s="6" t="s">
        <v>5214</v>
      </c>
      <c r="G1414" s="6" t="s">
        <v>5215</v>
      </c>
      <c r="H1414" s="6" t="s">
        <v>3655</v>
      </c>
      <c r="I1414" s="6" t="s">
        <v>2338</v>
      </c>
      <c r="J1414" s="6" t="s">
        <v>2167</v>
      </c>
      <c r="K1414" s="5"/>
      <c r="L1414" s="4" t="s">
        <v>44</v>
      </c>
      <c r="M1414" s="8" t="s">
        <v>79</v>
      </c>
      <c r="N1414" s="9" t="s">
        <v>4627</v>
      </c>
      <c r="O1414" s="5"/>
      <c r="P1414" s="5"/>
      <c r="Q1414" s="6" t="s">
        <v>30</v>
      </c>
      <c r="R1414" s="4" t="s">
        <v>31</v>
      </c>
      <c r="S1414" s="7" t="s">
        <v>32</v>
      </c>
      <c r="T1414" s="5"/>
    </row>
    <row r="1415" customFormat="false" ht="15" hidden="false" customHeight="true" outlineLevel="0" collapsed="false">
      <c r="A1415" s="4" t="n">
        <v>1414</v>
      </c>
      <c r="B1415" s="6" t="s">
        <v>1787</v>
      </c>
      <c r="C1415" s="6" t="s">
        <v>4481</v>
      </c>
      <c r="D1415" s="6" t="s">
        <v>4482</v>
      </c>
      <c r="E1415" s="7" t="s">
        <v>21</v>
      </c>
      <c r="F1415" s="6" t="s">
        <v>5216</v>
      </c>
      <c r="G1415" s="6" t="s">
        <v>5217</v>
      </c>
      <c r="H1415" s="6" t="s">
        <v>4985</v>
      </c>
      <c r="I1415" s="6" t="s">
        <v>2167</v>
      </c>
      <c r="J1415" s="6" t="s">
        <v>78</v>
      </c>
      <c r="K1415" s="5"/>
      <c r="L1415" s="4" t="s">
        <v>44</v>
      </c>
      <c r="M1415" s="8" t="s">
        <v>79</v>
      </c>
      <c r="N1415" s="9" t="s">
        <v>4495</v>
      </c>
      <c r="O1415" s="5"/>
      <c r="P1415" s="5"/>
      <c r="Q1415" s="6" t="s">
        <v>30</v>
      </c>
      <c r="R1415" s="4" t="s">
        <v>31</v>
      </c>
      <c r="S1415" s="7" t="s">
        <v>32</v>
      </c>
      <c r="T1415" s="5"/>
    </row>
    <row r="1416" customFormat="false" ht="29.25" hidden="false" customHeight="true" outlineLevel="0" collapsed="false">
      <c r="A1416" s="4" t="n">
        <v>1415</v>
      </c>
      <c r="B1416" s="6" t="s">
        <v>1787</v>
      </c>
      <c r="C1416" s="6" t="s">
        <v>4481</v>
      </c>
      <c r="D1416" s="6" t="s">
        <v>4482</v>
      </c>
      <c r="E1416" s="7" t="s">
        <v>21</v>
      </c>
      <c r="F1416" s="6" t="s">
        <v>5218</v>
      </c>
      <c r="G1416" s="6" t="s">
        <v>2166</v>
      </c>
      <c r="H1416" s="6" t="s">
        <v>2168</v>
      </c>
      <c r="I1416" s="6" t="s">
        <v>2169</v>
      </c>
      <c r="J1416" s="6" t="s">
        <v>4489</v>
      </c>
      <c r="K1416" s="5"/>
      <c r="L1416" s="4" t="s">
        <v>44</v>
      </c>
      <c r="M1416" s="8" t="s">
        <v>79</v>
      </c>
      <c r="N1416" s="9" t="s">
        <v>4490</v>
      </c>
      <c r="O1416" s="5"/>
      <c r="P1416" s="5"/>
      <c r="Q1416" s="6" t="s">
        <v>30</v>
      </c>
      <c r="R1416" s="4" t="s">
        <v>31</v>
      </c>
      <c r="S1416" s="7" t="s">
        <v>32</v>
      </c>
      <c r="T1416" s="5"/>
    </row>
    <row r="1417" customFormat="false" ht="29.25" hidden="false" customHeight="true" outlineLevel="0" collapsed="false">
      <c r="A1417" s="4" t="n">
        <v>1416</v>
      </c>
      <c r="B1417" s="6" t="s">
        <v>1787</v>
      </c>
      <c r="C1417" s="6" t="s">
        <v>4481</v>
      </c>
      <c r="D1417" s="6" t="s">
        <v>4482</v>
      </c>
      <c r="E1417" s="7" t="s">
        <v>21</v>
      </c>
      <c r="F1417" s="6" t="s">
        <v>5219</v>
      </c>
      <c r="G1417" s="5" t="s">
        <v>5220</v>
      </c>
      <c r="H1417" s="5" t="s">
        <v>5221</v>
      </c>
      <c r="I1417" s="6" t="s">
        <v>5222</v>
      </c>
      <c r="J1417" s="6" t="s">
        <v>5223</v>
      </c>
      <c r="K1417" s="5"/>
      <c r="L1417" s="4" t="s">
        <v>51</v>
      </c>
      <c r="M1417" s="8" t="s">
        <v>79</v>
      </c>
      <c r="N1417" s="9" t="s">
        <v>4627</v>
      </c>
      <c r="O1417" s="5"/>
      <c r="P1417" s="5"/>
      <c r="Q1417" s="6" t="s">
        <v>30</v>
      </c>
      <c r="R1417" s="4" t="s">
        <v>31</v>
      </c>
      <c r="S1417" s="7" t="s">
        <v>32</v>
      </c>
      <c r="T1417" s="5"/>
    </row>
    <row r="1418" customFormat="false" ht="29.25" hidden="false" customHeight="true" outlineLevel="0" collapsed="false">
      <c r="A1418" s="4" t="n">
        <v>1417</v>
      </c>
      <c r="B1418" s="6" t="s">
        <v>1787</v>
      </c>
      <c r="C1418" s="6" t="s">
        <v>4481</v>
      </c>
      <c r="D1418" s="6" t="s">
        <v>4482</v>
      </c>
      <c r="E1418" s="7" t="s">
        <v>21</v>
      </c>
      <c r="F1418" s="6" t="s">
        <v>5224</v>
      </c>
      <c r="G1418" s="6" t="s">
        <v>587</v>
      </c>
      <c r="H1418" s="6" t="s">
        <v>5225</v>
      </c>
      <c r="I1418" s="6" t="s">
        <v>5226</v>
      </c>
      <c r="J1418" s="6" t="s">
        <v>5227</v>
      </c>
      <c r="K1418" s="5"/>
      <c r="L1418" s="4" t="s">
        <v>62</v>
      </c>
      <c r="M1418" s="8" t="s">
        <v>79</v>
      </c>
      <c r="N1418" s="9" t="s">
        <v>4627</v>
      </c>
      <c r="O1418" s="5"/>
      <c r="P1418" s="5"/>
      <c r="Q1418" s="6" t="s">
        <v>30</v>
      </c>
      <c r="R1418" s="4" t="s">
        <v>31</v>
      </c>
      <c r="S1418" s="7" t="s">
        <v>32</v>
      </c>
      <c r="T1418" s="5"/>
    </row>
    <row r="1419" customFormat="false" ht="29.25" hidden="false" customHeight="true" outlineLevel="0" collapsed="false">
      <c r="A1419" s="4" t="n">
        <v>1418</v>
      </c>
      <c r="B1419" s="6" t="s">
        <v>1787</v>
      </c>
      <c r="C1419" s="6" t="s">
        <v>4481</v>
      </c>
      <c r="D1419" s="6" t="s">
        <v>4482</v>
      </c>
      <c r="E1419" s="7" t="s">
        <v>21</v>
      </c>
      <c r="F1419" s="6" t="s">
        <v>5228</v>
      </c>
      <c r="G1419" s="6" t="s">
        <v>1400</v>
      </c>
      <c r="H1419" s="6" t="s">
        <v>1931</v>
      </c>
      <c r="I1419" s="6" t="s">
        <v>1401</v>
      </c>
      <c r="J1419" s="6" t="s">
        <v>1405</v>
      </c>
      <c r="K1419" s="5"/>
      <c r="L1419" s="4" t="s">
        <v>62</v>
      </c>
      <c r="M1419" s="8" t="s">
        <v>79</v>
      </c>
      <c r="N1419" s="9" t="s">
        <v>4495</v>
      </c>
      <c r="O1419" s="5"/>
      <c r="P1419" s="5"/>
      <c r="Q1419" s="6" t="s">
        <v>30</v>
      </c>
      <c r="R1419" s="4" t="s">
        <v>31</v>
      </c>
      <c r="S1419" s="7" t="s">
        <v>32</v>
      </c>
      <c r="T1419" s="5"/>
    </row>
    <row r="1420" customFormat="false" ht="29.25" hidden="false" customHeight="true" outlineLevel="0" collapsed="false">
      <c r="A1420" s="4" t="n">
        <v>1419</v>
      </c>
      <c r="B1420" s="6" t="s">
        <v>1787</v>
      </c>
      <c r="C1420" s="6" t="s">
        <v>4481</v>
      </c>
      <c r="D1420" s="6" t="s">
        <v>4482</v>
      </c>
      <c r="E1420" s="7" t="s">
        <v>21</v>
      </c>
      <c r="F1420" s="6" t="s">
        <v>5229</v>
      </c>
      <c r="G1420" s="6" t="s">
        <v>5202</v>
      </c>
      <c r="H1420" s="6" t="s">
        <v>3658</v>
      </c>
      <c r="I1420" s="6" t="s">
        <v>3659</v>
      </c>
      <c r="J1420" s="6" t="s">
        <v>5230</v>
      </c>
      <c r="K1420" s="5"/>
      <c r="L1420" s="4" t="s">
        <v>27</v>
      </c>
      <c r="M1420" s="8" t="s">
        <v>79</v>
      </c>
      <c r="N1420" s="9" t="s">
        <v>4495</v>
      </c>
      <c r="O1420" s="5"/>
      <c r="P1420" s="5"/>
      <c r="Q1420" s="6" t="s">
        <v>30</v>
      </c>
      <c r="R1420" s="4" t="s">
        <v>31</v>
      </c>
      <c r="S1420" s="7" t="s">
        <v>32</v>
      </c>
      <c r="T1420" s="5"/>
    </row>
    <row r="1421" customFormat="false" ht="29.25" hidden="false" customHeight="true" outlineLevel="0" collapsed="false">
      <c r="A1421" s="4" t="n">
        <v>1420</v>
      </c>
      <c r="B1421" s="6" t="s">
        <v>1787</v>
      </c>
      <c r="C1421" s="6" t="s">
        <v>4481</v>
      </c>
      <c r="D1421" s="6" t="s">
        <v>4482</v>
      </c>
      <c r="E1421" s="7" t="s">
        <v>21</v>
      </c>
      <c r="F1421" s="6" t="s">
        <v>5231</v>
      </c>
      <c r="G1421" s="6" t="s">
        <v>5232</v>
      </c>
      <c r="H1421" s="6" t="s">
        <v>5233</v>
      </c>
      <c r="I1421" s="6" t="s">
        <v>5234</v>
      </c>
      <c r="J1421" s="6" t="s">
        <v>5235</v>
      </c>
      <c r="K1421" s="5"/>
      <c r="L1421" s="4" t="s">
        <v>51</v>
      </c>
      <c r="M1421" s="8" t="s">
        <v>28</v>
      </c>
      <c r="N1421" s="9" t="s">
        <v>4511</v>
      </c>
      <c r="O1421" s="5"/>
      <c r="P1421" s="5"/>
      <c r="Q1421" s="6" t="s">
        <v>30</v>
      </c>
      <c r="R1421" s="4" t="s">
        <v>31</v>
      </c>
      <c r="S1421" s="7" t="s">
        <v>32</v>
      </c>
      <c r="T1421" s="5"/>
    </row>
    <row r="1422" customFormat="false" ht="29.25" hidden="false" customHeight="true" outlineLevel="0" collapsed="false">
      <c r="A1422" s="4" t="n">
        <v>1421</v>
      </c>
      <c r="B1422" s="6" t="s">
        <v>1787</v>
      </c>
      <c r="C1422" s="6" t="s">
        <v>4481</v>
      </c>
      <c r="D1422" s="6" t="s">
        <v>4482</v>
      </c>
      <c r="E1422" s="7" t="s">
        <v>21</v>
      </c>
      <c r="F1422" s="6" t="s">
        <v>5236</v>
      </c>
      <c r="G1422" s="6" t="s">
        <v>5237</v>
      </c>
      <c r="H1422" s="6" t="s">
        <v>5238</v>
      </c>
      <c r="I1422" s="6" t="s">
        <v>5239</v>
      </c>
      <c r="J1422" s="6" t="s">
        <v>5240</v>
      </c>
      <c r="K1422" s="5"/>
      <c r="L1422" s="4" t="s">
        <v>27</v>
      </c>
      <c r="M1422" s="8" t="s">
        <v>28</v>
      </c>
      <c r="N1422" s="9" t="s">
        <v>4495</v>
      </c>
      <c r="O1422" s="5"/>
      <c r="P1422" s="5"/>
      <c r="Q1422" s="6" t="s">
        <v>30</v>
      </c>
      <c r="R1422" s="4" t="s">
        <v>31</v>
      </c>
      <c r="S1422" s="7" t="s">
        <v>32</v>
      </c>
      <c r="T1422" s="5"/>
    </row>
    <row r="1423" customFormat="false" ht="15" hidden="false" customHeight="true" outlineLevel="0" collapsed="false">
      <c r="A1423" s="4" t="n">
        <v>1422</v>
      </c>
      <c r="B1423" s="6" t="s">
        <v>1787</v>
      </c>
      <c r="C1423" s="6" t="s">
        <v>5241</v>
      </c>
      <c r="D1423" s="6" t="s">
        <v>5242</v>
      </c>
      <c r="E1423" s="7" t="s">
        <v>21</v>
      </c>
      <c r="F1423" s="6" t="s">
        <v>5243</v>
      </c>
      <c r="G1423" s="6" t="s">
        <v>5244</v>
      </c>
      <c r="H1423" s="6" t="s">
        <v>5245</v>
      </c>
      <c r="I1423" s="6" t="s">
        <v>5246</v>
      </c>
      <c r="J1423" s="6" t="s">
        <v>5247</v>
      </c>
      <c r="K1423" s="5"/>
      <c r="L1423" s="4" t="s">
        <v>62</v>
      </c>
      <c r="M1423" s="8" t="s">
        <v>129</v>
      </c>
      <c r="N1423" s="9" t="s">
        <v>1955</v>
      </c>
      <c r="O1423" s="5"/>
      <c r="P1423" s="5"/>
      <c r="Q1423" s="6" t="s">
        <v>30</v>
      </c>
      <c r="R1423" s="4" t="s">
        <v>31</v>
      </c>
      <c r="S1423" s="7" t="s">
        <v>32</v>
      </c>
      <c r="T1423" s="5"/>
    </row>
    <row r="1424" customFormat="false" ht="29.25" hidden="false" customHeight="true" outlineLevel="0" collapsed="false">
      <c r="A1424" s="4" t="n">
        <v>1423</v>
      </c>
      <c r="B1424" s="6" t="s">
        <v>1787</v>
      </c>
      <c r="C1424" s="6" t="s">
        <v>5241</v>
      </c>
      <c r="D1424" s="6" t="s">
        <v>5242</v>
      </c>
      <c r="E1424" s="7" t="s">
        <v>21</v>
      </c>
      <c r="F1424" s="6" t="s">
        <v>5248</v>
      </c>
      <c r="G1424" s="6" t="s">
        <v>5249</v>
      </c>
      <c r="H1424" s="6" t="s">
        <v>2192</v>
      </c>
      <c r="I1424" s="6" t="s">
        <v>5250</v>
      </c>
      <c r="J1424" s="6" t="s">
        <v>5251</v>
      </c>
      <c r="K1424" s="5"/>
      <c r="L1424" s="4" t="s">
        <v>44</v>
      </c>
      <c r="M1424" s="8" t="s">
        <v>129</v>
      </c>
      <c r="N1424" s="9" t="s">
        <v>1955</v>
      </c>
      <c r="O1424" s="5"/>
      <c r="P1424" s="5"/>
      <c r="Q1424" s="6" t="s">
        <v>30</v>
      </c>
      <c r="R1424" s="4" t="s">
        <v>31</v>
      </c>
      <c r="S1424" s="7" t="s">
        <v>32</v>
      </c>
      <c r="T1424" s="5"/>
    </row>
    <row r="1425" customFormat="false" ht="15" hidden="false" customHeight="true" outlineLevel="0" collapsed="false">
      <c r="A1425" s="4" t="n">
        <v>1424</v>
      </c>
      <c r="B1425" s="6" t="s">
        <v>1787</v>
      </c>
      <c r="C1425" s="6" t="s">
        <v>5241</v>
      </c>
      <c r="D1425" s="6" t="s">
        <v>5242</v>
      </c>
      <c r="E1425" s="7" t="s">
        <v>21</v>
      </c>
      <c r="F1425" s="6" t="s">
        <v>5252</v>
      </c>
      <c r="G1425" s="6" t="s">
        <v>5245</v>
      </c>
      <c r="H1425" s="6" t="s">
        <v>5244</v>
      </c>
      <c r="I1425" s="6" t="s">
        <v>5246</v>
      </c>
      <c r="J1425" s="6" t="s">
        <v>5253</v>
      </c>
      <c r="K1425" s="5"/>
      <c r="L1425" s="4" t="s">
        <v>62</v>
      </c>
      <c r="M1425" s="8" t="s">
        <v>129</v>
      </c>
      <c r="N1425" s="9" t="s">
        <v>1955</v>
      </c>
      <c r="O1425" s="5"/>
      <c r="P1425" s="5"/>
      <c r="Q1425" s="6" t="s">
        <v>30</v>
      </c>
      <c r="R1425" s="4" t="s">
        <v>31</v>
      </c>
      <c r="S1425" s="7" t="s">
        <v>32</v>
      </c>
      <c r="T1425" s="5"/>
    </row>
    <row r="1426" customFormat="false" ht="15" hidden="false" customHeight="true" outlineLevel="0" collapsed="false">
      <c r="A1426" s="4" t="n">
        <v>1425</v>
      </c>
      <c r="B1426" s="6" t="s">
        <v>1787</v>
      </c>
      <c r="C1426" s="6" t="s">
        <v>5241</v>
      </c>
      <c r="D1426" s="6" t="s">
        <v>5242</v>
      </c>
      <c r="E1426" s="7" t="s">
        <v>21</v>
      </c>
      <c r="F1426" s="6" t="s">
        <v>5254</v>
      </c>
      <c r="G1426" s="6" t="s">
        <v>5245</v>
      </c>
      <c r="H1426" s="6" t="s">
        <v>5244</v>
      </c>
      <c r="I1426" s="6" t="s">
        <v>5246</v>
      </c>
      <c r="J1426" s="6" t="s">
        <v>5253</v>
      </c>
      <c r="K1426" s="5"/>
      <c r="L1426" s="4" t="s">
        <v>27</v>
      </c>
      <c r="M1426" s="8" t="s">
        <v>129</v>
      </c>
      <c r="N1426" s="9" t="s">
        <v>1955</v>
      </c>
      <c r="O1426" s="5"/>
      <c r="P1426" s="5"/>
      <c r="Q1426" s="6" t="s">
        <v>30</v>
      </c>
      <c r="R1426" s="4" t="s">
        <v>31</v>
      </c>
      <c r="S1426" s="7" t="s">
        <v>32</v>
      </c>
      <c r="T1426" s="5"/>
    </row>
    <row r="1427" customFormat="false" ht="15" hidden="false" customHeight="true" outlineLevel="0" collapsed="false">
      <c r="A1427" s="4" t="n">
        <v>1426</v>
      </c>
      <c r="B1427" s="6" t="s">
        <v>1787</v>
      </c>
      <c r="C1427" s="6" t="s">
        <v>5241</v>
      </c>
      <c r="D1427" s="6" t="s">
        <v>5242</v>
      </c>
      <c r="E1427" s="7" t="s">
        <v>21</v>
      </c>
      <c r="F1427" s="6" t="s">
        <v>5255</v>
      </c>
      <c r="G1427" s="6" t="s">
        <v>5245</v>
      </c>
      <c r="H1427" s="6" t="s">
        <v>5244</v>
      </c>
      <c r="I1427" s="6" t="s">
        <v>5246</v>
      </c>
      <c r="J1427" s="6" t="s">
        <v>5253</v>
      </c>
      <c r="K1427" s="5"/>
      <c r="L1427" s="4" t="s">
        <v>27</v>
      </c>
      <c r="M1427" s="8" t="s">
        <v>129</v>
      </c>
      <c r="N1427" s="9" t="s">
        <v>1955</v>
      </c>
      <c r="O1427" s="5"/>
      <c r="P1427" s="5"/>
      <c r="Q1427" s="6" t="s">
        <v>30</v>
      </c>
      <c r="R1427" s="4" t="s">
        <v>31</v>
      </c>
      <c r="S1427" s="7" t="s">
        <v>32</v>
      </c>
      <c r="T1427" s="5"/>
    </row>
    <row r="1428" customFormat="false" ht="29.25" hidden="false" customHeight="true" outlineLevel="0" collapsed="false">
      <c r="A1428" s="4" t="n">
        <v>1427</v>
      </c>
      <c r="B1428" s="6" t="s">
        <v>1787</v>
      </c>
      <c r="C1428" s="6" t="s">
        <v>5241</v>
      </c>
      <c r="D1428" s="6" t="s">
        <v>5242</v>
      </c>
      <c r="E1428" s="7" t="s">
        <v>21</v>
      </c>
      <c r="F1428" s="6" t="s">
        <v>5256</v>
      </c>
      <c r="G1428" s="6" t="s">
        <v>5257</v>
      </c>
      <c r="H1428" s="6" t="s">
        <v>5258</v>
      </c>
      <c r="I1428" s="6" t="s">
        <v>5259</v>
      </c>
      <c r="J1428" s="6" t="s">
        <v>535</v>
      </c>
      <c r="K1428" s="5"/>
      <c r="L1428" s="4" t="s">
        <v>62</v>
      </c>
      <c r="M1428" s="8" t="s">
        <v>79</v>
      </c>
      <c r="N1428" s="9" t="s">
        <v>1955</v>
      </c>
      <c r="O1428" s="5"/>
      <c r="P1428" s="5"/>
      <c r="Q1428" s="6" t="s">
        <v>30</v>
      </c>
      <c r="R1428" s="4" t="s">
        <v>31</v>
      </c>
      <c r="S1428" s="7" t="s">
        <v>32</v>
      </c>
      <c r="T1428" s="5"/>
    </row>
    <row r="1429" customFormat="false" ht="29.25" hidden="false" customHeight="true" outlineLevel="0" collapsed="false">
      <c r="A1429" s="4" t="n">
        <v>1428</v>
      </c>
      <c r="B1429" s="6" t="s">
        <v>1787</v>
      </c>
      <c r="C1429" s="6" t="s">
        <v>5241</v>
      </c>
      <c r="D1429" s="6" t="s">
        <v>5242</v>
      </c>
      <c r="E1429" s="7" t="s">
        <v>21</v>
      </c>
      <c r="F1429" s="6" t="s">
        <v>5260</v>
      </c>
      <c r="G1429" s="6" t="s">
        <v>5261</v>
      </c>
      <c r="H1429" s="6" t="s">
        <v>536</v>
      </c>
      <c r="I1429" s="6" t="s">
        <v>535</v>
      </c>
      <c r="J1429" s="6" t="s">
        <v>1953</v>
      </c>
      <c r="K1429" s="5"/>
      <c r="L1429" s="4" t="s">
        <v>51</v>
      </c>
      <c r="M1429" s="8" t="s">
        <v>79</v>
      </c>
      <c r="N1429" s="9" t="s">
        <v>1955</v>
      </c>
      <c r="O1429" s="5"/>
      <c r="P1429" s="5"/>
      <c r="Q1429" s="6" t="s">
        <v>30</v>
      </c>
      <c r="R1429" s="4" t="s">
        <v>31</v>
      </c>
      <c r="S1429" s="7" t="s">
        <v>32</v>
      </c>
      <c r="T1429" s="5"/>
    </row>
    <row r="1430" customFormat="false" ht="43.5" hidden="false" customHeight="true" outlineLevel="0" collapsed="false">
      <c r="A1430" s="4" t="n">
        <v>1429</v>
      </c>
      <c r="B1430" s="6" t="s">
        <v>1787</v>
      </c>
      <c r="C1430" s="6" t="s">
        <v>5241</v>
      </c>
      <c r="D1430" s="6" t="s">
        <v>5242</v>
      </c>
      <c r="E1430" s="7" t="s">
        <v>21</v>
      </c>
      <c r="F1430" s="6" t="s">
        <v>5262</v>
      </c>
      <c r="G1430" s="6" t="s">
        <v>5263</v>
      </c>
      <c r="H1430" s="6" t="s">
        <v>5264</v>
      </c>
      <c r="I1430" s="6" t="s">
        <v>5265</v>
      </c>
      <c r="J1430" s="6" t="s">
        <v>5266</v>
      </c>
      <c r="K1430" s="5"/>
      <c r="L1430" s="4" t="s">
        <v>44</v>
      </c>
      <c r="M1430" s="8" t="s">
        <v>79</v>
      </c>
      <c r="N1430" s="9" t="s">
        <v>1955</v>
      </c>
      <c r="O1430" s="5"/>
      <c r="P1430" s="5"/>
      <c r="Q1430" s="6" t="s">
        <v>30</v>
      </c>
      <c r="R1430" s="4" t="s">
        <v>31</v>
      </c>
      <c r="S1430" s="7" t="s">
        <v>32</v>
      </c>
      <c r="T1430" s="5"/>
    </row>
    <row r="1431" customFormat="false" ht="29.25" hidden="false" customHeight="true" outlineLevel="0" collapsed="false">
      <c r="A1431" s="4" t="n">
        <v>1430</v>
      </c>
      <c r="B1431" s="6" t="s">
        <v>1787</v>
      </c>
      <c r="C1431" s="6" t="s">
        <v>5241</v>
      </c>
      <c r="D1431" s="6" t="s">
        <v>5242</v>
      </c>
      <c r="E1431" s="7" t="s">
        <v>21</v>
      </c>
      <c r="F1431" s="6" t="s">
        <v>5267</v>
      </c>
      <c r="G1431" s="6" t="s">
        <v>5268</v>
      </c>
      <c r="H1431" s="6" t="s">
        <v>5269</v>
      </c>
      <c r="I1431" s="6" t="s">
        <v>5270</v>
      </c>
      <c r="J1431" s="6" t="s">
        <v>5271</v>
      </c>
      <c r="K1431" s="5"/>
      <c r="L1431" s="4" t="s">
        <v>27</v>
      </c>
      <c r="M1431" s="8" t="s">
        <v>129</v>
      </c>
      <c r="N1431" s="9" t="s">
        <v>1955</v>
      </c>
      <c r="O1431" s="5"/>
      <c r="P1431" s="5"/>
      <c r="Q1431" s="6" t="s">
        <v>30</v>
      </c>
      <c r="R1431" s="4" t="s">
        <v>31</v>
      </c>
      <c r="S1431" s="7" t="s">
        <v>32</v>
      </c>
      <c r="T1431" s="5"/>
    </row>
    <row r="1432" customFormat="false" ht="29.25" hidden="false" customHeight="true" outlineLevel="0" collapsed="false">
      <c r="A1432" s="4" t="n">
        <v>1431</v>
      </c>
      <c r="B1432" s="6" t="s">
        <v>1787</v>
      </c>
      <c r="C1432" s="6" t="s">
        <v>5241</v>
      </c>
      <c r="D1432" s="6" t="s">
        <v>5242</v>
      </c>
      <c r="E1432" s="7" t="s">
        <v>21</v>
      </c>
      <c r="F1432" s="6" t="s">
        <v>5272</v>
      </c>
      <c r="G1432" s="6" t="s">
        <v>5273</v>
      </c>
      <c r="H1432" s="6" t="s">
        <v>5274</v>
      </c>
      <c r="I1432" s="6" t="s">
        <v>5275</v>
      </c>
      <c r="J1432" s="6" t="s">
        <v>5276</v>
      </c>
      <c r="K1432" s="5"/>
      <c r="L1432" s="4" t="s">
        <v>62</v>
      </c>
      <c r="M1432" s="8" t="s">
        <v>79</v>
      </c>
      <c r="N1432" s="9" t="s">
        <v>1955</v>
      </c>
      <c r="O1432" s="5"/>
      <c r="P1432" s="5"/>
      <c r="Q1432" s="6" t="s">
        <v>30</v>
      </c>
      <c r="R1432" s="4" t="s">
        <v>31</v>
      </c>
      <c r="S1432" s="7" t="s">
        <v>32</v>
      </c>
      <c r="T1432" s="5"/>
    </row>
    <row r="1433" customFormat="false" ht="15" hidden="false" customHeight="true" outlineLevel="0" collapsed="false">
      <c r="A1433" s="4" t="n">
        <v>1432</v>
      </c>
      <c r="B1433" s="6" t="s">
        <v>1787</v>
      </c>
      <c r="C1433" s="6" t="s">
        <v>5241</v>
      </c>
      <c r="D1433" s="6" t="s">
        <v>5242</v>
      </c>
      <c r="E1433" s="7" t="s">
        <v>21</v>
      </c>
      <c r="F1433" s="6" t="s">
        <v>5277</v>
      </c>
      <c r="G1433" s="6" t="s">
        <v>5278</v>
      </c>
      <c r="H1433" s="5" t="s">
        <v>5279</v>
      </c>
      <c r="I1433" s="6" t="s">
        <v>5280</v>
      </c>
      <c r="J1433" s="6" t="s">
        <v>5281</v>
      </c>
      <c r="K1433" s="5"/>
      <c r="L1433" s="4" t="s">
        <v>51</v>
      </c>
      <c r="M1433" s="8" t="s">
        <v>129</v>
      </c>
      <c r="N1433" s="9" t="s">
        <v>1955</v>
      </c>
      <c r="O1433" s="5"/>
      <c r="P1433" s="5"/>
      <c r="Q1433" s="6" t="s">
        <v>30</v>
      </c>
      <c r="R1433" s="4" t="s">
        <v>31</v>
      </c>
      <c r="S1433" s="7" t="s">
        <v>32</v>
      </c>
      <c r="T1433" s="5"/>
    </row>
    <row r="1434" customFormat="false" ht="29.25" hidden="false" customHeight="true" outlineLevel="0" collapsed="false">
      <c r="A1434" s="4" t="n">
        <v>1433</v>
      </c>
      <c r="B1434" s="6" t="s">
        <v>1787</v>
      </c>
      <c r="C1434" s="6" t="s">
        <v>5241</v>
      </c>
      <c r="D1434" s="6" t="s">
        <v>5242</v>
      </c>
      <c r="E1434" s="7" t="s">
        <v>21</v>
      </c>
      <c r="F1434" s="6" t="s">
        <v>5282</v>
      </c>
      <c r="G1434" s="6" t="s">
        <v>5278</v>
      </c>
      <c r="H1434" s="5" t="s">
        <v>5279</v>
      </c>
      <c r="I1434" s="6" t="s">
        <v>5280</v>
      </c>
      <c r="J1434" s="6" t="s">
        <v>5281</v>
      </c>
      <c r="K1434" s="5"/>
      <c r="L1434" s="4" t="s">
        <v>62</v>
      </c>
      <c r="M1434" s="8" t="s">
        <v>79</v>
      </c>
      <c r="N1434" s="9" t="s">
        <v>1955</v>
      </c>
      <c r="O1434" s="5"/>
      <c r="P1434" s="5"/>
      <c r="Q1434" s="6" t="s">
        <v>30</v>
      </c>
      <c r="R1434" s="4" t="s">
        <v>31</v>
      </c>
      <c r="S1434" s="7" t="s">
        <v>32</v>
      </c>
      <c r="T1434" s="5"/>
    </row>
    <row r="1435" customFormat="false" ht="29.25" hidden="false" customHeight="true" outlineLevel="0" collapsed="false">
      <c r="A1435" s="4" t="n">
        <v>1434</v>
      </c>
      <c r="B1435" s="6" t="s">
        <v>1787</v>
      </c>
      <c r="C1435" s="6" t="s">
        <v>5241</v>
      </c>
      <c r="D1435" s="6" t="s">
        <v>5242</v>
      </c>
      <c r="E1435" s="7" t="s">
        <v>21</v>
      </c>
      <c r="F1435" s="6" t="s">
        <v>5283</v>
      </c>
      <c r="G1435" s="6" t="s">
        <v>5284</v>
      </c>
      <c r="H1435" s="6" t="s">
        <v>5285</v>
      </c>
      <c r="I1435" s="6" t="s">
        <v>5286</v>
      </c>
      <c r="J1435" s="6" t="s">
        <v>1955</v>
      </c>
      <c r="K1435" s="5"/>
      <c r="L1435" s="4" t="s">
        <v>27</v>
      </c>
      <c r="M1435" s="8" t="s">
        <v>28</v>
      </c>
      <c r="N1435" s="9" t="s">
        <v>1955</v>
      </c>
      <c r="O1435" s="5"/>
      <c r="P1435" s="5"/>
      <c r="Q1435" s="6" t="s">
        <v>30</v>
      </c>
      <c r="R1435" s="4" t="s">
        <v>31</v>
      </c>
      <c r="S1435" s="7" t="s">
        <v>32</v>
      </c>
      <c r="T1435" s="5"/>
    </row>
    <row r="1436" customFormat="false" ht="26.25" hidden="false" customHeight="true" outlineLevel="0" collapsed="false">
      <c r="A1436" s="4" t="n">
        <v>1435</v>
      </c>
      <c r="B1436" s="6" t="s">
        <v>1787</v>
      </c>
      <c r="C1436" s="6" t="s">
        <v>5241</v>
      </c>
      <c r="D1436" s="6" t="s">
        <v>5242</v>
      </c>
      <c r="E1436" s="7" t="s">
        <v>21</v>
      </c>
      <c r="F1436" s="6" t="s">
        <v>5287</v>
      </c>
      <c r="G1436" s="6" t="s">
        <v>5284</v>
      </c>
      <c r="H1436" s="6" t="s">
        <v>5285</v>
      </c>
      <c r="I1436" s="6" t="s">
        <v>5288</v>
      </c>
      <c r="J1436" s="6" t="s">
        <v>1955</v>
      </c>
      <c r="K1436" s="5"/>
      <c r="L1436" s="4" t="s">
        <v>27</v>
      </c>
      <c r="M1436" s="8" t="s">
        <v>79</v>
      </c>
      <c r="N1436" s="9" t="s">
        <v>1955</v>
      </c>
      <c r="O1436" s="5"/>
      <c r="P1436" s="5"/>
      <c r="Q1436" s="6" t="s">
        <v>30</v>
      </c>
      <c r="R1436" s="4" t="s">
        <v>31</v>
      </c>
      <c r="S1436" s="7" t="s">
        <v>32</v>
      </c>
      <c r="T1436" s="5"/>
    </row>
    <row r="1437" customFormat="false" ht="29.25" hidden="false" customHeight="true" outlineLevel="0" collapsed="false">
      <c r="A1437" s="4" t="n">
        <v>1436</v>
      </c>
      <c r="B1437" s="6" t="s">
        <v>1787</v>
      </c>
      <c r="C1437" s="6" t="s">
        <v>5241</v>
      </c>
      <c r="D1437" s="6" t="s">
        <v>5242</v>
      </c>
      <c r="E1437" s="7" t="s">
        <v>21</v>
      </c>
      <c r="F1437" s="6" t="s">
        <v>5289</v>
      </c>
      <c r="G1437" s="6" t="s">
        <v>5251</v>
      </c>
      <c r="H1437" s="6" t="s">
        <v>2476</v>
      </c>
      <c r="I1437" s="6" t="s">
        <v>5290</v>
      </c>
      <c r="J1437" s="6" t="s">
        <v>5291</v>
      </c>
      <c r="K1437" s="5"/>
      <c r="L1437" s="4" t="s">
        <v>44</v>
      </c>
      <c r="M1437" s="8" t="s">
        <v>79</v>
      </c>
      <c r="N1437" s="9" t="s">
        <v>1955</v>
      </c>
      <c r="O1437" s="5"/>
      <c r="P1437" s="5"/>
      <c r="Q1437" s="6" t="s">
        <v>30</v>
      </c>
      <c r="R1437" s="4" t="s">
        <v>31</v>
      </c>
      <c r="S1437" s="7" t="s">
        <v>32</v>
      </c>
      <c r="T1437" s="5"/>
    </row>
    <row r="1438" customFormat="false" ht="29.25" hidden="false" customHeight="true" outlineLevel="0" collapsed="false">
      <c r="A1438" s="4" t="n">
        <v>1437</v>
      </c>
      <c r="B1438" s="6" t="s">
        <v>1787</v>
      </c>
      <c r="C1438" s="6" t="s">
        <v>5241</v>
      </c>
      <c r="D1438" s="6" t="s">
        <v>5242</v>
      </c>
      <c r="E1438" s="7" t="s">
        <v>21</v>
      </c>
      <c r="F1438" s="6" t="s">
        <v>5292</v>
      </c>
      <c r="G1438" s="6" t="s">
        <v>5285</v>
      </c>
      <c r="H1438" s="6" t="s">
        <v>5288</v>
      </c>
      <c r="I1438" s="6" t="s">
        <v>5284</v>
      </c>
      <c r="J1438" s="6" t="s">
        <v>1955</v>
      </c>
      <c r="K1438" s="5"/>
      <c r="L1438" s="4" t="s">
        <v>51</v>
      </c>
      <c r="M1438" s="8" t="s">
        <v>28</v>
      </c>
      <c r="N1438" s="9" t="s">
        <v>1955</v>
      </c>
      <c r="O1438" s="5"/>
      <c r="P1438" s="5"/>
      <c r="Q1438" s="6" t="s">
        <v>30</v>
      </c>
      <c r="R1438" s="4" t="s">
        <v>31</v>
      </c>
      <c r="S1438" s="7" t="s">
        <v>32</v>
      </c>
      <c r="T1438" s="5"/>
    </row>
    <row r="1439" customFormat="false" ht="26.25" hidden="false" customHeight="true" outlineLevel="0" collapsed="false">
      <c r="A1439" s="4" t="n">
        <v>1438</v>
      </c>
      <c r="B1439" s="6" t="s">
        <v>1787</v>
      </c>
      <c r="C1439" s="6" t="s">
        <v>5241</v>
      </c>
      <c r="D1439" s="6" t="s">
        <v>5242</v>
      </c>
      <c r="E1439" s="7" t="s">
        <v>21</v>
      </c>
      <c r="F1439" s="6" t="s">
        <v>5293</v>
      </c>
      <c r="G1439" s="6" t="s">
        <v>5288</v>
      </c>
      <c r="H1439" s="6" t="s">
        <v>5285</v>
      </c>
      <c r="I1439" s="6" t="s">
        <v>5284</v>
      </c>
      <c r="J1439" s="6" t="s">
        <v>1955</v>
      </c>
      <c r="K1439" s="5"/>
      <c r="L1439" s="4" t="s">
        <v>62</v>
      </c>
      <c r="M1439" s="8" t="s">
        <v>79</v>
      </c>
      <c r="N1439" s="9" t="s">
        <v>1955</v>
      </c>
      <c r="O1439" s="5"/>
      <c r="P1439" s="5"/>
      <c r="Q1439" s="6" t="s">
        <v>30</v>
      </c>
      <c r="R1439" s="4" t="s">
        <v>31</v>
      </c>
      <c r="S1439" s="7" t="s">
        <v>32</v>
      </c>
      <c r="T1439" s="5"/>
    </row>
    <row r="1440" customFormat="false" ht="15" hidden="false" customHeight="true" outlineLevel="0" collapsed="false">
      <c r="A1440" s="4" t="n">
        <v>1439</v>
      </c>
      <c r="B1440" s="6" t="s">
        <v>1787</v>
      </c>
      <c r="C1440" s="6" t="s">
        <v>5241</v>
      </c>
      <c r="D1440" s="6" t="s">
        <v>5242</v>
      </c>
      <c r="E1440" s="7" t="s">
        <v>21</v>
      </c>
      <c r="F1440" s="6" t="s">
        <v>5294</v>
      </c>
      <c r="G1440" s="6" t="s">
        <v>5295</v>
      </c>
      <c r="H1440" s="6" t="s">
        <v>1590</v>
      </c>
      <c r="I1440" s="6" t="s">
        <v>1591</v>
      </c>
      <c r="J1440" s="6" t="s">
        <v>5296</v>
      </c>
      <c r="K1440" s="5"/>
      <c r="L1440" s="4" t="s">
        <v>62</v>
      </c>
      <c r="M1440" s="8" t="s">
        <v>129</v>
      </c>
      <c r="N1440" s="9" t="s">
        <v>1955</v>
      </c>
      <c r="O1440" s="5"/>
      <c r="P1440" s="5"/>
      <c r="Q1440" s="6" t="s">
        <v>30</v>
      </c>
      <c r="R1440" s="4" t="s">
        <v>31</v>
      </c>
      <c r="S1440" s="7" t="s">
        <v>32</v>
      </c>
      <c r="T1440" s="5"/>
    </row>
    <row r="1441" customFormat="false" ht="29.25" hidden="false" customHeight="true" outlineLevel="0" collapsed="false">
      <c r="A1441" s="4" t="n">
        <v>1440</v>
      </c>
      <c r="B1441" s="6" t="s">
        <v>1787</v>
      </c>
      <c r="C1441" s="6" t="s">
        <v>5241</v>
      </c>
      <c r="D1441" s="6" t="s">
        <v>5242</v>
      </c>
      <c r="E1441" s="7" t="s">
        <v>21</v>
      </c>
      <c r="F1441" s="6" t="s">
        <v>5297</v>
      </c>
      <c r="G1441" s="6" t="s">
        <v>5288</v>
      </c>
      <c r="H1441" s="6" t="s">
        <v>5285</v>
      </c>
      <c r="I1441" s="6" t="s">
        <v>5284</v>
      </c>
      <c r="J1441" s="6" t="s">
        <v>1955</v>
      </c>
      <c r="K1441" s="5"/>
      <c r="L1441" s="4" t="s">
        <v>27</v>
      </c>
      <c r="M1441" s="8" t="s">
        <v>28</v>
      </c>
      <c r="N1441" s="9" t="s">
        <v>1955</v>
      </c>
      <c r="O1441" s="5"/>
      <c r="P1441" s="5"/>
      <c r="Q1441" s="6" t="s">
        <v>30</v>
      </c>
      <c r="R1441" s="4" t="s">
        <v>31</v>
      </c>
      <c r="S1441" s="7" t="s">
        <v>32</v>
      </c>
      <c r="T1441" s="5"/>
    </row>
    <row r="1442" customFormat="false" ht="15" hidden="false" customHeight="true" outlineLevel="0" collapsed="false">
      <c r="A1442" s="4" t="n">
        <v>1441</v>
      </c>
      <c r="B1442" s="6" t="s">
        <v>1787</v>
      </c>
      <c r="C1442" s="6" t="s">
        <v>5241</v>
      </c>
      <c r="D1442" s="6" t="s">
        <v>5242</v>
      </c>
      <c r="E1442" s="7" t="s">
        <v>21</v>
      </c>
      <c r="F1442" s="6" t="s">
        <v>5298</v>
      </c>
      <c r="G1442" s="6" t="s">
        <v>5299</v>
      </c>
      <c r="H1442" s="6" t="s">
        <v>5300</v>
      </c>
      <c r="I1442" s="6" t="s">
        <v>5301</v>
      </c>
      <c r="J1442" s="6" t="s">
        <v>5302</v>
      </c>
      <c r="K1442" s="5"/>
      <c r="L1442" s="4" t="s">
        <v>44</v>
      </c>
      <c r="M1442" s="8" t="s">
        <v>129</v>
      </c>
      <c r="N1442" s="9" t="s">
        <v>1955</v>
      </c>
      <c r="O1442" s="5"/>
      <c r="P1442" s="5"/>
      <c r="Q1442" s="6" t="s">
        <v>30</v>
      </c>
      <c r="R1442" s="4" t="s">
        <v>31</v>
      </c>
      <c r="S1442" s="7" t="s">
        <v>32</v>
      </c>
      <c r="T1442" s="5"/>
    </row>
    <row r="1443" customFormat="false" ht="29.25" hidden="false" customHeight="true" outlineLevel="0" collapsed="false">
      <c r="A1443" s="4" t="n">
        <v>1442</v>
      </c>
      <c r="B1443" s="6" t="s">
        <v>1787</v>
      </c>
      <c r="C1443" s="6" t="s">
        <v>5241</v>
      </c>
      <c r="D1443" s="6" t="s">
        <v>5242</v>
      </c>
      <c r="E1443" s="7" t="s">
        <v>21</v>
      </c>
      <c r="F1443" s="6" t="s">
        <v>5303</v>
      </c>
      <c r="G1443" s="6" t="s">
        <v>1429</v>
      </c>
      <c r="H1443" s="6" t="s">
        <v>5249</v>
      </c>
      <c r="I1443" s="6" t="s">
        <v>2192</v>
      </c>
      <c r="J1443" s="6" t="s">
        <v>5251</v>
      </c>
      <c r="K1443" s="5"/>
      <c r="L1443" s="4" t="s">
        <v>44</v>
      </c>
      <c r="M1443" s="8" t="s">
        <v>79</v>
      </c>
      <c r="N1443" s="9" t="s">
        <v>1955</v>
      </c>
      <c r="O1443" s="5"/>
      <c r="P1443" s="5"/>
      <c r="Q1443" s="6" t="s">
        <v>30</v>
      </c>
      <c r="R1443" s="4" t="s">
        <v>31</v>
      </c>
      <c r="S1443" s="7" t="s">
        <v>32</v>
      </c>
      <c r="T1443" s="5"/>
    </row>
    <row r="1444" customFormat="false" ht="29.25" hidden="false" customHeight="true" outlineLevel="0" collapsed="false">
      <c r="A1444" s="4" t="n">
        <v>1443</v>
      </c>
      <c r="B1444" s="6" t="s">
        <v>1787</v>
      </c>
      <c r="C1444" s="6" t="s">
        <v>5241</v>
      </c>
      <c r="D1444" s="6" t="s">
        <v>5242</v>
      </c>
      <c r="E1444" s="7" t="s">
        <v>21</v>
      </c>
      <c r="F1444" s="6" t="s">
        <v>5304</v>
      </c>
      <c r="G1444" s="6" t="s">
        <v>5305</v>
      </c>
      <c r="H1444" s="6" t="s">
        <v>5306</v>
      </c>
      <c r="I1444" s="6" t="s">
        <v>1429</v>
      </c>
      <c r="J1444" s="6" t="s">
        <v>5307</v>
      </c>
      <c r="K1444" s="5"/>
      <c r="L1444" s="4" t="s">
        <v>51</v>
      </c>
      <c r="M1444" s="8" t="s">
        <v>79</v>
      </c>
      <c r="N1444" s="9" t="s">
        <v>1955</v>
      </c>
      <c r="O1444" s="5"/>
      <c r="P1444" s="5"/>
      <c r="Q1444" s="6" t="s">
        <v>30</v>
      </c>
      <c r="R1444" s="4" t="s">
        <v>31</v>
      </c>
      <c r="S1444" s="7" t="s">
        <v>32</v>
      </c>
      <c r="T1444" s="5"/>
    </row>
    <row r="1445" customFormat="false" ht="29.25" hidden="false" customHeight="true" outlineLevel="0" collapsed="false">
      <c r="A1445" s="4" t="n">
        <v>1444</v>
      </c>
      <c r="B1445" s="6" t="s">
        <v>1787</v>
      </c>
      <c r="C1445" s="6" t="s">
        <v>5241</v>
      </c>
      <c r="D1445" s="6" t="s">
        <v>5242</v>
      </c>
      <c r="E1445" s="7" t="s">
        <v>21</v>
      </c>
      <c r="F1445" s="6" t="s">
        <v>5308</v>
      </c>
      <c r="G1445" s="6" t="s">
        <v>114</v>
      </c>
      <c r="H1445" s="6" t="s">
        <v>949</v>
      </c>
      <c r="I1445" s="6" t="s">
        <v>5309</v>
      </c>
      <c r="J1445" s="6" t="s">
        <v>5310</v>
      </c>
      <c r="K1445" s="5"/>
      <c r="L1445" s="4" t="s">
        <v>62</v>
      </c>
      <c r="M1445" s="8" t="s">
        <v>79</v>
      </c>
      <c r="N1445" s="9" t="s">
        <v>1955</v>
      </c>
      <c r="O1445" s="5"/>
      <c r="P1445" s="5"/>
      <c r="Q1445" s="6" t="s">
        <v>30</v>
      </c>
      <c r="R1445" s="4" t="s">
        <v>31</v>
      </c>
      <c r="S1445" s="7" t="s">
        <v>32</v>
      </c>
      <c r="T1445" s="5"/>
    </row>
    <row r="1446" customFormat="false" ht="29.25" hidden="false" customHeight="true" outlineLevel="0" collapsed="false">
      <c r="A1446" s="4" t="n">
        <v>1445</v>
      </c>
      <c r="B1446" s="6" t="s">
        <v>1787</v>
      </c>
      <c r="C1446" s="6" t="s">
        <v>5241</v>
      </c>
      <c r="D1446" s="6" t="s">
        <v>5242</v>
      </c>
      <c r="E1446" s="7" t="s">
        <v>21</v>
      </c>
      <c r="F1446" s="6" t="s">
        <v>5311</v>
      </c>
      <c r="G1446" s="6" t="s">
        <v>1429</v>
      </c>
      <c r="H1446" s="6" t="s">
        <v>5249</v>
      </c>
      <c r="I1446" s="6" t="s">
        <v>5251</v>
      </c>
      <c r="J1446" s="6" t="s">
        <v>2192</v>
      </c>
      <c r="K1446" s="5"/>
      <c r="L1446" s="4" t="s">
        <v>27</v>
      </c>
      <c r="M1446" s="8" t="s">
        <v>129</v>
      </c>
      <c r="N1446" s="9" t="s">
        <v>1955</v>
      </c>
      <c r="O1446" s="5"/>
      <c r="P1446" s="5"/>
      <c r="Q1446" s="6" t="s">
        <v>30</v>
      </c>
      <c r="R1446" s="4" t="s">
        <v>31</v>
      </c>
      <c r="S1446" s="7" t="s">
        <v>32</v>
      </c>
      <c r="T1446" s="5"/>
    </row>
    <row r="1447" customFormat="false" ht="29.25" hidden="false" customHeight="true" outlineLevel="0" collapsed="false">
      <c r="A1447" s="4" t="n">
        <v>1446</v>
      </c>
      <c r="B1447" s="6" t="s">
        <v>1787</v>
      </c>
      <c r="C1447" s="6" t="s">
        <v>5241</v>
      </c>
      <c r="D1447" s="6" t="s">
        <v>5242</v>
      </c>
      <c r="E1447" s="7" t="s">
        <v>21</v>
      </c>
      <c r="F1447" s="6" t="s">
        <v>5312</v>
      </c>
      <c r="G1447" s="6" t="s">
        <v>5313</v>
      </c>
      <c r="H1447" s="6" t="s">
        <v>5314</v>
      </c>
      <c r="I1447" s="6" t="s">
        <v>5315</v>
      </c>
      <c r="J1447" s="6" t="s">
        <v>5316</v>
      </c>
      <c r="K1447" s="5"/>
      <c r="L1447" s="4" t="s">
        <v>51</v>
      </c>
      <c r="M1447" s="8" t="s">
        <v>79</v>
      </c>
      <c r="N1447" s="9" t="s">
        <v>1955</v>
      </c>
      <c r="O1447" s="5"/>
      <c r="P1447" s="5"/>
      <c r="Q1447" s="6" t="s">
        <v>30</v>
      </c>
      <c r="R1447" s="4" t="s">
        <v>31</v>
      </c>
      <c r="S1447" s="7" t="s">
        <v>32</v>
      </c>
      <c r="T1447" s="5"/>
    </row>
    <row r="1448" customFormat="false" ht="29.25" hidden="false" customHeight="true" outlineLevel="0" collapsed="false">
      <c r="A1448" s="4" t="n">
        <v>1447</v>
      </c>
      <c r="B1448" s="6" t="s">
        <v>1787</v>
      </c>
      <c r="C1448" s="6" t="s">
        <v>5241</v>
      </c>
      <c r="D1448" s="6" t="s">
        <v>5242</v>
      </c>
      <c r="E1448" s="7" t="s">
        <v>21</v>
      </c>
      <c r="F1448" s="6" t="s">
        <v>5317</v>
      </c>
      <c r="G1448" s="6" t="s">
        <v>5318</v>
      </c>
      <c r="H1448" s="6" t="s">
        <v>5319</v>
      </c>
      <c r="I1448" s="6" t="s">
        <v>5320</v>
      </c>
      <c r="J1448" s="6" t="s">
        <v>5321</v>
      </c>
      <c r="K1448" s="5"/>
      <c r="L1448" s="4" t="s">
        <v>62</v>
      </c>
      <c r="M1448" s="8" t="s">
        <v>79</v>
      </c>
      <c r="N1448" s="9" t="s">
        <v>1955</v>
      </c>
      <c r="O1448" s="5"/>
      <c r="P1448" s="5"/>
      <c r="Q1448" s="6" t="s">
        <v>30</v>
      </c>
      <c r="R1448" s="4" t="s">
        <v>31</v>
      </c>
      <c r="S1448" s="7" t="s">
        <v>32</v>
      </c>
      <c r="T1448" s="5"/>
    </row>
    <row r="1449" customFormat="false" ht="29.25" hidden="false" customHeight="true" outlineLevel="0" collapsed="false">
      <c r="A1449" s="4" t="n">
        <v>1448</v>
      </c>
      <c r="B1449" s="6" t="s">
        <v>1787</v>
      </c>
      <c r="C1449" s="6" t="s">
        <v>5241</v>
      </c>
      <c r="D1449" s="6" t="s">
        <v>5242</v>
      </c>
      <c r="E1449" s="7" t="s">
        <v>21</v>
      </c>
      <c r="F1449" s="6" t="s">
        <v>5322</v>
      </c>
      <c r="G1449" s="6" t="s">
        <v>5250</v>
      </c>
      <c r="H1449" s="6" t="s">
        <v>2194</v>
      </c>
      <c r="I1449" s="6" t="s">
        <v>5323</v>
      </c>
      <c r="J1449" s="6" t="s">
        <v>5324</v>
      </c>
      <c r="K1449" s="5"/>
      <c r="L1449" s="4" t="s">
        <v>51</v>
      </c>
      <c r="M1449" s="8" t="s">
        <v>129</v>
      </c>
      <c r="N1449" s="9" t="s">
        <v>5325</v>
      </c>
      <c r="O1449" s="5"/>
      <c r="P1449" s="5"/>
      <c r="Q1449" s="6" t="s">
        <v>30</v>
      </c>
      <c r="R1449" s="4" t="s">
        <v>31</v>
      </c>
      <c r="S1449" s="7" t="s">
        <v>32</v>
      </c>
      <c r="T1449" s="5"/>
    </row>
    <row r="1450" customFormat="false" ht="29.25" hidden="false" customHeight="true" outlineLevel="0" collapsed="false">
      <c r="A1450" s="4" t="n">
        <v>1449</v>
      </c>
      <c r="B1450" s="6" t="s">
        <v>1787</v>
      </c>
      <c r="C1450" s="6" t="s">
        <v>5241</v>
      </c>
      <c r="D1450" s="6" t="s">
        <v>5242</v>
      </c>
      <c r="E1450" s="7" t="s">
        <v>21</v>
      </c>
      <c r="F1450" s="6" t="s">
        <v>5326</v>
      </c>
      <c r="G1450" s="6" t="s">
        <v>5327</v>
      </c>
      <c r="H1450" s="6" t="s">
        <v>5328</v>
      </c>
      <c r="I1450" s="6" t="s">
        <v>5329</v>
      </c>
      <c r="J1450" s="6" t="s">
        <v>5330</v>
      </c>
      <c r="K1450" s="5"/>
      <c r="L1450" s="4" t="s">
        <v>27</v>
      </c>
      <c r="M1450" s="8" t="s">
        <v>28</v>
      </c>
      <c r="N1450" s="9" t="s">
        <v>1955</v>
      </c>
      <c r="O1450" s="5"/>
      <c r="P1450" s="5"/>
      <c r="Q1450" s="6" t="s">
        <v>30</v>
      </c>
      <c r="R1450" s="4" t="s">
        <v>31</v>
      </c>
      <c r="S1450" s="7" t="s">
        <v>32</v>
      </c>
      <c r="T1450" s="5"/>
    </row>
    <row r="1451" customFormat="false" ht="29.25" hidden="false" customHeight="true" outlineLevel="0" collapsed="false">
      <c r="A1451" s="4" t="n">
        <v>1450</v>
      </c>
      <c r="B1451" s="6" t="s">
        <v>1787</v>
      </c>
      <c r="C1451" s="6" t="s">
        <v>5241</v>
      </c>
      <c r="D1451" s="6" t="s">
        <v>5242</v>
      </c>
      <c r="E1451" s="7" t="s">
        <v>21</v>
      </c>
      <c r="F1451" s="6" t="s">
        <v>5331</v>
      </c>
      <c r="G1451" s="6" t="s">
        <v>5332</v>
      </c>
      <c r="H1451" s="6" t="s">
        <v>5333</v>
      </c>
      <c r="I1451" s="6" t="s">
        <v>5334</v>
      </c>
      <c r="J1451" s="6" t="s">
        <v>5335</v>
      </c>
      <c r="K1451" s="5"/>
      <c r="L1451" s="4" t="s">
        <v>62</v>
      </c>
      <c r="M1451" s="8" t="s">
        <v>28</v>
      </c>
      <c r="N1451" s="9" t="s">
        <v>1955</v>
      </c>
      <c r="O1451" s="5"/>
      <c r="P1451" s="5"/>
      <c r="Q1451" s="6" t="s">
        <v>30</v>
      </c>
      <c r="R1451" s="4" t="s">
        <v>31</v>
      </c>
      <c r="S1451" s="7" t="s">
        <v>32</v>
      </c>
      <c r="T1451" s="5"/>
    </row>
    <row r="1452" customFormat="false" ht="29.25" hidden="false" customHeight="true" outlineLevel="0" collapsed="false">
      <c r="A1452" s="4" t="n">
        <v>1451</v>
      </c>
      <c r="B1452" s="6" t="s">
        <v>1787</v>
      </c>
      <c r="C1452" s="6" t="s">
        <v>5241</v>
      </c>
      <c r="D1452" s="6" t="s">
        <v>5242</v>
      </c>
      <c r="E1452" s="7" t="s">
        <v>21</v>
      </c>
      <c r="F1452" s="6" t="s">
        <v>5336</v>
      </c>
      <c r="G1452" s="5" t="s">
        <v>5337</v>
      </c>
      <c r="H1452" s="5" t="s">
        <v>5338</v>
      </c>
      <c r="I1452" s="5" t="s">
        <v>5339</v>
      </c>
      <c r="J1452" s="5" t="s">
        <v>5340</v>
      </c>
      <c r="K1452" s="5"/>
      <c r="L1452" s="4" t="s">
        <v>44</v>
      </c>
      <c r="M1452" s="8" t="s">
        <v>79</v>
      </c>
      <c r="N1452" s="9" t="s">
        <v>1955</v>
      </c>
      <c r="O1452" s="5"/>
      <c r="P1452" s="5"/>
      <c r="Q1452" s="6" t="s">
        <v>30</v>
      </c>
      <c r="R1452" s="4" t="s">
        <v>31</v>
      </c>
      <c r="S1452" s="7" t="s">
        <v>32</v>
      </c>
      <c r="T1452" s="5"/>
    </row>
    <row r="1453" customFormat="false" ht="29.25" hidden="false" customHeight="true" outlineLevel="0" collapsed="false">
      <c r="A1453" s="4" t="n">
        <v>1452</v>
      </c>
      <c r="B1453" s="6" t="s">
        <v>1787</v>
      </c>
      <c r="C1453" s="6" t="s">
        <v>5241</v>
      </c>
      <c r="D1453" s="6" t="s">
        <v>5242</v>
      </c>
      <c r="E1453" s="7" t="s">
        <v>21</v>
      </c>
      <c r="F1453" s="6" t="s">
        <v>5341</v>
      </c>
      <c r="G1453" s="6" t="s">
        <v>328</v>
      </c>
      <c r="H1453" s="6" t="s">
        <v>5249</v>
      </c>
      <c r="I1453" s="6" t="s">
        <v>3465</v>
      </c>
      <c r="J1453" s="6" t="s">
        <v>5342</v>
      </c>
      <c r="K1453" s="5"/>
      <c r="L1453" s="4" t="s">
        <v>51</v>
      </c>
      <c r="M1453" s="8" t="s">
        <v>79</v>
      </c>
      <c r="N1453" s="9" t="s">
        <v>1955</v>
      </c>
      <c r="O1453" s="5"/>
      <c r="P1453" s="5"/>
      <c r="Q1453" s="6" t="s">
        <v>30</v>
      </c>
      <c r="R1453" s="4" t="s">
        <v>31</v>
      </c>
      <c r="S1453" s="7" t="s">
        <v>32</v>
      </c>
      <c r="T1453" s="5"/>
    </row>
    <row r="1454" customFormat="false" ht="15" hidden="false" customHeight="true" outlineLevel="0" collapsed="false">
      <c r="A1454" s="4" t="n">
        <v>1453</v>
      </c>
      <c r="B1454" s="6" t="s">
        <v>1787</v>
      </c>
      <c r="C1454" s="6" t="s">
        <v>5241</v>
      </c>
      <c r="D1454" s="6" t="s">
        <v>5242</v>
      </c>
      <c r="E1454" s="7" t="s">
        <v>21</v>
      </c>
      <c r="F1454" s="6" t="s">
        <v>5343</v>
      </c>
      <c r="G1454" s="6" t="s">
        <v>5323</v>
      </c>
      <c r="H1454" s="6" t="s">
        <v>5250</v>
      </c>
      <c r="I1454" s="6" t="s">
        <v>5324</v>
      </c>
      <c r="J1454" s="6" t="s">
        <v>2194</v>
      </c>
      <c r="K1454" s="5"/>
      <c r="L1454" s="4" t="s">
        <v>62</v>
      </c>
      <c r="M1454" s="8" t="s">
        <v>129</v>
      </c>
      <c r="N1454" s="9" t="s">
        <v>1955</v>
      </c>
      <c r="O1454" s="5"/>
      <c r="P1454" s="5"/>
      <c r="Q1454" s="6" t="s">
        <v>30</v>
      </c>
      <c r="R1454" s="4" t="s">
        <v>31</v>
      </c>
      <c r="S1454" s="7" t="s">
        <v>32</v>
      </c>
      <c r="T1454" s="5"/>
    </row>
    <row r="1455" customFormat="false" ht="15" hidden="false" customHeight="true" outlineLevel="0" collapsed="false">
      <c r="A1455" s="4" t="n">
        <v>1454</v>
      </c>
      <c r="B1455" s="6" t="s">
        <v>1787</v>
      </c>
      <c r="C1455" s="6" t="s">
        <v>5241</v>
      </c>
      <c r="D1455" s="6" t="s">
        <v>5242</v>
      </c>
      <c r="E1455" s="7" t="s">
        <v>21</v>
      </c>
      <c r="F1455" s="6" t="s">
        <v>5344</v>
      </c>
      <c r="G1455" s="6" t="s">
        <v>5345</v>
      </c>
      <c r="H1455" s="6" t="s">
        <v>5346</v>
      </c>
      <c r="I1455" s="6" t="s">
        <v>5347</v>
      </c>
      <c r="J1455" s="6" t="s">
        <v>5348</v>
      </c>
      <c r="K1455" s="5"/>
      <c r="L1455" s="4" t="s">
        <v>27</v>
      </c>
      <c r="M1455" s="8" t="s">
        <v>129</v>
      </c>
      <c r="N1455" s="9" t="s">
        <v>1955</v>
      </c>
      <c r="O1455" s="5"/>
      <c r="P1455" s="5"/>
      <c r="Q1455" s="6" t="s">
        <v>30</v>
      </c>
      <c r="R1455" s="4" t="s">
        <v>31</v>
      </c>
      <c r="S1455" s="7" t="s">
        <v>32</v>
      </c>
      <c r="T1455" s="5"/>
    </row>
    <row r="1456" customFormat="false" ht="29.25" hidden="false" customHeight="true" outlineLevel="0" collapsed="false">
      <c r="A1456" s="4" t="n">
        <v>1455</v>
      </c>
      <c r="B1456" s="6" t="s">
        <v>1787</v>
      </c>
      <c r="C1456" s="6" t="s">
        <v>5241</v>
      </c>
      <c r="D1456" s="6" t="s">
        <v>5242</v>
      </c>
      <c r="E1456" s="7" t="s">
        <v>21</v>
      </c>
      <c r="F1456" s="6" t="s">
        <v>5349</v>
      </c>
      <c r="G1456" s="5" t="s">
        <v>4185</v>
      </c>
      <c r="H1456" s="5" t="s">
        <v>5350</v>
      </c>
      <c r="I1456" s="6" t="s">
        <v>5351</v>
      </c>
      <c r="J1456" s="5" t="s">
        <v>5352</v>
      </c>
      <c r="K1456" s="5"/>
      <c r="L1456" s="4" t="s">
        <v>27</v>
      </c>
      <c r="M1456" s="8" t="s">
        <v>79</v>
      </c>
      <c r="N1456" s="9" t="s">
        <v>1955</v>
      </c>
      <c r="O1456" s="5"/>
      <c r="P1456" s="5"/>
      <c r="Q1456" s="6" t="s">
        <v>30</v>
      </c>
      <c r="R1456" s="4" t="s">
        <v>31</v>
      </c>
      <c r="S1456" s="7" t="s">
        <v>32</v>
      </c>
      <c r="T1456" s="5"/>
    </row>
    <row r="1457" customFormat="false" ht="29.25" hidden="false" customHeight="true" outlineLevel="0" collapsed="false">
      <c r="A1457" s="4" t="n">
        <v>1456</v>
      </c>
      <c r="B1457" s="6" t="s">
        <v>1787</v>
      </c>
      <c r="C1457" s="6" t="s">
        <v>5241</v>
      </c>
      <c r="D1457" s="6" t="s">
        <v>5242</v>
      </c>
      <c r="E1457" s="7" t="s">
        <v>21</v>
      </c>
      <c r="F1457" s="6" t="s">
        <v>5353</v>
      </c>
      <c r="G1457" s="6" t="s">
        <v>5354</v>
      </c>
      <c r="H1457" s="6" t="s">
        <v>3533</v>
      </c>
      <c r="I1457" s="6" t="s">
        <v>5355</v>
      </c>
      <c r="J1457" s="6" t="s">
        <v>5356</v>
      </c>
      <c r="K1457" s="5"/>
      <c r="L1457" s="4" t="s">
        <v>44</v>
      </c>
      <c r="M1457" s="8" t="s">
        <v>79</v>
      </c>
      <c r="N1457" s="9" t="s">
        <v>5325</v>
      </c>
      <c r="O1457" s="5"/>
      <c r="P1457" s="5"/>
      <c r="Q1457" s="6" t="s">
        <v>30</v>
      </c>
      <c r="R1457" s="4" t="s">
        <v>31</v>
      </c>
      <c r="S1457" s="7" t="s">
        <v>32</v>
      </c>
      <c r="T1457" s="5"/>
    </row>
    <row r="1458" customFormat="false" ht="29.25" hidden="false" customHeight="true" outlineLevel="0" collapsed="false">
      <c r="A1458" s="4" t="n">
        <v>1457</v>
      </c>
      <c r="B1458" s="6" t="s">
        <v>1787</v>
      </c>
      <c r="C1458" s="6" t="s">
        <v>5241</v>
      </c>
      <c r="D1458" s="6" t="s">
        <v>5242</v>
      </c>
      <c r="E1458" s="7" t="s">
        <v>21</v>
      </c>
      <c r="F1458" s="6" t="s">
        <v>5357</v>
      </c>
      <c r="G1458" s="6" t="s">
        <v>5358</v>
      </c>
      <c r="H1458" s="6" t="s">
        <v>5359</v>
      </c>
      <c r="I1458" s="6" t="s">
        <v>5360</v>
      </c>
      <c r="J1458" s="6" t="s">
        <v>2191</v>
      </c>
      <c r="K1458" s="5"/>
      <c r="L1458" s="4" t="s">
        <v>51</v>
      </c>
      <c r="M1458" s="8" t="s">
        <v>79</v>
      </c>
      <c r="N1458" s="9" t="s">
        <v>1955</v>
      </c>
      <c r="O1458" s="5"/>
      <c r="P1458" s="5"/>
      <c r="Q1458" s="6" t="s">
        <v>30</v>
      </c>
      <c r="R1458" s="4" t="s">
        <v>31</v>
      </c>
      <c r="S1458" s="7" t="s">
        <v>32</v>
      </c>
      <c r="T1458" s="5"/>
    </row>
    <row r="1459" customFormat="false" ht="15" hidden="false" customHeight="true" outlineLevel="0" collapsed="false">
      <c r="A1459" s="4" t="n">
        <v>1458</v>
      </c>
      <c r="B1459" s="6" t="s">
        <v>1787</v>
      </c>
      <c r="C1459" s="6" t="s">
        <v>5241</v>
      </c>
      <c r="D1459" s="6" t="s">
        <v>5242</v>
      </c>
      <c r="E1459" s="7" t="s">
        <v>21</v>
      </c>
      <c r="F1459" s="6" t="s">
        <v>5361</v>
      </c>
      <c r="G1459" s="6" t="s">
        <v>5362</v>
      </c>
      <c r="H1459" s="6" t="s">
        <v>5358</v>
      </c>
      <c r="I1459" s="6" t="s">
        <v>5359</v>
      </c>
      <c r="J1459" s="6" t="s">
        <v>5360</v>
      </c>
      <c r="K1459" s="5"/>
      <c r="L1459" s="4" t="s">
        <v>62</v>
      </c>
      <c r="M1459" s="8" t="s">
        <v>129</v>
      </c>
      <c r="N1459" s="9" t="s">
        <v>1955</v>
      </c>
      <c r="O1459" s="5"/>
      <c r="P1459" s="5"/>
      <c r="Q1459" s="6" t="s">
        <v>30</v>
      </c>
      <c r="R1459" s="4" t="s">
        <v>31</v>
      </c>
      <c r="S1459" s="7" t="s">
        <v>32</v>
      </c>
      <c r="T1459" s="5"/>
    </row>
    <row r="1460" customFormat="false" ht="29.25" hidden="false" customHeight="true" outlineLevel="0" collapsed="false">
      <c r="A1460" s="4" t="n">
        <v>1459</v>
      </c>
      <c r="B1460" s="6" t="s">
        <v>1787</v>
      </c>
      <c r="C1460" s="6" t="s">
        <v>5241</v>
      </c>
      <c r="D1460" s="6" t="s">
        <v>5242</v>
      </c>
      <c r="E1460" s="7" t="s">
        <v>21</v>
      </c>
      <c r="F1460" s="6" t="s">
        <v>5363</v>
      </c>
      <c r="G1460" s="6" t="s">
        <v>5358</v>
      </c>
      <c r="H1460" s="6" t="s">
        <v>5359</v>
      </c>
      <c r="I1460" s="6" t="s">
        <v>5360</v>
      </c>
      <c r="J1460" s="6" t="s">
        <v>2191</v>
      </c>
      <c r="K1460" s="5"/>
      <c r="L1460" s="4" t="s">
        <v>51</v>
      </c>
      <c r="M1460" s="8" t="s">
        <v>79</v>
      </c>
      <c r="N1460" s="9" t="s">
        <v>5325</v>
      </c>
      <c r="O1460" s="5"/>
      <c r="P1460" s="5"/>
      <c r="Q1460" s="6" t="s">
        <v>30</v>
      </c>
      <c r="R1460" s="4" t="s">
        <v>31</v>
      </c>
      <c r="S1460" s="7" t="s">
        <v>32</v>
      </c>
      <c r="T1460" s="5"/>
    </row>
    <row r="1461" customFormat="false" ht="15" hidden="false" customHeight="true" outlineLevel="0" collapsed="false">
      <c r="A1461" s="4" t="n">
        <v>1460</v>
      </c>
      <c r="B1461" s="6" t="s">
        <v>1787</v>
      </c>
      <c r="C1461" s="6" t="s">
        <v>5241</v>
      </c>
      <c r="D1461" s="6" t="s">
        <v>5242</v>
      </c>
      <c r="E1461" s="7" t="s">
        <v>21</v>
      </c>
      <c r="F1461" s="6" t="s">
        <v>5364</v>
      </c>
      <c r="G1461" s="6" t="s">
        <v>5358</v>
      </c>
      <c r="H1461" s="6" t="s">
        <v>5359</v>
      </c>
      <c r="I1461" s="6" t="s">
        <v>5360</v>
      </c>
      <c r="J1461" s="6" t="s">
        <v>2191</v>
      </c>
      <c r="K1461" s="5"/>
      <c r="L1461" s="4" t="s">
        <v>62</v>
      </c>
      <c r="M1461" s="8" t="s">
        <v>129</v>
      </c>
      <c r="N1461" s="9" t="s">
        <v>5325</v>
      </c>
      <c r="O1461" s="5"/>
      <c r="P1461" s="5"/>
      <c r="Q1461" s="6" t="s">
        <v>30</v>
      </c>
      <c r="R1461" s="4" t="s">
        <v>31</v>
      </c>
      <c r="S1461" s="7" t="s">
        <v>32</v>
      </c>
      <c r="T1461" s="5"/>
    </row>
    <row r="1462" customFormat="false" ht="15" hidden="false" customHeight="true" outlineLevel="0" collapsed="false">
      <c r="A1462" s="4" t="n">
        <v>1461</v>
      </c>
      <c r="B1462" s="6" t="s">
        <v>1787</v>
      </c>
      <c r="C1462" s="6" t="s">
        <v>5241</v>
      </c>
      <c r="D1462" s="6" t="s">
        <v>5242</v>
      </c>
      <c r="E1462" s="7" t="s">
        <v>21</v>
      </c>
      <c r="F1462" s="6" t="s">
        <v>5365</v>
      </c>
      <c r="G1462" s="6" t="s">
        <v>5358</v>
      </c>
      <c r="H1462" s="6" t="s">
        <v>5359</v>
      </c>
      <c r="I1462" s="6" t="s">
        <v>5360</v>
      </c>
      <c r="J1462" s="6" t="s">
        <v>4196</v>
      </c>
      <c r="K1462" s="5"/>
      <c r="L1462" s="4" t="s">
        <v>27</v>
      </c>
      <c r="M1462" s="8" t="s">
        <v>129</v>
      </c>
      <c r="N1462" s="9" t="s">
        <v>5325</v>
      </c>
      <c r="O1462" s="5"/>
      <c r="P1462" s="5"/>
      <c r="Q1462" s="6" t="s">
        <v>30</v>
      </c>
      <c r="R1462" s="4" t="s">
        <v>31</v>
      </c>
      <c r="S1462" s="7" t="s">
        <v>32</v>
      </c>
      <c r="T1462" s="5"/>
    </row>
    <row r="1463" customFormat="false" ht="29.25" hidden="false" customHeight="true" outlineLevel="0" collapsed="false">
      <c r="A1463" s="4" t="n">
        <v>1462</v>
      </c>
      <c r="B1463" s="6" t="s">
        <v>1787</v>
      </c>
      <c r="C1463" s="6" t="s">
        <v>5241</v>
      </c>
      <c r="D1463" s="6" t="s">
        <v>5242</v>
      </c>
      <c r="E1463" s="7" t="s">
        <v>21</v>
      </c>
      <c r="F1463" s="6" t="s">
        <v>5366</v>
      </c>
      <c r="G1463" s="6" t="s">
        <v>3777</v>
      </c>
      <c r="H1463" s="6" t="s">
        <v>210</v>
      </c>
      <c r="I1463" s="6" t="s">
        <v>334</v>
      </c>
      <c r="J1463" s="6" t="s">
        <v>5367</v>
      </c>
      <c r="K1463" s="5"/>
      <c r="L1463" s="4" t="s">
        <v>44</v>
      </c>
      <c r="M1463" s="8" t="s">
        <v>79</v>
      </c>
      <c r="N1463" s="9" t="s">
        <v>5368</v>
      </c>
      <c r="O1463" s="5"/>
      <c r="P1463" s="5"/>
      <c r="Q1463" s="6" t="s">
        <v>30</v>
      </c>
      <c r="R1463" s="4" t="s">
        <v>31</v>
      </c>
      <c r="S1463" s="7" t="s">
        <v>32</v>
      </c>
      <c r="T1463" s="5"/>
    </row>
    <row r="1464" customFormat="false" ht="29.25" hidden="false" customHeight="true" outlineLevel="0" collapsed="false">
      <c r="A1464" s="4" t="n">
        <v>1463</v>
      </c>
      <c r="B1464" s="6" t="s">
        <v>1787</v>
      </c>
      <c r="C1464" s="6" t="s">
        <v>5241</v>
      </c>
      <c r="D1464" s="6" t="s">
        <v>5242</v>
      </c>
      <c r="E1464" s="7" t="s">
        <v>21</v>
      </c>
      <c r="F1464" s="6" t="s">
        <v>5369</v>
      </c>
      <c r="G1464" s="6" t="s">
        <v>5358</v>
      </c>
      <c r="H1464" s="6" t="s">
        <v>5359</v>
      </c>
      <c r="I1464" s="6" t="s">
        <v>5360</v>
      </c>
      <c r="J1464" s="6" t="s">
        <v>4196</v>
      </c>
      <c r="K1464" s="5"/>
      <c r="L1464" s="4" t="s">
        <v>27</v>
      </c>
      <c r="M1464" s="8" t="s">
        <v>79</v>
      </c>
      <c r="N1464" s="9" t="s">
        <v>5370</v>
      </c>
      <c r="O1464" s="5"/>
      <c r="P1464" s="5"/>
      <c r="Q1464" s="6" t="s">
        <v>30</v>
      </c>
      <c r="R1464" s="4" t="s">
        <v>31</v>
      </c>
      <c r="S1464" s="7" t="s">
        <v>32</v>
      </c>
      <c r="T1464" s="5"/>
    </row>
    <row r="1465" customFormat="false" ht="29.25" hidden="false" customHeight="true" outlineLevel="0" collapsed="false">
      <c r="A1465" s="4" t="n">
        <v>1464</v>
      </c>
      <c r="B1465" s="6" t="s">
        <v>1787</v>
      </c>
      <c r="C1465" s="6" t="s">
        <v>5241</v>
      </c>
      <c r="D1465" s="6" t="s">
        <v>5242</v>
      </c>
      <c r="E1465" s="7" t="s">
        <v>21</v>
      </c>
      <c r="F1465" s="6" t="s">
        <v>5371</v>
      </c>
      <c r="G1465" s="6" t="s">
        <v>5358</v>
      </c>
      <c r="H1465" s="6" t="s">
        <v>5359</v>
      </c>
      <c r="I1465" s="6" t="s">
        <v>5372</v>
      </c>
      <c r="J1465" s="6" t="s">
        <v>5373</v>
      </c>
      <c r="K1465" s="5"/>
      <c r="L1465" s="4" t="s">
        <v>44</v>
      </c>
      <c r="M1465" s="8" t="s">
        <v>79</v>
      </c>
      <c r="N1465" s="9" t="s">
        <v>5325</v>
      </c>
      <c r="O1465" s="5"/>
      <c r="P1465" s="5"/>
      <c r="Q1465" s="6" t="s">
        <v>30</v>
      </c>
      <c r="R1465" s="4" t="s">
        <v>31</v>
      </c>
      <c r="S1465" s="7" t="s">
        <v>32</v>
      </c>
      <c r="T1465" s="5"/>
    </row>
    <row r="1466" customFormat="false" ht="29.25" hidden="false" customHeight="true" outlineLevel="0" collapsed="false">
      <c r="A1466" s="4" t="n">
        <v>1465</v>
      </c>
      <c r="B1466" s="6" t="s">
        <v>1787</v>
      </c>
      <c r="C1466" s="6" t="s">
        <v>5241</v>
      </c>
      <c r="D1466" s="6" t="s">
        <v>5242</v>
      </c>
      <c r="E1466" s="7" t="s">
        <v>21</v>
      </c>
      <c r="F1466" s="6" t="s">
        <v>5374</v>
      </c>
      <c r="G1466" s="6" t="s">
        <v>5375</v>
      </c>
      <c r="H1466" s="6" t="s">
        <v>5358</v>
      </c>
      <c r="I1466" s="6" t="s">
        <v>5359</v>
      </c>
      <c r="J1466" s="6" t="s">
        <v>4196</v>
      </c>
      <c r="K1466" s="5"/>
      <c r="L1466" s="4" t="s">
        <v>51</v>
      </c>
      <c r="M1466" s="8" t="s">
        <v>28</v>
      </c>
      <c r="N1466" s="9" t="s">
        <v>5376</v>
      </c>
      <c r="O1466" s="5"/>
      <c r="P1466" s="5"/>
      <c r="Q1466" s="6" t="s">
        <v>30</v>
      </c>
      <c r="R1466" s="4" t="s">
        <v>31</v>
      </c>
      <c r="S1466" s="7" t="s">
        <v>32</v>
      </c>
      <c r="T1466" s="5"/>
    </row>
    <row r="1467" customFormat="false" ht="29.25" hidden="false" customHeight="true" outlineLevel="0" collapsed="false">
      <c r="A1467" s="4" t="n">
        <v>1466</v>
      </c>
      <c r="B1467" s="6" t="s">
        <v>1787</v>
      </c>
      <c r="C1467" s="6" t="s">
        <v>5241</v>
      </c>
      <c r="D1467" s="6" t="s">
        <v>5242</v>
      </c>
      <c r="E1467" s="7" t="s">
        <v>21</v>
      </c>
      <c r="F1467" s="6" t="s">
        <v>5377</v>
      </c>
      <c r="G1467" s="5" t="s">
        <v>4185</v>
      </c>
      <c r="H1467" s="5" t="s">
        <v>5350</v>
      </c>
      <c r="I1467" s="6" t="s">
        <v>5351</v>
      </c>
      <c r="J1467" s="5" t="s">
        <v>5352</v>
      </c>
      <c r="K1467" s="5"/>
      <c r="L1467" s="4" t="s">
        <v>27</v>
      </c>
      <c r="M1467" s="8" t="s">
        <v>79</v>
      </c>
      <c r="N1467" s="9" t="s">
        <v>1955</v>
      </c>
      <c r="O1467" s="5"/>
      <c r="P1467" s="5"/>
      <c r="Q1467" s="6" t="s">
        <v>30</v>
      </c>
      <c r="R1467" s="4" t="s">
        <v>31</v>
      </c>
      <c r="S1467" s="7" t="s">
        <v>32</v>
      </c>
      <c r="T1467" s="5"/>
    </row>
    <row r="1468" customFormat="false" ht="29.25" hidden="false" customHeight="true" outlineLevel="0" collapsed="false">
      <c r="A1468" s="4" t="n">
        <v>1467</v>
      </c>
      <c r="B1468" s="6" t="s">
        <v>1787</v>
      </c>
      <c r="C1468" s="6" t="s">
        <v>5241</v>
      </c>
      <c r="D1468" s="6" t="s">
        <v>5242</v>
      </c>
      <c r="E1468" s="7" t="s">
        <v>21</v>
      </c>
      <c r="F1468" s="6" t="s">
        <v>5378</v>
      </c>
      <c r="G1468" s="6" t="s">
        <v>5379</v>
      </c>
      <c r="H1468" s="6" t="s">
        <v>5351</v>
      </c>
      <c r="I1468" s="6" t="s">
        <v>5380</v>
      </c>
      <c r="J1468" s="6" t="s">
        <v>5381</v>
      </c>
      <c r="K1468" s="5"/>
      <c r="L1468" s="4" t="s">
        <v>27</v>
      </c>
      <c r="M1468" s="8" t="s">
        <v>79</v>
      </c>
      <c r="N1468" s="9" t="s">
        <v>1955</v>
      </c>
      <c r="O1468" s="5"/>
      <c r="P1468" s="5"/>
      <c r="Q1468" s="6" t="s">
        <v>30</v>
      </c>
      <c r="R1468" s="4" t="s">
        <v>31</v>
      </c>
      <c r="S1468" s="7" t="s">
        <v>32</v>
      </c>
      <c r="T1468" s="5"/>
    </row>
    <row r="1469" customFormat="false" ht="15" hidden="false" customHeight="true" outlineLevel="0" collapsed="false">
      <c r="A1469" s="4" t="n">
        <v>1468</v>
      </c>
      <c r="B1469" s="6" t="s">
        <v>1787</v>
      </c>
      <c r="C1469" s="6" t="s">
        <v>5241</v>
      </c>
      <c r="D1469" s="6" t="s">
        <v>5242</v>
      </c>
      <c r="E1469" s="7" t="s">
        <v>21</v>
      </c>
      <c r="F1469" s="6" t="s">
        <v>5382</v>
      </c>
      <c r="G1469" s="6" t="s">
        <v>5383</v>
      </c>
      <c r="H1469" s="6" t="s">
        <v>5384</v>
      </c>
      <c r="I1469" s="6" t="s">
        <v>5385</v>
      </c>
      <c r="J1469" s="6" t="s">
        <v>5386</v>
      </c>
      <c r="K1469" s="5"/>
      <c r="L1469" s="4" t="s">
        <v>62</v>
      </c>
      <c r="M1469" s="8" t="s">
        <v>129</v>
      </c>
      <c r="N1469" s="9" t="s">
        <v>1955</v>
      </c>
      <c r="O1469" s="5"/>
      <c r="P1469" s="5"/>
      <c r="Q1469" s="6" t="s">
        <v>30</v>
      </c>
      <c r="R1469" s="4" t="s">
        <v>31</v>
      </c>
      <c r="S1469" s="7" t="s">
        <v>32</v>
      </c>
      <c r="T1469" s="5"/>
    </row>
    <row r="1470" customFormat="false" ht="15" hidden="false" customHeight="true" outlineLevel="0" collapsed="false">
      <c r="A1470" s="4" t="n">
        <v>1469</v>
      </c>
      <c r="B1470" s="6" t="s">
        <v>1787</v>
      </c>
      <c r="C1470" s="6" t="s">
        <v>5241</v>
      </c>
      <c r="D1470" s="6" t="s">
        <v>5242</v>
      </c>
      <c r="E1470" s="7" t="s">
        <v>21</v>
      </c>
      <c r="F1470" s="6" t="s">
        <v>5387</v>
      </c>
      <c r="G1470" s="6" t="s">
        <v>5388</v>
      </c>
      <c r="H1470" s="6" t="s">
        <v>5389</v>
      </c>
      <c r="I1470" s="6" t="s">
        <v>5390</v>
      </c>
      <c r="J1470" s="6" t="s">
        <v>5391</v>
      </c>
      <c r="K1470" s="5"/>
      <c r="L1470" s="4" t="s">
        <v>44</v>
      </c>
      <c r="M1470" s="8" t="s">
        <v>129</v>
      </c>
      <c r="N1470" s="9" t="s">
        <v>1955</v>
      </c>
      <c r="O1470" s="5"/>
      <c r="P1470" s="5"/>
      <c r="Q1470" s="6" t="s">
        <v>30</v>
      </c>
      <c r="R1470" s="4" t="s">
        <v>31</v>
      </c>
      <c r="S1470" s="7" t="s">
        <v>32</v>
      </c>
      <c r="T1470" s="5"/>
    </row>
    <row r="1471" customFormat="false" ht="15" hidden="false" customHeight="true" outlineLevel="0" collapsed="false">
      <c r="A1471" s="4" t="n">
        <v>1470</v>
      </c>
      <c r="B1471" s="6" t="s">
        <v>1787</v>
      </c>
      <c r="C1471" s="6" t="s">
        <v>5241</v>
      </c>
      <c r="D1471" s="6" t="s">
        <v>5242</v>
      </c>
      <c r="E1471" s="7" t="s">
        <v>21</v>
      </c>
      <c r="F1471" s="6" t="s">
        <v>5392</v>
      </c>
      <c r="G1471" s="6" t="s">
        <v>5388</v>
      </c>
      <c r="H1471" s="6" t="s">
        <v>5389</v>
      </c>
      <c r="I1471" s="6" t="s">
        <v>5393</v>
      </c>
      <c r="J1471" s="6" t="s">
        <v>5394</v>
      </c>
      <c r="K1471" s="5"/>
      <c r="L1471" s="4" t="s">
        <v>27</v>
      </c>
      <c r="M1471" s="8" t="s">
        <v>129</v>
      </c>
      <c r="N1471" s="9" t="s">
        <v>1955</v>
      </c>
      <c r="O1471" s="5"/>
      <c r="P1471" s="5"/>
      <c r="Q1471" s="6" t="s">
        <v>30</v>
      </c>
      <c r="R1471" s="4" t="s">
        <v>31</v>
      </c>
      <c r="S1471" s="7" t="s">
        <v>32</v>
      </c>
      <c r="T1471" s="5"/>
    </row>
    <row r="1472" customFormat="false" ht="29.25" hidden="false" customHeight="true" outlineLevel="0" collapsed="false">
      <c r="A1472" s="4" t="n">
        <v>1471</v>
      </c>
      <c r="B1472" s="6" t="s">
        <v>1787</v>
      </c>
      <c r="C1472" s="6" t="s">
        <v>5241</v>
      </c>
      <c r="D1472" s="6" t="s">
        <v>5242</v>
      </c>
      <c r="E1472" s="7" t="s">
        <v>21</v>
      </c>
      <c r="F1472" s="6" t="s">
        <v>5395</v>
      </c>
      <c r="G1472" s="6" t="s">
        <v>5346</v>
      </c>
      <c r="H1472" s="6" t="s">
        <v>5396</v>
      </c>
      <c r="I1472" s="6" t="s">
        <v>5397</v>
      </c>
      <c r="J1472" s="6" t="s">
        <v>5398</v>
      </c>
      <c r="K1472" s="5"/>
      <c r="L1472" s="4" t="s">
        <v>51</v>
      </c>
      <c r="M1472" s="8" t="s">
        <v>129</v>
      </c>
      <c r="N1472" s="9" t="s">
        <v>1955</v>
      </c>
      <c r="O1472" s="5"/>
      <c r="P1472" s="5"/>
      <c r="Q1472" s="6" t="s">
        <v>30</v>
      </c>
      <c r="R1472" s="4" t="s">
        <v>31</v>
      </c>
      <c r="S1472" s="7" t="s">
        <v>32</v>
      </c>
      <c r="T1472" s="5"/>
    </row>
    <row r="1473" customFormat="false" ht="15" hidden="false" customHeight="true" outlineLevel="0" collapsed="false">
      <c r="A1473" s="4" t="n">
        <v>1472</v>
      </c>
      <c r="B1473" s="6" t="s">
        <v>1787</v>
      </c>
      <c r="C1473" s="6" t="s">
        <v>5241</v>
      </c>
      <c r="D1473" s="6" t="s">
        <v>5242</v>
      </c>
      <c r="E1473" s="7" t="s">
        <v>21</v>
      </c>
      <c r="F1473" s="6" t="s">
        <v>5399</v>
      </c>
      <c r="G1473" s="6" t="s">
        <v>5250</v>
      </c>
      <c r="H1473" s="6" t="s">
        <v>5400</v>
      </c>
      <c r="I1473" s="6" t="s">
        <v>2191</v>
      </c>
      <c r="J1473" s="6" t="s">
        <v>5401</v>
      </c>
      <c r="K1473" s="5"/>
      <c r="L1473" s="4" t="s">
        <v>62</v>
      </c>
      <c r="M1473" s="8" t="s">
        <v>129</v>
      </c>
      <c r="N1473" s="9" t="s">
        <v>1955</v>
      </c>
      <c r="O1473" s="5"/>
      <c r="P1473" s="5"/>
      <c r="Q1473" s="6" t="s">
        <v>30</v>
      </c>
      <c r="R1473" s="4" t="s">
        <v>31</v>
      </c>
      <c r="S1473" s="7" t="s">
        <v>32</v>
      </c>
      <c r="T1473" s="5"/>
    </row>
    <row r="1474" customFormat="false" ht="29.25" hidden="false" customHeight="true" outlineLevel="0" collapsed="false">
      <c r="A1474" s="4" t="n">
        <v>1473</v>
      </c>
      <c r="B1474" s="6" t="s">
        <v>1787</v>
      </c>
      <c r="C1474" s="6" t="s">
        <v>5241</v>
      </c>
      <c r="D1474" s="6" t="s">
        <v>5242</v>
      </c>
      <c r="E1474" s="7" t="s">
        <v>21</v>
      </c>
      <c r="F1474" s="6" t="s">
        <v>5402</v>
      </c>
      <c r="G1474" s="6" t="s">
        <v>5403</v>
      </c>
      <c r="H1474" s="5" t="s">
        <v>4185</v>
      </c>
      <c r="I1474" s="6" t="s">
        <v>5359</v>
      </c>
      <c r="J1474" s="5" t="s">
        <v>5352</v>
      </c>
      <c r="K1474" s="5"/>
      <c r="L1474" s="4" t="s">
        <v>51</v>
      </c>
      <c r="M1474" s="8" t="s">
        <v>79</v>
      </c>
      <c r="N1474" s="9" t="s">
        <v>5325</v>
      </c>
      <c r="O1474" s="5"/>
      <c r="P1474" s="5"/>
      <c r="Q1474" s="6" t="s">
        <v>30</v>
      </c>
      <c r="R1474" s="4" t="s">
        <v>31</v>
      </c>
      <c r="S1474" s="7" t="s">
        <v>32</v>
      </c>
      <c r="T1474" s="5"/>
    </row>
    <row r="1475" customFormat="false" ht="29.25" hidden="false" customHeight="true" outlineLevel="0" collapsed="false">
      <c r="A1475" s="4" t="n">
        <v>1474</v>
      </c>
      <c r="B1475" s="6" t="s">
        <v>1787</v>
      </c>
      <c r="C1475" s="6" t="s">
        <v>5241</v>
      </c>
      <c r="D1475" s="6" t="s">
        <v>5242</v>
      </c>
      <c r="E1475" s="7" t="s">
        <v>21</v>
      </c>
      <c r="F1475" s="6" t="s">
        <v>5404</v>
      </c>
      <c r="G1475" s="6" t="s">
        <v>5405</v>
      </c>
      <c r="H1475" s="6" t="s">
        <v>5406</v>
      </c>
      <c r="I1475" s="6" t="s">
        <v>5407</v>
      </c>
      <c r="J1475" s="6" t="s">
        <v>5408</v>
      </c>
      <c r="K1475" s="5"/>
      <c r="L1475" s="4" t="s">
        <v>44</v>
      </c>
      <c r="M1475" s="8" t="s">
        <v>79</v>
      </c>
      <c r="N1475" s="9" t="s">
        <v>1955</v>
      </c>
      <c r="O1475" s="5"/>
      <c r="P1475" s="5"/>
      <c r="Q1475" s="6" t="s">
        <v>30</v>
      </c>
      <c r="R1475" s="4" t="s">
        <v>31</v>
      </c>
      <c r="S1475" s="7" t="s">
        <v>32</v>
      </c>
      <c r="T1475" s="5"/>
    </row>
    <row r="1476" customFormat="false" ht="29.25" hidden="false" customHeight="true" outlineLevel="0" collapsed="false">
      <c r="A1476" s="4" t="n">
        <v>1475</v>
      </c>
      <c r="B1476" s="6" t="s">
        <v>1787</v>
      </c>
      <c r="C1476" s="6" t="s">
        <v>5241</v>
      </c>
      <c r="D1476" s="6" t="s">
        <v>5242</v>
      </c>
      <c r="E1476" s="7" t="s">
        <v>21</v>
      </c>
      <c r="F1476" s="6" t="s">
        <v>5409</v>
      </c>
      <c r="G1476" s="6" t="s">
        <v>3777</v>
      </c>
      <c r="H1476" s="6" t="s">
        <v>210</v>
      </c>
      <c r="I1476" s="6" t="s">
        <v>4621</v>
      </c>
      <c r="J1476" s="6" t="s">
        <v>5410</v>
      </c>
      <c r="K1476" s="5"/>
      <c r="L1476" s="4" t="s">
        <v>62</v>
      </c>
      <c r="M1476" s="8" t="s">
        <v>79</v>
      </c>
      <c r="N1476" s="9" t="s">
        <v>1955</v>
      </c>
      <c r="O1476" s="5"/>
      <c r="P1476" s="5"/>
      <c r="Q1476" s="6" t="s">
        <v>30</v>
      </c>
      <c r="R1476" s="4" t="s">
        <v>31</v>
      </c>
      <c r="S1476" s="7" t="s">
        <v>32</v>
      </c>
      <c r="T1476" s="5"/>
    </row>
    <row r="1477" customFormat="false" ht="29.25" hidden="false" customHeight="true" outlineLevel="0" collapsed="false">
      <c r="A1477" s="4" t="n">
        <v>1476</v>
      </c>
      <c r="B1477" s="6" t="s">
        <v>1787</v>
      </c>
      <c r="C1477" s="6" t="s">
        <v>5241</v>
      </c>
      <c r="D1477" s="6" t="s">
        <v>5242</v>
      </c>
      <c r="E1477" s="7" t="s">
        <v>21</v>
      </c>
      <c r="F1477" s="6" t="s">
        <v>5411</v>
      </c>
      <c r="G1477" s="6" t="s">
        <v>5412</v>
      </c>
      <c r="H1477" s="6" t="s">
        <v>5413</v>
      </c>
      <c r="I1477" s="6" t="s">
        <v>5414</v>
      </c>
      <c r="J1477" s="6" t="s">
        <v>5415</v>
      </c>
      <c r="K1477" s="5"/>
      <c r="L1477" s="4" t="s">
        <v>44</v>
      </c>
      <c r="M1477" s="8" t="s">
        <v>79</v>
      </c>
      <c r="N1477" s="9" t="s">
        <v>1955</v>
      </c>
      <c r="O1477" s="5"/>
      <c r="P1477" s="5"/>
      <c r="Q1477" s="6" t="s">
        <v>30</v>
      </c>
      <c r="R1477" s="4" t="s">
        <v>31</v>
      </c>
      <c r="S1477" s="7" t="s">
        <v>32</v>
      </c>
      <c r="T1477" s="5"/>
    </row>
    <row r="1478" customFormat="false" ht="15" hidden="false" customHeight="true" outlineLevel="0" collapsed="false">
      <c r="A1478" s="4" t="n">
        <v>1477</v>
      </c>
      <c r="B1478" s="6" t="s">
        <v>1787</v>
      </c>
      <c r="C1478" s="6" t="s">
        <v>5241</v>
      </c>
      <c r="D1478" s="6" t="s">
        <v>5242</v>
      </c>
      <c r="E1478" s="7" t="s">
        <v>21</v>
      </c>
      <c r="F1478" s="6" t="s">
        <v>5416</v>
      </c>
      <c r="G1478" s="6" t="s">
        <v>5417</v>
      </c>
      <c r="H1478" s="6" t="s">
        <v>5418</v>
      </c>
      <c r="I1478" s="6" t="s">
        <v>5419</v>
      </c>
      <c r="J1478" s="6" t="s">
        <v>5420</v>
      </c>
      <c r="K1478" s="5"/>
      <c r="L1478" s="4" t="s">
        <v>27</v>
      </c>
      <c r="M1478" s="8" t="s">
        <v>129</v>
      </c>
      <c r="N1478" s="9" t="s">
        <v>1955</v>
      </c>
      <c r="O1478" s="5"/>
      <c r="P1478" s="5"/>
      <c r="Q1478" s="6" t="s">
        <v>30</v>
      </c>
      <c r="R1478" s="4" t="s">
        <v>31</v>
      </c>
      <c r="S1478" s="7" t="s">
        <v>32</v>
      </c>
      <c r="T1478" s="5"/>
    </row>
    <row r="1479" customFormat="false" ht="15" hidden="false" customHeight="true" outlineLevel="0" collapsed="false">
      <c r="A1479" s="4" t="n">
        <v>1478</v>
      </c>
      <c r="B1479" s="6" t="s">
        <v>1787</v>
      </c>
      <c r="C1479" s="6" t="s">
        <v>5241</v>
      </c>
      <c r="D1479" s="6" t="s">
        <v>5242</v>
      </c>
      <c r="E1479" s="7" t="s">
        <v>21</v>
      </c>
      <c r="F1479" s="6" t="s">
        <v>5421</v>
      </c>
      <c r="G1479" s="6" t="s">
        <v>5422</v>
      </c>
      <c r="H1479" s="6" t="s">
        <v>5423</v>
      </c>
      <c r="I1479" s="6" t="s">
        <v>5424</v>
      </c>
      <c r="J1479" s="6" t="s">
        <v>150</v>
      </c>
      <c r="K1479" s="5"/>
      <c r="L1479" s="4" t="s">
        <v>51</v>
      </c>
      <c r="M1479" s="8" t="s">
        <v>79</v>
      </c>
      <c r="N1479" s="9" t="s">
        <v>1955</v>
      </c>
      <c r="O1479" s="5"/>
      <c r="P1479" s="5"/>
      <c r="Q1479" s="6" t="s">
        <v>30</v>
      </c>
      <c r="R1479" s="4" t="s">
        <v>31</v>
      </c>
      <c r="S1479" s="7" t="s">
        <v>32</v>
      </c>
      <c r="T1479" s="5"/>
    </row>
    <row r="1480" customFormat="false" ht="15" hidden="false" customHeight="true" outlineLevel="0" collapsed="false">
      <c r="A1480" s="4" t="n">
        <v>1479</v>
      </c>
      <c r="B1480" s="6" t="s">
        <v>1787</v>
      </c>
      <c r="C1480" s="6" t="s">
        <v>5241</v>
      </c>
      <c r="D1480" s="6" t="s">
        <v>5242</v>
      </c>
      <c r="E1480" s="7" t="s">
        <v>21</v>
      </c>
      <c r="F1480" s="6" t="s">
        <v>5425</v>
      </c>
      <c r="G1480" s="6" t="s">
        <v>5422</v>
      </c>
      <c r="H1480" s="6" t="s">
        <v>5423</v>
      </c>
      <c r="I1480" s="6" t="s">
        <v>5424</v>
      </c>
      <c r="J1480" s="6" t="s">
        <v>150</v>
      </c>
      <c r="K1480" s="5"/>
      <c r="L1480" s="4" t="s">
        <v>51</v>
      </c>
      <c r="M1480" s="8" t="s">
        <v>79</v>
      </c>
      <c r="N1480" s="9" t="s">
        <v>1955</v>
      </c>
      <c r="O1480" s="5"/>
      <c r="P1480" s="5"/>
      <c r="Q1480" s="6" t="s">
        <v>30</v>
      </c>
      <c r="R1480" s="4" t="s">
        <v>31</v>
      </c>
      <c r="S1480" s="7" t="s">
        <v>32</v>
      </c>
      <c r="T1480" s="5"/>
    </row>
    <row r="1481" customFormat="false" ht="15" hidden="false" customHeight="true" outlineLevel="0" collapsed="false">
      <c r="A1481" s="4" t="n">
        <v>1480</v>
      </c>
      <c r="B1481" s="6" t="s">
        <v>1787</v>
      </c>
      <c r="C1481" s="6" t="s">
        <v>5241</v>
      </c>
      <c r="D1481" s="6" t="s">
        <v>5242</v>
      </c>
      <c r="E1481" s="7" t="s">
        <v>21</v>
      </c>
      <c r="F1481" s="6" t="s">
        <v>5426</v>
      </c>
      <c r="G1481" s="6" t="s">
        <v>5422</v>
      </c>
      <c r="H1481" s="6" t="s">
        <v>5423</v>
      </c>
      <c r="I1481" s="6" t="s">
        <v>5424</v>
      </c>
      <c r="J1481" s="6" t="s">
        <v>150</v>
      </c>
      <c r="K1481" s="5"/>
      <c r="L1481" s="4" t="s">
        <v>51</v>
      </c>
      <c r="M1481" s="8" t="s">
        <v>79</v>
      </c>
      <c r="N1481" s="9" t="s">
        <v>1955</v>
      </c>
      <c r="O1481" s="5"/>
      <c r="P1481" s="5"/>
      <c r="Q1481" s="6" t="s">
        <v>30</v>
      </c>
      <c r="R1481" s="4" t="s">
        <v>31</v>
      </c>
      <c r="S1481" s="7" t="s">
        <v>32</v>
      </c>
      <c r="T1481" s="5"/>
    </row>
    <row r="1482" customFormat="false" ht="15" hidden="false" customHeight="true" outlineLevel="0" collapsed="false">
      <c r="A1482" s="4" t="n">
        <v>1481</v>
      </c>
      <c r="B1482" s="6" t="s">
        <v>1787</v>
      </c>
      <c r="C1482" s="6" t="s">
        <v>5241</v>
      </c>
      <c r="D1482" s="6" t="s">
        <v>5242</v>
      </c>
      <c r="E1482" s="7" t="s">
        <v>21</v>
      </c>
      <c r="F1482" s="6" t="s">
        <v>5427</v>
      </c>
      <c r="G1482" s="6" t="s">
        <v>5422</v>
      </c>
      <c r="H1482" s="6" t="s">
        <v>5423</v>
      </c>
      <c r="I1482" s="6" t="s">
        <v>5424</v>
      </c>
      <c r="J1482" s="6" t="s">
        <v>150</v>
      </c>
      <c r="K1482" s="5"/>
      <c r="L1482" s="4" t="s">
        <v>51</v>
      </c>
      <c r="M1482" s="8" t="s">
        <v>79</v>
      </c>
      <c r="N1482" s="9" t="s">
        <v>1955</v>
      </c>
      <c r="O1482" s="5"/>
      <c r="P1482" s="5"/>
      <c r="Q1482" s="6" t="s">
        <v>30</v>
      </c>
      <c r="R1482" s="4" t="s">
        <v>31</v>
      </c>
      <c r="S1482" s="7" t="s">
        <v>32</v>
      </c>
      <c r="T1482" s="5"/>
    </row>
    <row r="1483" customFormat="false" ht="29.25" hidden="false" customHeight="true" outlineLevel="0" collapsed="false">
      <c r="A1483" s="4" t="n">
        <v>1482</v>
      </c>
      <c r="B1483" s="6" t="s">
        <v>1787</v>
      </c>
      <c r="C1483" s="6" t="s">
        <v>5241</v>
      </c>
      <c r="D1483" s="6" t="s">
        <v>5242</v>
      </c>
      <c r="E1483" s="7" t="s">
        <v>21</v>
      </c>
      <c r="F1483" s="6" t="s">
        <v>5428</v>
      </c>
      <c r="G1483" s="6" t="s">
        <v>5429</v>
      </c>
      <c r="H1483" s="6" t="s">
        <v>5430</v>
      </c>
      <c r="I1483" s="6" t="s">
        <v>5381</v>
      </c>
      <c r="J1483" s="6" t="s">
        <v>5431</v>
      </c>
      <c r="K1483" s="5"/>
      <c r="L1483" s="4" t="s">
        <v>27</v>
      </c>
      <c r="M1483" s="8" t="s">
        <v>79</v>
      </c>
      <c r="N1483" s="9" t="s">
        <v>1955</v>
      </c>
      <c r="O1483" s="5"/>
      <c r="P1483" s="5"/>
      <c r="Q1483" s="6" t="s">
        <v>30</v>
      </c>
      <c r="R1483" s="4" t="s">
        <v>31</v>
      </c>
      <c r="S1483" s="7" t="s">
        <v>32</v>
      </c>
      <c r="T1483" s="5"/>
    </row>
    <row r="1484" customFormat="false" ht="15" hidden="false" customHeight="true" outlineLevel="0" collapsed="false">
      <c r="A1484" s="4" t="n">
        <v>1483</v>
      </c>
      <c r="B1484" s="6" t="s">
        <v>1787</v>
      </c>
      <c r="C1484" s="6" t="s">
        <v>5241</v>
      </c>
      <c r="D1484" s="6" t="s">
        <v>5242</v>
      </c>
      <c r="E1484" s="7" t="s">
        <v>21</v>
      </c>
      <c r="F1484" s="6" t="s">
        <v>5432</v>
      </c>
      <c r="G1484" s="6" t="s">
        <v>5433</v>
      </c>
      <c r="H1484" s="6" t="s">
        <v>5434</v>
      </c>
      <c r="I1484" s="6" t="s">
        <v>5435</v>
      </c>
      <c r="J1484" s="6" t="s">
        <v>535</v>
      </c>
      <c r="K1484" s="5"/>
      <c r="L1484" s="4" t="s">
        <v>44</v>
      </c>
      <c r="M1484" s="8" t="s">
        <v>129</v>
      </c>
      <c r="N1484" s="9" t="s">
        <v>1955</v>
      </c>
      <c r="O1484" s="5"/>
      <c r="P1484" s="5"/>
      <c r="Q1484" s="6" t="s">
        <v>30</v>
      </c>
      <c r="R1484" s="4" t="s">
        <v>31</v>
      </c>
      <c r="S1484" s="7" t="s">
        <v>32</v>
      </c>
      <c r="T1484" s="5"/>
    </row>
    <row r="1485" customFormat="false" ht="29.25" hidden="false" customHeight="true" outlineLevel="0" collapsed="false">
      <c r="A1485" s="4" t="n">
        <v>1484</v>
      </c>
      <c r="B1485" s="6" t="s">
        <v>1787</v>
      </c>
      <c r="C1485" s="6" t="s">
        <v>5241</v>
      </c>
      <c r="D1485" s="6" t="s">
        <v>5242</v>
      </c>
      <c r="E1485" s="7" t="s">
        <v>21</v>
      </c>
      <c r="F1485" s="6" t="s">
        <v>5436</v>
      </c>
      <c r="G1485" s="6" t="s">
        <v>5437</v>
      </c>
      <c r="H1485" s="6" t="s">
        <v>5438</v>
      </c>
      <c r="I1485" s="6" t="s">
        <v>5439</v>
      </c>
      <c r="J1485" s="6" t="s">
        <v>5440</v>
      </c>
      <c r="K1485" s="5"/>
      <c r="L1485" s="4" t="s">
        <v>51</v>
      </c>
      <c r="M1485" s="8" t="s">
        <v>79</v>
      </c>
      <c r="N1485" s="9" t="s">
        <v>1955</v>
      </c>
      <c r="O1485" s="5"/>
      <c r="P1485" s="5"/>
      <c r="Q1485" s="6" t="s">
        <v>30</v>
      </c>
      <c r="R1485" s="4" t="s">
        <v>31</v>
      </c>
      <c r="S1485" s="7" t="s">
        <v>32</v>
      </c>
      <c r="T1485" s="5"/>
    </row>
    <row r="1486" customFormat="false" ht="29.25" hidden="false" customHeight="true" outlineLevel="0" collapsed="false">
      <c r="A1486" s="4" t="n">
        <v>1485</v>
      </c>
      <c r="B1486" s="6" t="s">
        <v>1787</v>
      </c>
      <c r="C1486" s="6" t="s">
        <v>5241</v>
      </c>
      <c r="D1486" s="6" t="s">
        <v>5242</v>
      </c>
      <c r="E1486" s="7" t="s">
        <v>21</v>
      </c>
      <c r="F1486" s="6" t="s">
        <v>5441</v>
      </c>
      <c r="G1486" s="6" t="s">
        <v>5442</v>
      </c>
      <c r="H1486" s="6" t="s">
        <v>5443</v>
      </c>
      <c r="I1486" s="6" t="s">
        <v>5444</v>
      </c>
      <c r="J1486" s="6" t="s">
        <v>5445</v>
      </c>
      <c r="K1486" s="5"/>
      <c r="L1486" s="4" t="s">
        <v>62</v>
      </c>
      <c r="M1486" s="8" t="s">
        <v>79</v>
      </c>
      <c r="N1486" s="9" t="s">
        <v>1955</v>
      </c>
      <c r="O1486" s="5"/>
      <c r="P1486" s="5"/>
      <c r="Q1486" s="6" t="s">
        <v>30</v>
      </c>
      <c r="R1486" s="4" t="s">
        <v>31</v>
      </c>
      <c r="S1486" s="7" t="s">
        <v>32</v>
      </c>
      <c r="T1486" s="5"/>
    </row>
    <row r="1487" customFormat="false" ht="15" hidden="false" customHeight="true" outlineLevel="0" collapsed="false">
      <c r="A1487" s="4" t="n">
        <v>1486</v>
      </c>
      <c r="B1487" s="6" t="s">
        <v>1787</v>
      </c>
      <c r="C1487" s="6" t="s">
        <v>5241</v>
      </c>
      <c r="D1487" s="6" t="s">
        <v>5242</v>
      </c>
      <c r="E1487" s="7" t="s">
        <v>21</v>
      </c>
      <c r="F1487" s="6" t="s">
        <v>5446</v>
      </c>
      <c r="G1487" s="6" t="s">
        <v>5447</v>
      </c>
      <c r="H1487" s="6" t="s">
        <v>5442</v>
      </c>
      <c r="I1487" s="6" t="s">
        <v>5448</v>
      </c>
      <c r="J1487" s="6" t="s">
        <v>5449</v>
      </c>
      <c r="K1487" s="5"/>
      <c r="L1487" s="4" t="s">
        <v>44</v>
      </c>
      <c r="M1487" s="8" t="s">
        <v>79</v>
      </c>
      <c r="N1487" s="9" t="s">
        <v>1955</v>
      </c>
      <c r="O1487" s="5"/>
      <c r="P1487" s="5"/>
      <c r="Q1487" s="6" t="s">
        <v>30</v>
      </c>
      <c r="R1487" s="4" t="s">
        <v>31</v>
      </c>
      <c r="S1487" s="7" t="s">
        <v>32</v>
      </c>
      <c r="T1487" s="5"/>
    </row>
    <row r="1488" customFormat="false" ht="15" hidden="false" customHeight="true" outlineLevel="0" collapsed="false">
      <c r="A1488" s="4" t="n">
        <v>1487</v>
      </c>
      <c r="B1488" s="6" t="s">
        <v>1787</v>
      </c>
      <c r="C1488" s="6" t="s">
        <v>5241</v>
      </c>
      <c r="D1488" s="6" t="s">
        <v>5242</v>
      </c>
      <c r="E1488" s="7" t="s">
        <v>21</v>
      </c>
      <c r="F1488" s="6" t="s">
        <v>5450</v>
      </c>
      <c r="G1488" s="6" t="s">
        <v>5451</v>
      </c>
      <c r="H1488" s="6" t="s">
        <v>5452</v>
      </c>
      <c r="I1488" s="6" t="s">
        <v>5444</v>
      </c>
      <c r="J1488" s="6" t="s">
        <v>5453</v>
      </c>
      <c r="K1488" s="5"/>
      <c r="L1488" s="4" t="s">
        <v>27</v>
      </c>
      <c r="M1488" s="8" t="s">
        <v>129</v>
      </c>
      <c r="N1488" s="9" t="s">
        <v>1955</v>
      </c>
      <c r="O1488" s="5"/>
      <c r="P1488" s="5"/>
      <c r="Q1488" s="6" t="s">
        <v>30</v>
      </c>
      <c r="R1488" s="4" t="s">
        <v>31</v>
      </c>
      <c r="S1488" s="7" t="s">
        <v>32</v>
      </c>
      <c r="T1488" s="5"/>
    </row>
    <row r="1489" customFormat="false" ht="15" hidden="false" customHeight="true" outlineLevel="0" collapsed="false">
      <c r="A1489" s="4" t="n">
        <v>1488</v>
      </c>
      <c r="B1489" s="6" t="s">
        <v>1787</v>
      </c>
      <c r="C1489" s="6" t="s">
        <v>5241</v>
      </c>
      <c r="D1489" s="6" t="s">
        <v>5242</v>
      </c>
      <c r="E1489" s="7" t="s">
        <v>21</v>
      </c>
      <c r="F1489" s="6" t="s">
        <v>5454</v>
      </c>
      <c r="G1489" s="6" t="s">
        <v>5455</v>
      </c>
      <c r="H1489" s="6" t="s">
        <v>5456</v>
      </c>
      <c r="I1489" s="6" t="s">
        <v>2215</v>
      </c>
      <c r="J1489" s="6" t="s">
        <v>5457</v>
      </c>
      <c r="K1489" s="5"/>
      <c r="L1489" s="4" t="s">
        <v>62</v>
      </c>
      <c r="M1489" s="8" t="s">
        <v>129</v>
      </c>
      <c r="N1489" s="9" t="s">
        <v>1955</v>
      </c>
      <c r="O1489" s="5"/>
      <c r="P1489" s="5"/>
      <c r="Q1489" s="6" t="s">
        <v>30</v>
      </c>
      <c r="R1489" s="4" t="s">
        <v>31</v>
      </c>
      <c r="S1489" s="7" t="s">
        <v>32</v>
      </c>
      <c r="T1489" s="5"/>
    </row>
    <row r="1490" customFormat="false" ht="29.25" hidden="false" customHeight="true" outlineLevel="0" collapsed="false">
      <c r="A1490" s="4" t="n">
        <v>1489</v>
      </c>
      <c r="B1490" s="6" t="s">
        <v>1787</v>
      </c>
      <c r="C1490" s="6" t="s">
        <v>5241</v>
      </c>
      <c r="D1490" s="6" t="s">
        <v>5242</v>
      </c>
      <c r="E1490" s="7" t="s">
        <v>21</v>
      </c>
      <c r="F1490" s="6" t="s">
        <v>5458</v>
      </c>
      <c r="G1490" s="6" t="s">
        <v>4972</v>
      </c>
      <c r="H1490" s="6" t="s">
        <v>5459</v>
      </c>
      <c r="I1490" s="6" t="s">
        <v>5460</v>
      </c>
      <c r="J1490" s="6" t="s">
        <v>5461</v>
      </c>
      <c r="K1490" s="5"/>
      <c r="L1490" s="4" t="s">
        <v>51</v>
      </c>
      <c r="M1490" s="8" t="s">
        <v>79</v>
      </c>
      <c r="N1490" s="9" t="s">
        <v>5325</v>
      </c>
      <c r="O1490" s="5"/>
      <c r="P1490" s="5"/>
      <c r="Q1490" s="6" t="s">
        <v>30</v>
      </c>
      <c r="R1490" s="4" t="s">
        <v>31</v>
      </c>
      <c r="S1490" s="7" t="s">
        <v>32</v>
      </c>
      <c r="T1490" s="5"/>
    </row>
    <row r="1491" customFormat="false" ht="29.25" hidden="false" customHeight="true" outlineLevel="0" collapsed="false">
      <c r="A1491" s="4" t="n">
        <v>1490</v>
      </c>
      <c r="B1491" s="6" t="s">
        <v>1787</v>
      </c>
      <c r="C1491" s="6" t="s">
        <v>5241</v>
      </c>
      <c r="D1491" s="6" t="s">
        <v>5242</v>
      </c>
      <c r="E1491" s="7" t="s">
        <v>21</v>
      </c>
      <c r="F1491" s="6" t="s">
        <v>5462</v>
      </c>
      <c r="G1491" s="6" t="s">
        <v>5463</v>
      </c>
      <c r="H1491" s="6" t="s">
        <v>5464</v>
      </c>
      <c r="I1491" s="6" t="s">
        <v>5465</v>
      </c>
      <c r="J1491" s="6" t="s">
        <v>5466</v>
      </c>
      <c r="K1491" s="5"/>
      <c r="L1491" s="4" t="s">
        <v>27</v>
      </c>
      <c r="M1491" s="8" t="s">
        <v>79</v>
      </c>
      <c r="N1491" s="9" t="s">
        <v>5325</v>
      </c>
      <c r="O1491" s="5"/>
      <c r="P1491" s="5"/>
      <c r="Q1491" s="6" t="s">
        <v>30</v>
      </c>
      <c r="R1491" s="4" t="s">
        <v>31</v>
      </c>
      <c r="S1491" s="7" t="s">
        <v>32</v>
      </c>
      <c r="T1491" s="5"/>
    </row>
    <row r="1492" customFormat="false" ht="29.25" hidden="false" customHeight="true" outlineLevel="0" collapsed="false">
      <c r="A1492" s="4" t="n">
        <v>1491</v>
      </c>
      <c r="B1492" s="6" t="s">
        <v>1787</v>
      </c>
      <c r="C1492" s="6" t="s">
        <v>5241</v>
      </c>
      <c r="D1492" s="6" t="s">
        <v>5242</v>
      </c>
      <c r="E1492" s="7" t="s">
        <v>21</v>
      </c>
      <c r="F1492" s="6" t="s">
        <v>5467</v>
      </c>
      <c r="G1492" s="6" t="s">
        <v>5468</v>
      </c>
      <c r="H1492" s="6" t="s">
        <v>5469</v>
      </c>
      <c r="I1492" s="6" t="s">
        <v>5346</v>
      </c>
      <c r="J1492" s="6" t="s">
        <v>5470</v>
      </c>
      <c r="K1492" s="5"/>
      <c r="L1492" s="4" t="s">
        <v>44</v>
      </c>
      <c r="M1492" s="8" t="s">
        <v>79</v>
      </c>
      <c r="N1492" s="9" t="s">
        <v>5325</v>
      </c>
      <c r="O1492" s="5"/>
      <c r="P1492" s="5"/>
      <c r="Q1492" s="6" t="s">
        <v>30</v>
      </c>
      <c r="R1492" s="4" t="s">
        <v>31</v>
      </c>
      <c r="S1492" s="7" t="s">
        <v>32</v>
      </c>
      <c r="T1492" s="5"/>
    </row>
    <row r="1493" customFormat="false" ht="29.25" hidden="false" customHeight="true" outlineLevel="0" collapsed="false">
      <c r="A1493" s="4" t="n">
        <v>1492</v>
      </c>
      <c r="B1493" s="6" t="s">
        <v>1787</v>
      </c>
      <c r="C1493" s="6" t="s">
        <v>5241</v>
      </c>
      <c r="D1493" s="6" t="s">
        <v>5242</v>
      </c>
      <c r="E1493" s="7" t="s">
        <v>21</v>
      </c>
      <c r="F1493" s="6" t="s">
        <v>5471</v>
      </c>
      <c r="G1493" s="5" t="s">
        <v>5472</v>
      </c>
      <c r="H1493" s="5" t="s">
        <v>5473</v>
      </c>
      <c r="I1493" s="5" t="s">
        <v>5474</v>
      </c>
      <c r="J1493" s="5" t="s">
        <v>5475</v>
      </c>
      <c r="K1493" s="5"/>
      <c r="L1493" s="4" t="s">
        <v>27</v>
      </c>
      <c r="M1493" s="8" t="s">
        <v>79</v>
      </c>
      <c r="N1493" s="9" t="s">
        <v>5376</v>
      </c>
      <c r="O1493" s="5"/>
      <c r="P1493" s="5"/>
      <c r="Q1493" s="6" t="s">
        <v>30</v>
      </c>
      <c r="R1493" s="4" t="s">
        <v>31</v>
      </c>
      <c r="S1493" s="7" t="s">
        <v>32</v>
      </c>
      <c r="T1493" s="5"/>
    </row>
    <row r="1494" customFormat="false" ht="15" hidden="false" customHeight="true" outlineLevel="0" collapsed="false">
      <c r="A1494" s="4" t="n">
        <v>1493</v>
      </c>
      <c r="B1494" s="6" t="s">
        <v>1787</v>
      </c>
      <c r="C1494" s="6" t="s">
        <v>5241</v>
      </c>
      <c r="D1494" s="6" t="s">
        <v>5242</v>
      </c>
      <c r="E1494" s="7" t="s">
        <v>21</v>
      </c>
      <c r="F1494" s="6" t="s">
        <v>5476</v>
      </c>
      <c r="G1494" s="6" t="s">
        <v>5477</v>
      </c>
      <c r="H1494" s="6" t="s">
        <v>5478</v>
      </c>
      <c r="I1494" s="6" t="s">
        <v>5479</v>
      </c>
      <c r="J1494" s="6" t="s">
        <v>5480</v>
      </c>
      <c r="K1494" s="5"/>
      <c r="L1494" s="4" t="s">
        <v>62</v>
      </c>
      <c r="M1494" s="8" t="s">
        <v>79</v>
      </c>
      <c r="N1494" s="9" t="s">
        <v>1955</v>
      </c>
      <c r="O1494" s="5"/>
      <c r="P1494" s="5"/>
      <c r="Q1494" s="6" t="s">
        <v>30</v>
      </c>
      <c r="R1494" s="4" t="s">
        <v>31</v>
      </c>
      <c r="S1494" s="7" t="s">
        <v>32</v>
      </c>
      <c r="T1494" s="5"/>
    </row>
    <row r="1495" customFormat="false" ht="29.25" hidden="false" customHeight="true" outlineLevel="0" collapsed="false">
      <c r="A1495" s="4" t="n">
        <v>1494</v>
      </c>
      <c r="B1495" s="6" t="s">
        <v>1787</v>
      </c>
      <c r="C1495" s="6" t="s">
        <v>5241</v>
      </c>
      <c r="D1495" s="6" t="s">
        <v>5242</v>
      </c>
      <c r="E1495" s="7" t="s">
        <v>21</v>
      </c>
      <c r="F1495" s="6" t="s">
        <v>5476</v>
      </c>
      <c r="G1495" s="6" t="s">
        <v>5481</v>
      </c>
      <c r="H1495" s="6" t="s">
        <v>5482</v>
      </c>
      <c r="I1495" s="6" t="s">
        <v>5479</v>
      </c>
      <c r="J1495" s="6" t="s">
        <v>5483</v>
      </c>
      <c r="K1495" s="5"/>
      <c r="L1495" s="4" t="s">
        <v>44</v>
      </c>
      <c r="M1495" s="8" t="s">
        <v>79</v>
      </c>
      <c r="N1495" s="9" t="s">
        <v>1955</v>
      </c>
      <c r="O1495" s="5"/>
      <c r="P1495" s="5"/>
      <c r="Q1495" s="6" t="s">
        <v>30</v>
      </c>
      <c r="R1495" s="4" t="s">
        <v>31</v>
      </c>
      <c r="S1495" s="7" t="s">
        <v>32</v>
      </c>
      <c r="T1495" s="5"/>
    </row>
    <row r="1496" customFormat="false" ht="15" hidden="false" customHeight="true" outlineLevel="0" collapsed="false">
      <c r="A1496" s="4" t="n">
        <v>1495</v>
      </c>
      <c r="B1496" s="6" t="s">
        <v>1787</v>
      </c>
      <c r="C1496" s="6" t="s">
        <v>5241</v>
      </c>
      <c r="D1496" s="6" t="s">
        <v>5242</v>
      </c>
      <c r="E1496" s="7" t="s">
        <v>21</v>
      </c>
      <c r="F1496" s="6" t="s">
        <v>5484</v>
      </c>
      <c r="G1496" s="6" t="s">
        <v>5485</v>
      </c>
      <c r="H1496" s="6" t="s">
        <v>5486</v>
      </c>
      <c r="I1496" s="6" t="s">
        <v>5487</v>
      </c>
      <c r="J1496" s="6" t="s">
        <v>5488</v>
      </c>
      <c r="K1496" s="5"/>
      <c r="L1496" s="4" t="s">
        <v>51</v>
      </c>
      <c r="M1496" s="8" t="s">
        <v>129</v>
      </c>
      <c r="N1496" s="9" t="s">
        <v>1955</v>
      </c>
      <c r="O1496" s="5"/>
      <c r="P1496" s="5"/>
      <c r="Q1496" s="6" t="s">
        <v>30</v>
      </c>
      <c r="R1496" s="4" t="s">
        <v>31</v>
      </c>
      <c r="S1496" s="7" t="s">
        <v>32</v>
      </c>
      <c r="T1496" s="5"/>
    </row>
    <row r="1497" customFormat="false" ht="29.25" hidden="false" customHeight="true" outlineLevel="0" collapsed="false">
      <c r="A1497" s="4" t="n">
        <v>1496</v>
      </c>
      <c r="B1497" s="6" t="s">
        <v>1787</v>
      </c>
      <c r="C1497" s="6" t="s">
        <v>5241</v>
      </c>
      <c r="D1497" s="6" t="s">
        <v>5242</v>
      </c>
      <c r="E1497" s="7" t="s">
        <v>21</v>
      </c>
      <c r="F1497" s="6" t="s">
        <v>5489</v>
      </c>
      <c r="G1497" s="6" t="s">
        <v>5490</v>
      </c>
      <c r="H1497" s="6" t="s">
        <v>5491</v>
      </c>
      <c r="I1497" s="6" t="s">
        <v>5483</v>
      </c>
      <c r="J1497" s="6" t="s">
        <v>5492</v>
      </c>
      <c r="K1497" s="5"/>
      <c r="L1497" s="4" t="s">
        <v>27</v>
      </c>
      <c r="M1497" s="8" t="s">
        <v>79</v>
      </c>
      <c r="N1497" s="9" t="s">
        <v>1955</v>
      </c>
      <c r="O1497" s="5"/>
      <c r="P1497" s="5"/>
      <c r="Q1497" s="6" t="s">
        <v>30</v>
      </c>
      <c r="R1497" s="4" t="s">
        <v>31</v>
      </c>
      <c r="S1497" s="7" t="s">
        <v>32</v>
      </c>
      <c r="T1497" s="5"/>
    </row>
    <row r="1498" customFormat="false" ht="29.25" hidden="false" customHeight="true" outlineLevel="0" collapsed="false">
      <c r="A1498" s="4" t="n">
        <v>1497</v>
      </c>
      <c r="B1498" s="6" t="s">
        <v>1787</v>
      </c>
      <c r="C1498" s="6" t="s">
        <v>5241</v>
      </c>
      <c r="D1498" s="6" t="s">
        <v>5242</v>
      </c>
      <c r="E1498" s="7" t="s">
        <v>21</v>
      </c>
      <c r="F1498" s="6" t="s">
        <v>5493</v>
      </c>
      <c r="G1498" s="6" t="s">
        <v>2167</v>
      </c>
      <c r="H1498" s="6" t="s">
        <v>2340</v>
      </c>
      <c r="I1498" s="6" t="s">
        <v>2339</v>
      </c>
      <c r="J1498" s="6" t="s">
        <v>2338</v>
      </c>
      <c r="K1498" s="5"/>
      <c r="L1498" s="4" t="s">
        <v>44</v>
      </c>
      <c r="M1498" s="8" t="s">
        <v>129</v>
      </c>
      <c r="N1498" s="9" t="s">
        <v>1955</v>
      </c>
      <c r="O1498" s="5"/>
      <c r="P1498" s="5"/>
      <c r="Q1498" s="6" t="s">
        <v>30</v>
      </c>
      <c r="R1498" s="4" t="s">
        <v>31</v>
      </c>
      <c r="S1498" s="7" t="s">
        <v>32</v>
      </c>
      <c r="T1498" s="5"/>
    </row>
    <row r="1499" customFormat="false" ht="29.25" hidden="false" customHeight="true" outlineLevel="0" collapsed="false">
      <c r="A1499" s="4" t="n">
        <v>1498</v>
      </c>
      <c r="B1499" s="6" t="s">
        <v>1787</v>
      </c>
      <c r="C1499" s="6" t="s">
        <v>5241</v>
      </c>
      <c r="D1499" s="6" t="s">
        <v>5242</v>
      </c>
      <c r="E1499" s="7" t="s">
        <v>21</v>
      </c>
      <c r="F1499" s="6" t="s">
        <v>5494</v>
      </c>
      <c r="G1499" s="6" t="s">
        <v>3148</v>
      </c>
      <c r="H1499" s="6" t="s">
        <v>5495</v>
      </c>
      <c r="I1499" s="6" t="s">
        <v>5496</v>
      </c>
      <c r="J1499" s="6" t="s">
        <v>5497</v>
      </c>
      <c r="K1499" s="5"/>
      <c r="L1499" s="4" t="s">
        <v>51</v>
      </c>
      <c r="M1499" s="8" t="s">
        <v>79</v>
      </c>
      <c r="N1499" s="9" t="s">
        <v>1955</v>
      </c>
      <c r="O1499" s="5"/>
      <c r="P1499" s="5"/>
      <c r="Q1499" s="6" t="s">
        <v>30</v>
      </c>
      <c r="R1499" s="4" t="s">
        <v>31</v>
      </c>
      <c r="S1499" s="7" t="s">
        <v>32</v>
      </c>
      <c r="T1499" s="5"/>
    </row>
    <row r="1500" customFormat="false" ht="29.25" hidden="false" customHeight="true" outlineLevel="0" collapsed="false">
      <c r="A1500" s="4" t="n">
        <v>1499</v>
      </c>
      <c r="B1500" s="6" t="s">
        <v>1787</v>
      </c>
      <c r="C1500" s="6" t="s">
        <v>5241</v>
      </c>
      <c r="D1500" s="6" t="s">
        <v>5242</v>
      </c>
      <c r="E1500" s="7" t="s">
        <v>21</v>
      </c>
      <c r="F1500" s="6" t="s">
        <v>5498</v>
      </c>
      <c r="G1500" s="6" t="s">
        <v>535</v>
      </c>
      <c r="H1500" s="6" t="s">
        <v>536</v>
      </c>
      <c r="I1500" s="6" t="s">
        <v>5499</v>
      </c>
      <c r="J1500" s="6" t="s">
        <v>5500</v>
      </c>
      <c r="K1500" s="5"/>
      <c r="L1500" s="4" t="s">
        <v>27</v>
      </c>
      <c r="M1500" s="8" t="s">
        <v>79</v>
      </c>
      <c r="N1500" s="9" t="s">
        <v>1955</v>
      </c>
      <c r="O1500" s="5"/>
      <c r="P1500" s="5"/>
      <c r="Q1500" s="6" t="s">
        <v>30</v>
      </c>
      <c r="R1500" s="4" t="s">
        <v>31</v>
      </c>
      <c r="S1500" s="7" t="s">
        <v>32</v>
      </c>
      <c r="T1500" s="5"/>
    </row>
    <row r="1501" customFormat="false" ht="29.25" hidden="false" customHeight="true" outlineLevel="0" collapsed="false">
      <c r="A1501" s="4" t="n">
        <v>1500</v>
      </c>
      <c r="B1501" s="6" t="s">
        <v>1787</v>
      </c>
      <c r="C1501" s="6" t="s">
        <v>5241</v>
      </c>
      <c r="D1501" s="6" t="s">
        <v>5242</v>
      </c>
      <c r="E1501" s="7" t="s">
        <v>21</v>
      </c>
      <c r="F1501" s="6" t="s">
        <v>5501</v>
      </c>
      <c r="G1501" s="5" t="s">
        <v>5502</v>
      </c>
      <c r="H1501" s="5" t="s">
        <v>5503</v>
      </c>
      <c r="I1501" s="5" t="s">
        <v>5504</v>
      </c>
      <c r="J1501" s="5" t="s">
        <v>5505</v>
      </c>
      <c r="K1501" s="5"/>
      <c r="L1501" s="4" t="s">
        <v>62</v>
      </c>
      <c r="M1501" s="8" t="s">
        <v>79</v>
      </c>
      <c r="N1501" s="9" t="s">
        <v>1955</v>
      </c>
      <c r="O1501" s="5"/>
      <c r="P1501" s="5"/>
      <c r="Q1501" s="6" t="s">
        <v>30</v>
      </c>
      <c r="R1501" s="4" t="s">
        <v>31</v>
      </c>
      <c r="S1501" s="7" t="s">
        <v>32</v>
      </c>
      <c r="T1501" s="5"/>
    </row>
    <row r="1502" customFormat="false" ht="29.25" hidden="false" customHeight="true" outlineLevel="0" collapsed="false">
      <c r="A1502" s="4" t="n">
        <v>1501</v>
      </c>
      <c r="B1502" s="6" t="s">
        <v>1787</v>
      </c>
      <c r="C1502" s="6" t="s">
        <v>5241</v>
      </c>
      <c r="D1502" s="6" t="s">
        <v>5242</v>
      </c>
      <c r="E1502" s="7" t="s">
        <v>21</v>
      </c>
      <c r="F1502" s="6" t="s">
        <v>5506</v>
      </c>
      <c r="G1502" s="5" t="s">
        <v>5502</v>
      </c>
      <c r="H1502" s="5" t="s">
        <v>5503</v>
      </c>
      <c r="I1502" s="5" t="s">
        <v>5504</v>
      </c>
      <c r="J1502" s="5" t="s">
        <v>5505</v>
      </c>
      <c r="K1502" s="5"/>
      <c r="L1502" s="4" t="s">
        <v>62</v>
      </c>
      <c r="M1502" s="8" t="s">
        <v>79</v>
      </c>
      <c r="N1502" s="9" t="s">
        <v>1955</v>
      </c>
      <c r="O1502" s="5"/>
      <c r="P1502" s="5"/>
      <c r="Q1502" s="6" t="s">
        <v>30</v>
      </c>
      <c r="R1502" s="4" t="s">
        <v>31</v>
      </c>
      <c r="S1502" s="7" t="s">
        <v>32</v>
      </c>
      <c r="T1502" s="5"/>
    </row>
    <row r="1503" customFormat="false" ht="29.25" hidden="false" customHeight="true" outlineLevel="0" collapsed="false">
      <c r="A1503" s="4" t="n">
        <v>1502</v>
      </c>
      <c r="B1503" s="6" t="s">
        <v>1787</v>
      </c>
      <c r="C1503" s="6" t="s">
        <v>5241</v>
      </c>
      <c r="D1503" s="6" t="s">
        <v>5242</v>
      </c>
      <c r="E1503" s="7" t="s">
        <v>21</v>
      </c>
      <c r="F1503" s="6" t="s">
        <v>5507</v>
      </c>
      <c r="G1503" s="6" t="s">
        <v>5508</v>
      </c>
      <c r="H1503" s="6" t="s">
        <v>5509</v>
      </c>
      <c r="I1503" s="6" t="s">
        <v>5510</v>
      </c>
      <c r="J1503" s="6" t="s">
        <v>5511</v>
      </c>
      <c r="K1503" s="5"/>
      <c r="L1503" s="4" t="s">
        <v>44</v>
      </c>
      <c r="M1503" s="8" t="s">
        <v>79</v>
      </c>
      <c r="N1503" s="9" t="s">
        <v>5325</v>
      </c>
      <c r="O1503" s="5"/>
      <c r="P1503" s="5"/>
      <c r="Q1503" s="6" t="s">
        <v>30</v>
      </c>
      <c r="R1503" s="4" t="s">
        <v>31</v>
      </c>
      <c r="S1503" s="7" t="s">
        <v>32</v>
      </c>
      <c r="T1503" s="5"/>
    </row>
    <row r="1504" customFormat="false" ht="29.25" hidden="false" customHeight="true" outlineLevel="0" collapsed="false">
      <c r="A1504" s="4" t="n">
        <v>1503</v>
      </c>
      <c r="B1504" s="6" t="s">
        <v>1787</v>
      </c>
      <c r="C1504" s="6" t="s">
        <v>5241</v>
      </c>
      <c r="D1504" s="6" t="s">
        <v>5242</v>
      </c>
      <c r="E1504" s="7" t="s">
        <v>21</v>
      </c>
      <c r="F1504" s="6" t="s">
        <v>5512</v>
      </c>
      <c r="G1504" s="6" t="s">
        <v>5513</v>
      </c>
      <c r="H1504" s="6" t="s">
        <v>5514</v>
      </c>
      <c r="I1504" s="6" t="s">
        <v>5515</v>
      </c>
      <c r="J1504" s="6" t="s">
        <v>5516</v>
      </c>
      <c r="K1504" s="5"/>
      <c r="L1504" s="4" t="s">
        <v>27</v>
      </c>
      <c r="M1504" s="8" t="s">
        <v>28</v>
      </c>
      <c r="N1504" s="9" t="s">
        <v>1955</v>
      </c>
      <c r="O1504" s="5"/>
      <c r="P1504" s="5"/>
      <c r="Q1504" s="6" t="s">
        <v>30</v>
      </c>
      <c r="R1504" s="4" t="s">
        <v>31</v>
      </c>
      <c r="S1504" s="7" t="s">
        <v>32</v>
      </c>
      <c r="T1504" s="5"/>
    </row>
    <row r="1505" customFormat="false" ht="29.25" hidden="false" customHeight="true" outlineLevel="0" collapsed="false">
      <c r="A1505" s="4" t="n">
        <v>1504</v>
      </c>
      <c r="B1505" s="6" t="s">
        <v>1787</v>
      </c>
      <c r="C1505" s="6" t="s">
        <v>5241</v>
      </c>
      <c r="D1505" s="6" t="s">
        <v>5242</v>
      </c>
      <c r="E1505" s="7" t="s">
        <v>21</v>
      </c>
      <c r="F1505" s="6" t="s">
        <v>5517</v>
      </c>
      <c r="G1505" s="6" t="s">
        <v>5518</v>
      </c>
      <c r="H1505" s="6" t="s">
        <v>5519</v>
      </c>
      <c r="I1505" s="6" t="s">
        <v>5520</v>
      </c>
      <c r="J1505" s="6" t="s">
        <v>5521</v>
      </c>
      <c r="K1505" s="5"/>
      <c r="L1505" s="4" t="s">
        <v>51</v>
      </c>
      <c r="M1505" s="8" t="s">
        <v>79</v>
      </c>
      <c r="N1505" s="9" t="s">
        <v>5325</v>
      </c>
      <c r="O1505" s="5"/>
      <c r="P1505" s="5"/>
      <c r="Q1505" s="6" t="s">
        <v>30</v>
      </c>
      <c r="R1505" s="4" t="s">
        <v>31</v>
      </c>
      <c r="S1505" s="7" t="s">
        <v>32</v>
      </c>
      <c r="T1505" s="5"/>
    </row>
    <row r="1506" customFormat="false" ht="29.25" hidden="false" customHeight="true" outlineLevel="0" collapsed="false">
      <c r="A1506" s="4" t="n">
        <v>1505</v>
      </c>
      <c r="B1506" s="6" t="s">
        <v>1787</v>
      </c>
      <c r="C1506" s="6" t="s">
        <v>5241</v>
      </c>
      <c r="D1506" s="6" t="s">
        <v>5242</v>
      </c>
      <c r="E1506" s="7" t="s">
        <v>21</v>
      </c>
      <c r="F1506" s="6" t="s">
        <v>5522</v>
      </c>
      <c r="G1506" s="6" t="s">
        <v>5523</v>
      </c>
      <c r="H1506" s="6" t="s">
        <v>5524</v>
      </c>
      <c r="I1506" s="6" t="s">
        <v>5520</v>
      </c>
      <c r="J1506" s="6" t="s">
        <v>5521</v>
      </c>
      <c r="K1506" s="5"/>
      <c r="L1506" s="4" t="s">
        <v>44</v>
      </c>
      <c r="M1506" s="8" t="s">
        <v>79</v>
      </c>
      <c r="N1506" s="9" t="s">
        <v>1955</v>
      </c>
      <c r="O1506" s="5"/>
      <c r="P1506" s="5"/>
      <c r="Q1506" s="6" t="s">
        <v>30</v>
      </c>
      <c r="R1506" s="4" t="s">
        <v>31</v>
      </c>
      <c r="S1506" s="7" t="s">
        <v>32</v>
      </c>
      <c r="T1506" s="5"/>
    </row>
    <row r="1507" customFormat="false" ht="29.25" hidden="false" customHeight="true" outlineLevel="0" collapsed="false">
      <c r="A1507" s="4" t="n">
        <v>1506</v>
      </c>
      <c r="B1507" s="6" t="s">
        <v>1787</v>
      </c>
      <c r="C1507" s="6" t="s">
        <v>5241</v>
      </c>
      <c r="D1507" s="6" t="s">
        <v>5242</v>
      </c>
      <c r="E1507" s="7" t="s">
        <v>21</v>
      </c>
      <c r="F1507" s="6" t="s">
        <v>5525</v>
      </c>
      <c r="G1507" s="6" t="s">
        <v>5526</v>
      </c>
      <c r="H1507" s="6" t="s">
        <v>5527</v>
      </c>
      <c r="I1507" s="6" t="s">
        <v>5528</v>
      </c>
      <c r="J1507" s="6" t="s">
        <v>5529</v>
      </c>
      <c r="K1507" s="5"/>
      <c r="L1507" s="4" t="s">
        <v>27</v>
      </c>
      <c r="M1507" s="8" t="s">
        <v>79</v>
      </c>
      <c r="N1507" s="9" t="s">
        <v>1955</v>
      </c>
      <c r="O1507" s="5"/>
      <c r="P1507" s="5"/>
      <c r="Q1507" s="6" t="s">
        <v>30</v>
      </c>
      <c r="R1507" s="4" t="s">
        <v>31</v>
      </c>
      <c r="S1507" s="7" t="s">
        <v>32</v>
      </c>
      <c r="T1507" s="5"/>
    </row>
    <row r="1508" customFormat="false" ht="15" hidden="false" customHeight="true" outlineLevel="0" collapsed="false">
      <c r="A1508" s="4" t="n">
        <v>1507</v>
      </c>
      <c r="B1508" s="6" t="s">
        <v>1787</v>
      </c>
      <c r="C1508" s="6" t="s">
        <v>5241</v>
      </c>
      <c r="D1508" s="6" t="s">
        <v>5242</v>
      </c>
      <c r="E1508" s="7" t="s">
        <v>21</v>
      </c>
      <c r="F1508" s="6" t="s">
        <v>5530</v>
      </c>
      <c r="G1508" s="5" t="s">
        <v>5531</v>
      </c>
      <c r="H1508" s="5" t="s">
        <v>5532</v>
      </c>
      <c r="I1508" s="5" t="s">
        <v>5533</v>
      </c>
      <c r="J1508" s="5" t="s">
        <v>5534</v>
      </c>
      <c r="K1508" s="5"/>
      <c r="L1508" s="4" t="s">
        <v>62</v>
      </c>
      <c r="M1508" s="8" t="s">
        <v>129</v>
      </c>
      <c r="N1508" s="9" t="s">
        <v>1955</v>
      </c>
      <c r="O1508" s="5"/>
      <c r="P1508" s="5"/>
      <c r="Q1508" s="6" t="s">
        <v>30</v>
      </c>
      <c r="R1508" s="4" t="s">
        <v>31</v>
      </c>
      <c r="S1508" s="7" t="s">
        <v>32</v>
      </c>
      <c r="T1508" s="5"/>
    </row>
    <row r="1509" customFormat="false" ht="15" hidden="false" customHeight="true" outlineLevel="0" collapsed="false">
      <c r="A1509" s="4" t="n">
        <v>1508</v>
      </c>
      <c r="B1509" s="6" t="s">
        <v>1787</v>
      </c>
      <c r="C1509" s="6" t="s">
        <v>5241</v>
      </c>
      <c r="D1509" s="6" t="s">
        <v>5242</v>
      </c>
      <c r="E1509" s="7" t="s">
        <v>21</v>
      </c>
      <c r="F1509" s="6" t="s">
        <v>5535</v>
      </c>
      <c r="G1509" s="6" t="s">
        <v>5433</v>
      </c>
      <c r="H1509" s="6" t="s">
        <v>5434</v>
      </c>
      <c r="I1509" s="6" t="s">
        <v>5536</v>
      </c>
      <c r="J1509" s="6" t="s">
        <v>535</v>
      </c>
      <c r="K1509" s="5"/>
      <c r="L1509" s="4" t="s">
        <v>44</v>
      </c>
      <c r="M1509" s="8" t="s">
        <v>79</v>
      </c>
      <c r="N1509" s="9" t="s">
        <v>1955</v>
      </c>
      <c r="O1509" s="5"/>
      <c r="P1509" s="5"/>
      <c r="Q1509" s="6" t="s">
        <v>30</v>
      </c>
      <c r="R1509" s="4" t="s">
        <v>31</v>
      </c>
      <c r="S1509" s="7" t="s">
        <v>32</v>
      </c>
      <c r="T1509" s="5"/>
    </row>
    <row r="1510" customFormat="false" ht="15" hidden="false" customHeight="true" outlineLevel="0" collapsed="false">
      <c r="A1510" s="4" t="n">
        <v>1509</v>
      </c>
      <c r="B1510" s="6" t="s">
        <v>1787</v>
      </c>
      <c r="C1510" s="6" t="s">
        <v>5241</v>
      </c>
      <c r="D1510" s="6" t="s">
        <v>5242</v>
      </c>
      <c r="E1510" s="7" t="s">
        <v>21</v>
      </c>
      <c r="F1510" s="6" t="s">
        <v>5537</v>
      </c>
      <c r="G1510" s="6" t="s">
        <v>5536</v>
      </c>
      <c r="H1510" s="6" t="s">
        <v>5433</v>
      </c>
      <c r="I1510" s="6" t="s">
        <v>5435</v>
      </c>
      <c r="J1510" s="6" t="s">
        <v>5500</v>
      </c>
      <c r="K1510" s="5"/>
      <c r="L1510" s="4" t="s">
        <v>62</v>
      </c>
      <c r="M1510" s="8" t="s">
        <v>129</v>
      </c>
      <c r="N1510" s="9" t="s">
        <v>1955</v>
      </c>
      <c r="O1510" s="5"/>
      <c r="P1510" s="5"/>
      <c r="Q1510" s="6" t="s">
        <v>30</v>
      </c>
      <c r="R1510" s="4" t="s">
        <v>31</v>
      </c>
      <c r="S1510" s="7" t="s">
        <v>32</v>
      </c>
      <c r="T1510" s="5"/>
    </row>
    <row r="1511" customFormat="false" ht="15" hidden="false" customHeight="true" outlineLevel="0" collapsed="false">
      <c r="A1511" s="4" t="n">
        <v>1510</v>
      </c>
      <c r="B1511" s="6" t="s">
        <v>1787</v>
      </c>
      <c r="C1511" s="6" t="s">
        <v>5241</v>
      </c>
      <c r="D1511" s="6" t="s">
        <v>5242</v>
      </c>
      <c r="E1511" s="7" t="s">
        <v>21</v>
      </c>
      <c r="F1511" s="6" t="s">
        <v>5538</v>
      </c>
      <c r="G1511" s="6" t="s">
        <v>5536</v>
      </c>
      <c r="H1511" s="6" t="s">
        <v>5435</v>
      </c>
      <c r="I1511" s="6" t="s">
        <v>5433</v>
      </c>
      <c r="J1511" s="6" t="s">
        <v>5500</v>
      </c>
      <c r="K1511" s="5"/>
      <c r="L1511" s="4" t="s">
        <v>27</v>
      </c>
      <c r="M1511" s="8" t="s">
        <v>129</v>
      </c>
      <c r="N1511" s="9" t="s">
        <v>1955</v>
      </c>
      <c r="O1511" s="5"/>
      <c r="P1511" s="5"/>
      <c r="Q1511" s="6" t="s">
        <v>30</v>
      </c>
      <c r="R1511" s="4" t="s">
        <v>31</v>
      </c>
      <c r="S1511" s="7" t="s">
        <v>32</v>
      </c>
      <c r="T1511" s="5"/>
    </row>
    <row r="1512" customFormat="false" ht="15" hidden="false" customHeight="true" outlineLevel="0" collapsed="false">
      <c r="A1512" s="4" t="n">
        <v>1511</v>
      </c>
      <c r="B1512" s="6" t="s">
        <v>1787</v>
      </c>
      <c r="C1512" s="6" t="s">
        <v>5241</v>
      </c>
      <c r="D1512" s="6" t="s">
        <v>5242</v>
      </c>
      <c r="E1512" s="7" t="s">
        <v>21</v>
      </c>
      <c r="F1512" s="6" t="s">
        <v>5539</v>
      </c>
      <c r="G1512" s="6" t="s">
        <v>5536</v>
      </c>
      <c r="H1512" s="6" t="s">
        <v>5433</v>
      </c>
      <c r="I1512" s="6" t="s">
        <v>5435</v>
      </c>
      <c r="J1512" s="6" t="s">
        <v>5500</v>
      </c>
      <c r="K1512" s="5"/>
      <c r="L1512" s="4" t="s">
        <v>62</v>
      </c>
      <c r="M1512" s="8" t="s">
        <v>129</v>
      </c>
      <c r="N1512" s="9" t="s">
        <v>1955</v>
      </c>
      <c r="O1512" s="5"/>
      <c r="P1512" s="5"/>
      <c r="Q1512" s="6" t="s">
        <v>30</v>
      </c>
      <c r="R1512" s="4" t="s">
        <v>31</v>
      </c>
      <c r="S1512" s="7" t="s">
        <v>32</v>
      </c>
      <c r="T1512" s="5"/>
    </row>
    <row r="1513" customFormat="false" ht="15" hidden="false" customHeight="true" outlineLevel="0" collapsed="false">
      <c r="A1513" s="4" t="n">
        <v>1512</v>
      </c>
      <c r="B1513" s="6" t="s">
        <v>1787</v>
      </c>
      <c r="C1513" s="6" t="s">
        <v>5241</v>
      </c>
      <c r="D1513" s="6" t="s">
        <v>5242</v>
      </c>
      <c r="E1513" s="7" t="s">
        <v>21</v>
      </c>
      <c r="F1513" s="6" t="s">
        <v>5540</v>
      </c>
      <c r="G1513" s="6" t="s">
        <v>5433</v>
      </c>
      <c r="H1513" s="6" t="s">
        <v>5536</v>
      </c>
      <c r="I1513" s="6" t="s">
        <v>5435</v>
      </c>
      <c r="J1513" s="6" t="s">
        <v>5500</v>
      </c>
      <c r="K1513" s="5"/>
      <c r="L1513" s="4" t="s">
        <v>51</v>
      </c>
      <c r="M1513" s="8" t="s">
        <v>129</v>
      </c>
      <c r="N1513" s="9" t="s">
        <v>1955</v>
      </c>
      <c r="O1513" s="5"/>
      <c r="P1513" s="5"/>
      <c r="Q1513" s="6" t="s">
        <v>30</v>
      </c>
      <c r="R1513" s="4" t="s">
        <v>31</v>
      </c>
      <c r="S1513" s="7" t="s">
        <v>32</v>
      </c>
      <c r="T1513" s="5"/>
    </row>
    <row r="1514" customFormat="false" ht="15" hidden="false" customHeight="true" outlineLevel="0" collapsed="false">
      <c r="A1514" s="4" t="n">
        <v>1513</v>
      </c>
      <c r="B1514" s="6" t="s">
        <v>1787</v>
      </c>
      <c r="C1514" s="6" t="s">
        <v>5241</v>
      </c>
      <c r="D1514" s="6" t="s">
        <v>5242</v>
      </c>
      <c r="E1514" s="7" t="s">
        <v>21</v>
      </c>
      <c r="F1514" s="6" t="s">
        <v>5541</v>
      </c>
      <c r="G1514" s="6" t="s">
        <v>5536</v>
      </c>
      <c r="H1514" s="6" t="s">
        <v>5435</v>
      </c>
      <c r="I1514" s="6" t="s">
        <v>5500</v>
      </c>
      <c r="J1514" s="6" t="s">
        <v>5433</v>
      </c>
      <c r="K1514" s="5"/>
      <c r="L1514" s="4" t="s">
        <v>44</v>
      </c>
      <c r="M1514" s="8" t="s">
        <v>129</v>
      </c>
      <c r="N1514" s="9" t="s">
        <v>1955</v>
      </c>
      <c r="O1514" s="5"/>
      <c r="P1514" s="5"/>
      <c r="Q1514" s="6" t="s">
        <v>30</v>
      </c>
      <c r="R1514" s="4" t="s">
        <v>31</v>
      </c>
      <c r="S1514" s="7" t="s">
        <v>32</v>
      </c>
      <c r="T1514" s="5"/>
    </row>
    <row r="1515" customFormat="false" ht="29.25" hidden="false" customHeight="true" outlineLevel="0" collapsed="false">
      <c r="A1515" s="4" t="n">
        <v>1514</v>
      </c>
      <c r="B1515" s="6" t="s">
        <v>1787</v>
      </c>
      <c r="C1515" s="6" t="s">
        <v>5241</v>
      </c>
      <c r="D1515" s="6" t="s">
        <v>5242</v>
      </c>
      <c r="E1515" s="7" t="s">
        <v>21</v>
      </c>
      <c r="F1515" s="6" t="s">
        <v>5542</v>
      </c>
      <c r="G1515" s="6" t="s">
        <v>5543</v>
      </c>
      <c r="H1515" s="6" t="s">
        <v>5544</v>
      </c>
      <c r="I1515" s="6" t="s">
        <v>5545</v>
      </c>
      <c r="J1515" s="6" t="s">
        <v>5546</v>
      </c>
      <c r="K1515" s="5"/>
      <c r="L1515" s="4" t="s">
        <v>27</v>
      </c>
      <c r="M1515" s="8" t="s">
        <v>129</v>
      </c>
      <c r="N1515" s="9" t="s">
        <v>1955</v>
      </c>
      <c r="O1515" s="5"/>
      <c r="P1515" s="5"/>
      <c r="Q1515" s="6" t="s">
        <v>30</v>
      </c>
      <c r="R1515" s="4" t="s">
        <v>31</v>
      </c>
      <c r="S1515" s="7" t="s">
        <v>32</v>
      </c>
      <c r="T1515" s="5"/>
    </row>
    <row r="1516" customFormat="false" ht="43.5" hidden="false" customHeight="true" outlineLevel="0" collapsed="false">
      <c r="A1516" s="4" t="n">
        <v>1515</v>
      </c>
      <c r="B1516" s="6" t="s">
        <v>1787</v>
      </c>
      <c r="C1516" s="6" t="s">
        <v>5241</v>
      </c>
      <c r="D1516" s="6" t="s">
        <v>5242</v>
      </c>
      <c r="E1516" s="7" t="s">
        <v>21</v>
      </c>
      <c r="F1516" s="6" t="s">
        <v>5547</v>
      </c>
      <c r="G1516" s="6" t="s">
        <v>5548</v>
      </c>
      <c r="H1516" s="6" t="s">
        <v>5549</v>
      </c>
      <c r="I1516" s="6" t="s">
        <v>5550</v>
      </c>
      <c r="J1516" s="6" t="s">
        <v>5551</v>
      </c>
      <c r="K1516" s="5"/>
      <c r="L1516" s="4" t="s">
        <v>62</v>
      </c>
      <c r="M1516" s="8" t="s">
        <v>28</v>
      </c>
      <c r="N1516" s="9" t="s">
        <v>1955</v>
      </c>
      <c r="O1516" s="5"/>
      <c r="P1516" s="5"/>
      <c r="Q1516" s="6" t="s">
        <v>30</v>
      </c>
      <c r="R1516" s="4" t="s">
        <v>31</v>
      </c>
      <c r="S1516" s="7" t="s">
        <v>32</v>
      </c>
      <c r="T1516" s="5"/>
    </row>
    <row r="1517" customFormat="false" ht="15" hidden="false" customHeight="true" outlineLevel="0" collapsed="false">
      <c r="A1517" s="4" t="n">
        <v>1516</v>
      </c>
      <c r="B1517" s="6" t="s">
        <v>1787</v>
      </c>
      <c r="C1517" s="6" t="s">
        <v>5241</v>
      </c>
      <c r="D1517" s="6" t="s">
        <v>5242</v>
      </c>
      <c r="E1517" s="7" t="s">
        <v>21</v>
      </c>
      <c r="F1517" s="6" t="s">
        <v>5552</v>
      </c>
      <c r="G1517" s="6" t="s">
        <v>5536</v>
      </c>
      <c r="H1517" s="6" t="s">
        <v>5433</v>
      </c>
      <c r="I1517" s="6" t="s">
        <v>5434</v>
      </c>
      <c r="J1517" s="6" t="s">
        <v>5435</v>
      </c>
      <c r="K1517" s="5"/>
      <c r="L1517" s="4" t="s">
        <v>44</v>
      </c>
      <c r="M1517" s="8" t="s">
        <v>129</v>
      </c>
      <c r="N1517" s="9" t="s">
        <v>1955</v>
      </c>
      <c r="O1517" s="5"/>
      <c r="P1517" s="5"/>
      <c r="Q1517" s="6" t="s">
        <v>30</v>
      </c>
      <c r="R1517" s="4" t="s">
        <v>31</v>
      </c>
      <c r="S1517" s="7" t="s">
        <v>32</v>
      </c>
      <c r="T1517" s="5"/>
    </row>
    <row r="1518" customFormat="false" ht="15" hidden="false" customHeight="true" outlineLevel="0" collapsed="false">
      <c r="A1518" s="4" t="n">
        <v>1517</v>
      </c>
      <c r="B1518" s="6" t="s">
        <v>1787</v>
      </c>
      <c r="C1518" s="6" t="s">
        <v>5241</v>
      </c>
      <c r="D1518" s="6" t="s">
        <v>5242</v>
      </c>
      <c r="E1518" s="7" t="s">
        <v>21</v>
      </c>
      <c r="F1518" s="6" t="s">
        <v>5553</v>
      </c>
      <c r="G1518" s="6" t="s">
        <v>5554</v>
      </c>
      <c r="H1518" s="6" t="s">
        <v>5435</v>
      </c>
      <c r="I1518" s="6" t="s">
        <v>5555</v>
      </c>
      <c r="J1518" s="6" t="s">
        <v>5556</v>
      </c>
      <c r="K1518" s="5"/>
      <c r="L1518" s="4" t="s">
        <v>62</v>
      </c>
      <c r="M1518" s="8" t="s">
        <v>129</v>
      </c>
      <c r="N1518" s="9" t="s">
        <v>1955</v>
      </c>
      <c r="O1518" s="5"/>
      <c r="P1518" s="5"/>
      <c r="Q1518" s="6" t="s">
        <v>30</v>
      </c>
      <c r="R1518" s="4" t="s">
        <v>31</v>
      </c>
      <c r="S1518" s="7" t="s">
        <v>32</v>
      </c>
      <c r="T1518" s="5"/>
    </row>
    <row r="1519" customFormat="false" ht="29.25" hidden="false" customHeight="true" outlineLevel="0" collapsed="false">
      <c r="A1519" s="4" t="n">
        <v>1518</v>
      </c>
      <c r="B1519" s="6" t="s">
        <v>1787</v>
      </c>
      <c r="C1519" s="6" t="s">
        <v>5241</v>
      </c>
      <c r="D1519" s="6" t="s">
        <v>5242</v>
      </c>
      <c r="E1519" s="7" t="s">
        <v>21</v>
      </c>
      <c r="F1519" s="6" t="s">
        <v>5557</v>
      </c>
      <c r="G1519" s="6" t="s">
        <v>5433</v>
      </c>
      <c r="H1519" s="6" t="s">
        <v>5435</v>
      </c>
      <c r="I1519" s="6" t="s">
        <v>5536</v>
      </c>
      <c r="J1519" s="6" t="s">
        <v>5434</v>
      </c>
      <c r="K1519" s="5"/>
      <c r="L1519" s="4" t="s">
        <v>27</v>
      </c>
      <c r="M1519" s="8" t="s">
        <v>129</v>
      </c>
      <c r="N1519" s="9" t="s">
        <v>1955</v>
      </c>
      <c r="O1519" s="5"/>
      <c r="P1519" s="5"/>
      <c r="Q1519" s="6" t="s">
        <v>30</v>
      </c>
      <c r="R1519" s="4" t="s">
        <v>31</v>
      </c>
      <c r="S1519" s="7" t="s">
        <v>32</v>
      </c>
      <c r="T1519" s="5"/>
    </row>
    <row r="1520" customFormat="false" ht="15" hidden="false" customHeight="true" outlineLevel="0" collapsed="false">
      <c r="A1520" s="4" t="n">
        <v>1519</v>
      </c>
      <c r="B1520" s="6" t="s">
        <v>1787</v>
      </c>
      <c r="C1520" s="6" t="s">
        <v>5241</v>
      </c>
      <c r="D1520" s="6" t="s">
        <v>5242</v>
      </c>
      <c r="E1520" s="7" t="s">
        <v>21</v>
      </c>
      <c r="F1520" s="6" t="s">
        <v>5558</v>
      </c>
      <c r="G1520" s="6" t="s">
        <v>5554</v>
      </c>
      <c r="H1520" s="6" t="s">
        <v>5435</v>
      </c>
      <c r="I1520" s="6" t="s">
        <v>5555</v>
      </c>
      <c r="J1520" s="6" t="s">
        <v>5559</v>
      </c>
      <c r="K1520" s="5"/>
      <c r="L1520" s="4" t="s">
        <v>51</v>
      </c>
      <c r="M1520" s="8" t="s">
        <v>129</v>
      </c>
      <c r="N1520" s="9" t="s">
        <v>1955</v>
      </c>
      <c r="O1520" s="5"/>
      <c r="P1520" s="5"/>
      <c r="Q1520" s="6" t="s">
        <v>30</v>
      </c>
      <c r="R1520" s="4" t="s">
        <v>31</v>
      </c>
      <c r="S1520" s="7" t="s">
        <v>32</v>
      </c>
      <c r="T1520" s="5"/>
    </row>
    <row r="1521" customFormat="false" ht="15" hidden="false" customHeight="true" outlineLevel="0" collapsed="false">
      <c r="A1521" s="4" t="n">
        <v>1520</v>
      </c>
      <c r="B1521" s="6" t="s">
        <v>1787</v>
      </c>
      <c r="C1521" s="6" t="s">
        <v>5241</v>
      </c>
      <c r="D1521" s="6" t="s">
        <v>5242</v>
      </c>
      <c r="E1521" s="7" t="s">
        <v>21</v>
      </c>
      <c r="F1521" s="6" t="s">
        <v>5560</v>
      </c>
      <c r="G1521" s="6" t="s">
        <v>5536</v>
      </c>
      <c r="H1521" s="6" t="s">
        <v>5561</v>
      </c>
      <c r="I1521" s="6" t="s">
        <v>5434</v>
      </c>
      <c r="J1521" s="6" t="s">
        <v>5559</v>
      </c>
      <c r="K1521" s="5"/>
      <c r="L1521" s="4" t="s">
        <v>62</v>
      </c>
      <c r="M1521" s="8" t="s">
        <v>129</v>
      </c>
      <c r="N1521" s="9" t="s">
        <v>1955</v>
      </c>
      <c r="O1521" s="5"/>
      <c r="P1521" s="5"/>
      <c r="Q1521" s="6" t="s">
        <v>30</v>
      </c>
      <c r="R1521" s="4" t="s">
        <v>31</v>
      </c>
      <c r="S1521" s="7" t="s">
        <v>32</v>
      </c>
      <c r="T1521" s="5"/>
    </row>
    <row r="1522" customFormat="false" ht="29.25" hidden="false" customHeight="true" outlineLevel="0" collapsed="false">
      <c r="A1522" s="4" t="n">
        <v>1521</v>
      </c>
      <c r="B1522" s="6" t="s">
        <v>1787</v>
      </c>
      <c r="C1522" s="6" t="s">
        <v>5241</v>
      </c>
      <c r="D1522" s="6" t="s">
        <v>5242</v>
      </c>
      <c r="E1522" s="7" t="s">
        <v>21</v>
      </c>
      <c r="F1522" s="6" t="s">
        <v>5562</v>
      </c>
      <c r="G1522" s="6" t="s">
        <v>5563</v>
      </c>
      <c r="H1522" s="6" t="s">
        <v>5564</v>
      </c>
      <c r="I1522" s="6" t="s">
        <v>5565</v>
      </c>
      <c r="J1522" s="6" t="s">
        <v>5566</v>
      </c>
      <c r="K1522" s="5"/>
      <c r="L1522" s="4" t="s">
        <v>44</v>
      </c>
      <c r="M1522" s="8" t="s">
        <v>79</v>
      </c>
      <c r="N1522" s="9" t="s">
        <v>1955</v>
      </c>
      <c r="O1522" s="5"/>
      <c r="P1522" s="5"/>
      <c r="Q1522" s="6" t="s">
        <v>30</v>
      </c>
      <c r="R1522" s="4" t="s">
        <v>31</v>
      </c>
      <c r="S1522" s="7" t="s">
        <v>32</v>
      </c>
      <c r="T1522" s="5"/>
    </row>
    <row r="1523" customFormat="false" ht="29.25" hidden="false" customHeight="true" outlineLevel="0" collapsed="false">
      <c r="A1523" s="4" t="n">
        <v>1522</v>
      </c>
      <c r="B1523" s="6" t="s">
        <v>1787</v>
      </c>
      <c r="C1523" s="6" t="s">
        <v>5241</v>
      </c>
      <c r="D1523" s="6" t="s">
        <v>5242</v>
      </c>
      <c r="E1523" s="7" t="s">
        <v>21</v>
      </c>
      <c r="F1523" s="6" t="s">
        <v>5567</v>
      </c>
      <c r="G1523" s="6" t="s">
        <v>5536</v>
      </c>
      <c r="H1523" s="6" t="s">
        <v>5434</v>
      </c>
      <c r="I1523" s="6" t="s">
        <v>5568</v>
      </c>
      <c r="J1523" s="6" t="s">
        <v>5433</v>
      </c>
      <c r="K1523" s="5"/>
      <c r="L1523" s="4" t="s">
        <v>62</v>
      </c>
      <c r="M1523" s="8" t="s">
        <v>79</v>
      </c>
      <c r="N1523" s="9" t="s">
        <v>1955</v>
      </c>
      <c r="O1523" s="5"/>
      <c r="P1523" s="5"/>
      <c r="Q1523" s="6" t="s">
        <v>30</v>
      </c>
      <c r="R1523" s="4" t="s">
        <v>31</v>
      </c>
      <c r="S1523" s="7" t="s">
        <v>32</v>
      </c>
      <c r="T1523" s="5"/>
    </row>
    <row r="1524" customFormat="false" ht="15" hidden="false" customHeight="true" outlineLevel="0" collapsed="false">
      <c r="A1524" s="4" t="n">
        <v>1523</v>
      </c>
      <c r="B1524" s="6" t="s">
        <v>1787</v>
      </c>
      <c r="C1524" s="6" t="s">
        <v>5241</v>
      </c>
      <c r="D1524" s="6" t="s">
        <v>5242</v>
      </c>
      <c r="E1524" s="7" t="s">
        <v>21</v>
      </c>
      <c r="F1524" s="6" t="s">
        <v>5569</v>
      </c>
      <c r="G1524" s="6" t="s">
        <v>5433</v>
      </c>
      <c r="H1524" s="6" t="s">
        <v>5500</v>
      </c>
      <c r="I1524" s="6" t="s">
        <v>5536</v>
      </c>
      <c r="J1524" s="6" t="s">
        <v>535</v>
      </c>
      <c r="K1524" s="5"/>
      <c r="L1524" s="4" t="s">
        <v>51</v>
      </c>
      <c r="M1524" s="8" t="s">
        <v>129</v>
      </c>
      <c r="N1524" s="9" t="s">
        <v>1955</v>
      </c>
      <c r="O1524" s="5"/>
      <c r="P1524" s="5"/>
      <c r="Q1524" s="6" t="s">
        <v>30</v>
      </c>
      <c r="R1524" s="4" t="s">
        <v>31</v>
      </c>
      <c r="S1524" s="7" t="s">
        <v>32</v>
      </c>
      <c r="T1524" s="5"/>
    </row>
    <row r="1525" customFormat="false" ht="15" hidden="false" customHeight="true" outlineLevel="0" collapsed="false">
      <c r="A1525" s="4" t="n">
        <v>1524</v>
      </c>
      <c r="B1525" s="6" t="s">
        <v>1787</v>
      </c>
      <c r="C1525" s="6" t="s">
        <v>5241</v>
      </c>
      <c r="D1525" s="6" t="s">
        <v>5242</v>
      </c>
      <c r="E1525" s="7" t="s">
        <v>21</v>
      </c>
      <c r="F1525" s="6" t="s">
        <v>5570</v>
      </c>
      <c r="G1525" s="6" t="s">
        <v>5435</v>
      </c>
      <c r="H1525" s="6" t="s">
        <v>5536</v>
      </c>
      <c r="I1525" s="6" t="s">
        <v>5433</v>
      </c>
      <c r="J1525" s="6" t="s">
        <v>5500</v>
      </c>
      <c r="K1525" s="5"/>
      <c r="L1525" s="4" t="s">
        <v>27</v>
      </c>
      <c r="M1525" s="8" t="s">
        <v>129</v>
      </c>
      <c r="N1525" s="9" t="s">
        <v>1955</v>
      </c>
      <c r="O1525" s="5"/>
      <c r="P1525" s="5"/>
      <c r="Q1525" s="6" t="s">
        <v>30</v>
      </c>
      <c r="R1525" s="4" t="s">
        <v>31</v>
      </c>
      <c r="S1525" s="7" t="s">
        <v>32</v>
      </c>
      <c r="T1525" s="5"/>
    </row>
    <row r="1526" customFormat="false" ht="29.25" hidden="false" customHeight="true" outlineLevel="0" collapsed="false">
      <c r="A1526" s="4" t="n">
        <v>1525</v>
      </c>
      <c r="B1526" s="6" t="s">
        <v>1787</v>
      </c>
      <c r="C1526" s="6" t="s">
        <v>5241</v>
      </c>
      <c r="D1526" s="6" t="s">
        <v>5242</v>
      </c>
      <c r="E1526" s="7" t="s">
        <v>21</v>
      </c>
      <c r="F1526" s="6" t="s">
        <v>5571</v>
      </c>
      <c r="G1526" s="6" t="s">
        <v>5572</v>
      </c>
      <c r="H1526" s="6" t="s">
        <v>5573</v>
      </c>
      <c r="I1526" s="6" t="s">
        <v>5574</v>
      </c>
      <c r="J1526" s="6" t="s">
        <v>5575</v>
      </c>
      <c r="K1526" s="5"/>
      <c r="L1526" s="4" t="s">
        <v>51</v>
      </c>
      <c r="M1526" s="8" t="s">
        <v>79</v>
      </c>
      <c r="N1526" s="9" t="s">
        <v>1955</v>
      </c>
      <c r="O1526" s="5"/>
      <c r="P1526" s="5"/>
      <c r="Q1526" s="6" t="s">
        <v>30</v>
      </c>
      <c r="R1526" s="4" t="s">
        <v>31</v>
      </c>
      <c r="S1526" s="7" t="s">
        <v>32</v>
      </c>
      <c r="T1526" s="5"/>
    </row>
    <row r="1527" customFormat="false" ht="29.25" hidden="false" customHeight="true" outlineLevel="0" collapsed="false">
      <c r="A1527" s="4" t="n">
        <v>1526</v>
      </c>
      <c r="B1527" s="6" t="s">
        <v>1787</v>
      </c>
      <c r="C1527" s="6" t="s">
        <v>5241</v>
      </c>
      <c r="D1527" s="6" t="s">
        <v>5242</v>
      </c>
      <c r="E1527" s="7" t="s">
        <v>21</v>
      </c>
      <c r="F1527" s="6" t="s">
        <v>5571</v>
      </c>
      <c r="G1527" s="6" t="s">
        <v>5574</v>
      </c>
      <c r="H1527" s="6" t="s">
        <v>5573</v>
      </c>
      <c r="I1527" s="6" t="s">
        <v>5576</v>
      </c>
      <c r="J1527" s="6" t="s">
        <v>5575</v>
      </c>
      <c r="K1527" s="5"/>
      <c r="L1527" s="4" t="s">
        <v>27</v>
      </c>
      <c r="M1527" s="8" t="s">
        <v>79</v>
      </c>
      <c r="N1527" s="9" t="s">
        <v>1955</v>
      </c>
      <c r="O1527" s="5"/>
      <c r="P1527" s="5"/>
      <c r="Q1527" s="6" t="s">
        <v>30</v>
      </c>
      <c r="R1527" s="4" t="s">
        <v>31</v>
      </c>
      <c r="S1527" s="7" t="s">
        <v>32</v>
      </c>
      <c r="T1527" s="5"/>
    </row>
    <row r="1528" customFormat="false" ht="29.25" hidden="false" customHeight="true" outlineLevel="0" collapsed="false">
      <c r="A1528" s="4" t="n">
        <v>1527</v>
      </c>
      <c r="B1528" s="6" t="s">
        <v>1787</v>
      </c>
      <c r="C1528" s="6" t="s">
        <v>5241</v>
      </c>
      <c r="D1528" s="6" t="s">
        <v>5242</v>
      </c>
      <c r="E1528" s="7" t="s">
        <v>21</v>
      </c>
      <c r="F1528" s="6" t="s">
        <v>5571</v>
      </c>
      <c r="G1528" s="6" t="s">
        <v>5575</v>
      </c>
      <c r="H1528" s="6" t="s">
        <v>5573</v>
      </c>
      <c r="I1528" s="6" t="s">
        <v>5574</v>
      </c>
      <c r="J1528" s="6" t="s">
        <v>5577</v>
      </c>
      <c r="K1528" s="5"/>
      <c r="L1528" s="4" t="s">
        <v>44</v>
      </c>
      <c r="M1528" s="8" t="s">
        <v>79</v>
      </c>
      <c r="N1528" s="9" t="s">
        <v>1955</v>
      </c>
      <c r="O1528" s="5"/>
      <c r="P1528" s="5"/>
      <c r="Q1528" s="6" t="s">
        <v>30</v>
      </c>
      <c r="R1528" s="4" t="s">
        <v>31</v>
      </c>
      <c r="S1528" s="7" t="s">
        <v>32</v>
      </c>
      <c r="T1528" s="5"/>
    </row>
    <row r="1529" customFormat="false" ht="29.25" hidden="false" customHeight="true" outlineLevel="0" collapsed="false">
      <c r="A1529" s="4" t="n">
        <v>1528</v>
      </c>
      <c r="B1529" s="6" t="s">
        <v>1787</v>
      </c>
      <c r="C1529" s="6" t="s">
        <v>5241</v>
      </c>
      <c r="D1529" s="6" t="s">
        <v>5242</v>
      </c>
      <c r="E1529" s="7" t="s">
        <v>21</v>
      </c>
      <c r="F1529" s="6" t="s">
        <v>5571</v>
      </c>
      <c r="G1529" s="6" t="s">
        <v>5573</v>
      </c>
      <c r="H1529" s="6" t="s">
        <v>5578</v>
      </c>
      <c r="I1529" s="6" t="s">
        <v>5574</v>
      </c>
      <c r="J1529" s="6" t="s">
        <v>5575</v>
      </c>
      <c r="K1529" s="5"/>
      <c r="L1529" s="4" t="s">
        <v>62</v>
      </c>
      <c r="M1529" s="8" t="s">
        <v>79</v>
      </c>
      <c r="N1529" s="9" t="s">
        <v>1955</v>
      </c>
      <c r="O1529" s="5"/>
      <c r="P1529" s="5"/>
      <c r="Q1529" s="6" t="s">
        <v>30</v>
      </c>
      <c r="R1529" s="4" t="s">
        <v>31</v>
      </c>
      <c r="S1529" s="7" t="s">
        <v>32</v>
      </c>
      <c r="T1529" s="5"/>
    </row>
    <row r="1530" customFormat="false" ht="29.25" hidden="false" customHeight="true" outlineLevel="0" collapsed="false">
      <c r="A1530" s="4" t="n">
        <v>1529</v>
      </c>
      <c r="B1530" s="6" t="s">
        <v>1787</v>
      </c>
      <c r="C1530" s="6" t="s">
        <v>5241</v>
      </c>
      <c r="D1530" s="6" t="s">
        <v>5242</v>
      </c>
      <c r="E1530" s="7" t="s">
        <v>21</v>
      </c>
      <c r="F1530" s="6" t="s">
        <v>5571</v>
      </c>
      <c r="G1530" s="6" t="s">
        <v>5579</v>
      </c>
      <c r="H1530" s="6" t="s">
        <v>5573</v>
      </c>
      <c r="I1530" s="6" t="s">
        <v>5574</v>
      </c>
      <c r="J1530" s="6" t="s">
        <v>5575</v>
      </c>
      <c r="K1530" s="5"/>
      <c r="L1530" s="4" t="s">
        <v>51</v>
      </c>
      <c r="M1530" s="8" t="s">
        <v>79</v>
      </c>
      <c r="N1530" s="9" t="s">
        <v>1955</v>
      </c>
      <c r="O1530" s="5"/>
      <c r="P1530" s="5"/>
      <c r="Q1530" s="6" t="s">
        <v>30</v>
      </c>
      <c r="R1530" s="4" t="s">
        <v>31</v>
      </c>
      <c r="S1530" s="7" t="s">
        <v>32</v>
      </c>
      <c r="T1530" s="5"/>
    </row>
    <row r="1531" customFormat="false" ht="29.25" hidden="false" customHeight="true" outlineLevel="0" collapsed="false">
      <c r="A1531" s="4" t="n">
        <v>1530</v>
      </c>
      <c r="B1531" s="6" t="s">
        <v>1787</v>
      </c>
      <c r="C1531" s="6" t="s">
        <v>5241</v>
      </c>
      <c r="D1531" s="6" t="s">
        <v>5242</v>
      </c>
      <c r="E1531" s="7" t="s">
        <v>21</v>
      </c>
      <c r="F1531" s="6" t="s">
        <v>5571</v>
      </c>
      <c r="G1531" s="6" t="s">
        <v>5573</v>
      </c>
      <c r="H1531" s="6" t="s">
        <v>5575</v>
      </c>
      <c r="I1531" s="6" t="s">
        <v>5580</v>
      </c>
      <c r="J1531" s="6" t="s">
        <v>5574</v>
      </c>
      <c r="K1531" s="5"/>
      <c r="L1531" s="4" t="s">
        <v>27</v>
      </c>
      <c r="M1531" s="8" t="s">
        <v>79</v>
      </c>
      <c r="N1531" s="9" t="s">
        <v>1955</v>
      </c>
      <c r="O1531" s="5"/>
      <c r="P1531" s="5"/>
      <c r="Q1531" s="6" t="s">
        <v>30</v>
      </c>
      <c r="R1531" s="4" t="s">
        <v>31</v>
      </c>
      <c r="S1531" s="7" t="s">
        <v>32</v>
      </c>
      <c r="T1531" s="5"/>
    </row>
    <row r="1532" customFormat="false" ht="29.25" hidden="false" customHeight="true" outlineLevel="0" collapsed="false">
      <c r="A1532" s="4" t="n">
        <v>1531</v>
      </c>
      <c r="B1532" s="6" t="s">
        <v>1787</v>
      </c>
      <c r="C1532" s="6" t="s">
        <v>5241</v>
      </c>
      <c r="D1532" s="6" t="s">
        <v>5242</v>
      </c>
      <c r="E1532" s="7" t="s">
        <v>21</v>
      </c>
      <c r="F1532" s="6" t="s">
        <v>5581</v>
      </c>
      <c r="G1532" s="6" t="s">
        <v>5572</v>
      </c>
      <c r="H1532" s="6" t="s">
        <v>5574</v>
      </c>
      <c r="I1532" s="6" t="s">
        <v>5579</v>
      </c>
      <c r="J1532" s="6" t="s">
        <v>5576</v>
      </c>
      <c r="K1532" s="5"/>
      <c r="L1532" s="4" t="s">
        <v>62</v>
      </c>
      <c r="M1532" s="8" t="s">
        <v>79</v>
      </c>
      <c r="N1532" s="9" t="s">
        <v>1955</v>
      </c>
      <c r="O1532" s="5"/>
      <c r="P1532" s="5"/>
      <c r="Q1532" s="6" t="s">
        <v>30</v>
      </c>
      <c r="R1532" s="4" t="s">
        <v>31</v>
      </c>
      <c r="S1532" s="7" t="s">
        <v>32</v>
      </c>
      <c r="T1532" s="5"/>
    </row>
    <row r="1533" customFormat="false" ht="43.5" hidden="false" customHeight="true" outlineLevel="0" collapsed="false">
      <c r="A1533" s="4" t="n">
        <v>1532</v>
      </c>
      <c r="B1533" s="6" t="s">
        <v>1787</v>
      </c>
      <c r="C1533" s="6" t="s">
        <v>5241</v>
      </c>
      <c r="D1533" s="6" t="s">
        <v>5242</v>
      </c>
      <c r="E1533" s="7" t="s">
        <v>21</v>
      </c>
      <c r="F1533" s="6" t="s">
        <v>5581</v>
      </c>
      <c r="G1533" s="6" t="s">
        <v>5582</v>
      </c>
      <c r="H1533" s="6" t="s">
        <v>5572</v>
      </c>
      <c r="I1533" s="6" t="s">
        <v>5576</v>
      </c>
      <c r="J1533" s="6" t="s">
        <v>5580</v>
      </c>
      <c r="K1533" s="5"/>
      <c r="L1533" s="4" t="s">
        <v>51</v>
      </c>
      <c r="M1533" s="8" t="s">
        <v>79</v>
      </c>
      <c r="N1533" s="9" t="s">
        <v>1955</v>
      </c>
      <c r="O1533" s="5"/>
      <c r="P1533" s="5"/>
      <c r="Q1533" s="6" t="s">
        <v>30</v>
      </c>
      <c r="R1533" s="4" t="s">
        <v>31</v>
      </c>
      <c r="S1533" s="7" t="s">
        <v>32</v>
      </c>
      <c r="T1533" s="5"/>
    </row>
    <row r="1534" customFormat="false" ht="29.25" hidden="false" customHeight="true" outlineLevel="0" collapsed="false">
      <c r="A1534" s="4" t="n">
        <v>1533</v>
      </c>
      <c r="B1534" s="6" t="s">
        <v>1787</v>
      </c>
      <c r="C1534" s="6" t="s">
        <v>5241</v>
      </c>
      <c r="D1534" s="6" t="s">
        <v>5242</v>
      </c>
      <c r="E1534" s="7" t="s">
        <v>21</v>
      </c>
      <c r="F1534" s="6" t="s">
        <v>5581</v>
      </c>
      <c r="G1534" s="6" t="s">
        <v>5572</v>
      </c>
      <c r="H1534" s="6" t="s">
        <v>5577</v>
      </c>
      <c r="I1534" s="6" t="s">
        <v>5579</v>
      </c>
      <c r="J1534" s="6" t="s">
        <v>5575</v>
      </c>
      <c r="K1534" s="5"/>
      <c r="L1534" s="4" t="s">
        <v>44</v>
      </c>
      <c r="M1534" s="8" t="s">
        <v>79</v>
      </c>
      <c r="N1534" s="9" t="s">
        <v>1955</v>
      </c>
      <c r="O1534" s="5"/>
      <c r="P1534" s="5"/>
      <c r="Q1534" s="6" t="s">
        <v>30</v>
      </c>
      <c r="R1534" s="4" t="s">
        <v>31</v>
      </c>
      <c r="S1534" s="7" t="s">
        <v>32</v>
      </c>
      <c r="T1534" s="5"/>
    </row>
    <row r="1535" customFormat="false" ht="29.25" hidden="false" customHeight="true" outlineLevel="0" collapsed="false">
      <c r="A1535" s="4" t="n">
        <v>1534</v>
      </c>
      <c r="B1535" s="6" t="s">
        <v>1787</v>
      </c>
      <c r="C1535" s="6" t="s">
        <v>5241</v>
      </c>
      <c r="D1535" s="6" t="s">
        <v>5242</v>
      </c>
      <c r="E1535" s="7" t="s">
        <v>21</v>
      </c>
      <c r="F1535" s="6" t="s">
        <v>5583</v>
      </c>
      <c r="G1535" s="6" t="s">
        <v>5584</v>
      </c>
      <c r="H1535" s="6" t="s">
        <v>5585</v>
      </c>
      <c r="I1535" s="6" t="s">
        <v>5586</v>
      </c>
      <c r="J1535" s="6" t="s">
        <v>5587</v>
      </c>
      <c r="K1535" s="5"/>
      <c r="L1535" s="4" t="s">
        <v>62</v>
      </c>
      <c r="M1535" s="8" t="s">
        <v>79</v>
      </c>
      <c r="N1535" s="9" t="s">
        <v>1955</v>
      </c>
      <c r="O1535" s="5"/>
      <c r="P1535" s="5"/>
      <c r="Q1535" s="6" t="s">
        <v>30</v>
      </c>
      <c r="R1535" s="4" t="s">
        <v>31</v>
      </c>
      <c r="S1535" s="7" t="s">
        <v>32</v>
      </c>
      <c r="T1535" s="5"/>
    </row>
    <row r="1536" customFormat="false" ht="15" hidden="false" customHeight="true" outlineLevel="0" collapsed="false">
      <c r="A1536" s="4" t="n">
        <v>1535</v>
      </c>
      <c r="B1536" s="6" t="s">
        <v>1787</v>
      </c>
      <c r="C1536" s="6" t="s">
        <v>5241</v>
      </c>
      <c r="D1536" s="6" t="s">
        <v>5242</v>
      </c>
      <c r="E1536" s="7" t="s">
        <v>21</v>
      </c>
      <c r="F1536" s="6" t="s">
        <v>5588</v>
      </c>
      <c r="G1536" s="6" t="s">
        <v>5589</v>
      </c>
      <c r="H1536" s="6" t="s">
        <v>5590</v>
      </c>
      <c r="I1536" s="6" t="s">
        <v>5591</v>
      </c>
      <c r="J1536" s="6" t="s">
        <v>5592</v>
      </c>
      <c r="K1536" s="5"/>
      <c r="L1536" s="4" t="s">
        <v>44</v>
      </c>
      <c r="M1536" s="8" t="s">
        <v>129</v>
      </c>
      <c r="N1536" s="9" t="s">
        <v>1955</v>
      </c>
      <c r="O1536" s="5"/>
      <c r="P1536" s="5"/>
      <c r="Q1536" s="6" t="s">
        <v>30</v>
      </c>
      <c r="R1536" s="4" t="s">
        <v>31</v>
      </c>
      <c r="S1536" s="7" t="s">
        <v>32</v>
      </c>
      <c r="T1536" s="5"/>
    </row>
    <row r="1537" customFormat="false" ht="15" hidden="false" customHeight="true" outlineLevel="0" collapsed="false">
      <c r="A1537" s="4" t="n">
        <v>1536</v>
      </c>
      <c r="B1537" s="6" t="s">
        <v>1787</v>
      </c>
      <c r="C1537" s="6" t="s">
        <v>5241</v>
      </c>
      <c r="D1537" s="6" t="s">
        <v>5242</v>
      </c>
      <c r="E1537" s="7" t="s">
        <v>21</v>
      </c>
      <c r="F1537" s="6" t="s">
        <v>5593</v>
      </c>
      <c r="G1537" s="6" t="s">
        <v>5594</v>
      </c>
      <c r="H1537" s="6" t="s">
        <v>5595</v>
      </c>
      <c r="I1537" s="6" t="s">
        <v>5596</v>
      </c>
      <c r="J1537" s="6" t="s">
        <v>5597</v>
      </c>
      <c r="K1537" s="5"/>
      <c r="L1537" s="4" t="s">
        <v>27</v>
      </c>
      <c r="M1537" s="8" t="s">
        <v>129</v>
      </c>
      <c r="N1537" s="9" t="s">
        <v>1955</v>
      </c>
      <c r="O1537" s="5"/>
      <c r="P1537" s="5"/>
      <c r="Q1537" s="6" t="s">
        <v>30</v>
      </c>
      <c r="R1537" s="4" t="s">
        <v>31</v>
      </c>
      <c r="S1537" s="7" t="s">
        <v>32</v>
      </c>
      <c r="T1537" s="5"/>
    </row>
    <row r="1538" customFormat="false" ht="29.25" hidden="false" customHeight="true" outlineLevel="0" collapsed="false">
      <c r="A1538" s="4" t="n">
        <v>1537</v>
      </c>
      <c r="B1538" s="6" t="s">
        <v>1787</v>
      </c>
      <c r="C1538" s="6" t="s">
        <v>5241</v>
      </c>
      <c r="D1538" s="6" t="s">
        <v>5242</v>
      </c>
      <c r="E1538" s="7" t="s">
        <v>21</v>
      </c>
      <c r="F1538" s="6" t="s">
        <v>5598</v>
      </c>
      <c r="G1538" s="6" t="s">
        <v>5599</v>
      </c>
      <c r="H1538" s="6" t="s">
        <v>2215</v>
      </c>
      <c r="I1538" s="6" t="s">
        <v>5596</v>
      </c>
      <c r="J1538" s="6" t="s">
        <v>5381</v>
      </c>
      <c r="K1538" s="5"/>
      <c r="L1538" s="4" t="s">
        <v>51</v>
      </c>
      <c r="M1538" s="8" t="s">
        <v>129</v>
      </c>
      <c r="N1538" s="9" t="s">
        <v>1955</v>
      </c>
      <c r="O1538" s="5"/>
      <c r="P1538" s="5"/>
      <c r="Q1538" s="6" t="s">
        <v>30</v>
      </c>
      <c r="R1538" s="4" t="s">
        <v>31</v>
      </c>
      <c r="S1538" s="7" t="s">
        <v>32</v>
      </c>
      <c r="T1538" s="5"/>
    </row>
    <row r="1539" customFormat="false" ht="43.5" hidden="false" customHeight="true" outlineLevel="0" collapsed="false">
      <c r="A1539" s="4" t="n">
        <v>1538</v>
      </c>
      <c r="B1539" s="6" t="s">
        <v>1787</v>
      </c>
      <c r="C1539" s="6" t="s">
        <v>5241</v>
      </c>
      <c r="D1539" s="6" t="s">
        <v>5242</v>
      </c>
      <c r="E1539" s="7" t="s">
        <v>21</v>
      </c>
      <c r="F1539" s="6" t="s">
        <v>5600</v>
      </c>
      <c r="G1539" s="6" t="s">
        <v>5601</v>
      </c>
      <c r="H1539" s="6" t="s">
        <v>5602</v>
      </c>
      <c r="I1539" s="6" t="s">
        <v>5603</v>
      </c>
      <c r="J1539" s="6" t="s">
        <v>5604</v>
      </c>
      <c r="K1539" s="5"/>
      <c r="L1539" s="4" t="s">
        <v>62</v>
      </c>
      <c r="M1539" s="8" t="s">
        <v>28</v>
      </c>
      <c r="N1539" s="9" t="s">
        <v>1955</v>
      </c>
      <c r="O1539" s="5"/>
      <c r="P1539" s="5"/>
      <c r="Q1539" s="6" t="s">
        <v>30</v>
      </c>
      <c r="R1539" s="4" t="s">
        <v>31</v>
      </c>
      <c r="S1539" s="7" t="s">
        <v>32</v>
      </c>
      <c r="T1539" s="5"/>
    </row>
    <row r="1540" customFormat="false" ht="15" hidden="false" customHeight="true" outlineLevel="0" collapsed="false">
      <c r="A1540" s="4" t="n">
        <v>1539</v>
      </c>
      <c r="B1540" s="6" t="s">
        <v>1787</v>
      </c>
      <c r="C1540" s="6" t="s">
        <v>5241</v>
      </c>
      <c r="D1540" s="6" t="s">
        <v>5242</v>
      </c>
      <c r="E1540" s="7" t="s">
        <v>21</v>
      </c>
      <c r="F1540" s="6" t="s">
        <v>5605</v>
      </c>
      <c r="G1540" s="6" t="s">
        <v>5451</v>
      </c>
      <c r="H1540" s="6" t="s">
        <v>5452</v>
      </c>
      <c r="I1540" s="6" t="s">
        <v>5457</v>
      </c>
      <c r="J1540" s="6" t="s">
        <v>5444</v>
      </c>
      <c r="K1540" s="5"/>
      <c r="L1540" s="4" t="s">
        <v>51</v>
      </c>
      <c r="M1540" s="8" t="s">
        <v>129</v>
      </c>
      <c r="N1540" s="9" t="s">
        <v>1955</v>
      </c>
      <c r="O1540" s="5"/>
      <c r="P1540" s="5"/>
      <c r="Q1540" s="6" t="s">
        <v>30</v>
      </c>
      <c r="R1540" s="4" t="s">
        <v>31</v>
      </c>
      <c r="S1540" s="7" t="s">
        <v>32</v>
      </c>
      <c r="T1540" s="5"/>
    </row>
    <row r="1541" customFormat="false" ht="15" hidden="false" customHeight="true" outlineLevel="0" collapsed="false">
      <c r="A1541" s="4" t="n">
        <v>1540</v>
      </c>
      <c r="B1541" s="6" t="s">
        <v>1787</v>
      </c>
      <c r="C1541" s="6" t="s">
        <v>5241</v>
      </c>
      <c r="D1541" s="6" t="s">
        <v>5242</v>
      </c>
      <c r="E1541" s="7" t="s">
        <v>21</v>
      </c>
      <c r="F1541" s="6" t="s">
        <v>5606</v>
      </c>
      <c r="G1541" s="6" t="s">
        <v>5607</v>
      </c>
      <c r="H1541" s="6" t="s">
        <v>5608</v>
      </c>
      <c r="I1541" s="6" t="s">
        <v>5444</v>
      </c>
      <c r="J1541" s="6" t="s">
        <v>5609</v>
      </c>
      <c r="K1541" s="5"/>
      <c r="L1541" s="4" t="s">
        <v>44</v>
      </c>
      <c r="M1541" s="8" t="s">
        <v>129</v>
      </c>
      <c r="N1541" s="9" t="s">
        <v>1955</v>
      </c>
      <c r="O1541" s="5"/>
      <c r="P1541" s="5"/>
      <c r="Q1541" s="6" t="s">
        <v>30</v>
      </c>
      <c r="R1541" s="4" t="s">
        <v>31</v>
      </c>
      <c r="S1541" s="7" t="s">
        <v>32</v>
      </c>
      <c r="T1541" s="5"/>
    </row>
    <row r="1542" customFormat="false" ht="15" hidden="false" customHeight="true" outlineLevel="0" collapsed="false">
      <c r="A1542" s="4" t="n">
        <v>1541</v>
      </c>
      <c r="B1542" s="6" t="s">
        <v>1787</v>
      </c>
      <c r="C1542" s="6" t="s">
        <v>5241</v>
      </c>
      <c r="D1542" s="6" t="s">
        <v>5242</v>
      </c>
      <c r="E1542" s="7" t="s">
        <v>21</v>
      </c>
      <c r="F1542" s="6" t="s">
        <v>5610</v>
      </c>
      <c r="G1542" s="6" t="s">
        <v>5422</v>
      </c>
      <c r="H1542" s="6" t="s">
        <v>5423</v>
      </c>
      <c r="I1542" s="6" t="s">
        <v>5424</v>
      </c>
      <c r="J1542" s="6" t="s">
        <v>150</v>
      </c>
      <c r="K1542" s="5"/>
      <c r="L1542" s="4" t="s">
        <v>62</v>
      </c>
      <c r="M1542" s="8" t="s">
        <v>129</v>
      </c>
      <c r="N1542" s="9" t="s">
        <v>1955</v>
      </c>
      <c r="O1542" s="5"/>
      <c r="P1542" s="5"/>
      <c r="Q1542" s="6" t="s">
        <v>30</v>
      </c>
      <c r="R1542" s="4" t="s">
        <v>31</v>
      </c>
      <c r="S1542" s="7" t="s">
        <v>32</v>
      </c>
      <c r="T1542" s="5"/>
    </row>
    <row r="1543" customFormat="false" ht="15" hidden="false" customHeight="true" outlineLevel="0" collapsed="false">
      <c r="A1543" s="4" t="n">
        <v>1542</v>
      </c>
      <c r="B1543" s="6" t="s">
        <v>1787</v>
      </c>
      <c r="C1543" s="6" t="s">
        <v>5241</v>
      </c>
      <c r="D1543" s="6" t="s">
        <v>5242</v>
      </c>
      <c r="E1543" s="7" t="s">
        <v>21</v>
      </c>
      <c r="F1543" s="6" t="s">
        <v>5611</v>
      </c>
      <c r="G1543" s="6" t="s">
        <v>5422</v>
      </c>
      <c r="H1543" s="6" t="s">
        <v>5423</v>
      </c>
      <c r="I1543" s="6" t="s">
        <v>5424</v>
      </c>
      <c r="J1543" s="6" t="s">
        <v>150</v>
      </c>
      <c r="K1543" s="5"/>
      <c r="L1543" s="4" t="s">
        <v>62</v>
      </c>
      <c r="M1543" s="8" t="s">
        <v>129</v>
      </c>
      <c r="N1543" s="9" t="s">
        <v>1955</v>
      </c>
      <c r="O1543" s="5"/>
      <c r="P1543" s="5"/>
      <c r="Q1543" s="6" t="s">
        <v>30</v>
      </c>
      <c r="R1543" s="4" t="s">
        <v>31</v>
      </c>
      <c r="S1543" s="7" t="s">
        <v>32</v>
      </c>
      <c r="T1543" s="5"/>
    </row>
    <row r="1544" customFormat="false" ht="15" hidden="false" customHeight="true" outlineLevel="0" collapsed="false">
      <c r="A1544" s="4" t="n">
        <v>1543</v>
      </c>
      <c r="B1544" s="6" t="s">
        <v>1787</v>
      </c>
      <c r="C1544" s="6" t="s">
        <v>5241</v>
      </c>
      <c r="D1544" s="6" t="s">
        <v>5242</v>
      </c>
      <c r="E1544" s="7" t="s">
        <v>21</v>
      </c>
      <c r="F1544" s="6" t="s">
        <v>5612</v>
      </c>
      <c r="G1544" s="6" t="s">
        <v>5422</v>
      </c>
      <c r="H1544" s="6" t="s">
        <v>5423</v>
      </c>
      <c r="I1544" s="6" t="s">
        <v>5424</v>
      </c>
      <c r="J1544" s="6" t="s">
        <v>150</v>
      </c>
      <c r="K1544" s="5"/>
      <c r="L1544" s="4" t="s">
        <v>62</v>
      </c>
      <c r="M1544" s="8" t="s">
        <v>129</v>
      </c>
      <c r="N1544" s="9" t="s">
        <v>1955</v>
      </c>
      <c r="O1544" s="5"/>
      <c r="P1544" s="5"/>
      <c r="Q1544" s="6" t="s">
        <v>30</v>
      </c>
      <c r="R1544" s="4" t="s">
        <v>31</v>
      </c>
      <c r="S1544" s="7" t="s">
        <v>32</v>
      </c>
      <c r="T1544" s="5"/>
    </row>
    <row r="1545" customFormat="false" ht="15" hidden="false" customHeight="true" outlineLevel="0" collapsed="false">
      <c r="A1545" s="4" t="n">
        <v>1544</v>
      </c>
      <c r="B1545" s="6" t="s">
        <v>1787</v>
      </c>
      <c r="C1545" s="6" t="s">
        <v>5241</v>
      </c>
      <c r="D1545" s="6" t="s">
        <v>5242</v>
      </c>
      <c r="E1545" s="7" t="s">
        <v>21</v>
      </c>
      <c r="F1545" s="6" t="s">
        <v>5613</v>
      </c>
      <c r="G1545" s="6" t="s">
        <v>5422</v>
      </c>
      <c r="H1545" s="6" t="s">
        <v>5423</v>
      </c>
      <c r="I1545" s="6" t="s">
        <v>5424</v>
      </c>
      <c r="J1545" s="6" t="s">
        <v>150</v>
      </c>
      <c r="K1545" s="5"/>
      <c r="L1545" s="4" t="s">
        <v>62</v>
      </c>
      <c r="M1545" s="8" t="s">
        <v>79</v>
      </c>
      <c r="N1545" s="9" t="s">
        <v>1955</v>
      </c>
      <c r="O1545" s="5"/>
      <c r="P1545" s="5"/>
      <c r="Q1545" s="6" t="s">
        <v>30</v>
      </c>
      <c r="R1545" s="4" t="s">
        <v>31</v>
      </c>
      <c r="S1545" s="7" t="s">
        <v>32</v>
      </c>
      <c r="T1545" s="5"/>
    </row>
    <row r="1546" customFormat="false" ht="29.25" hidden="false" customHeight="true" outlineLevel="0" collapsed="false">
      <c r="A1546" s="4" t="n">
        <v>1545</v>
      </c>
      <c r="B1546" s="6" t="s">
        <v>1787</v>
      </c>
      <c r="C1546" s="6" t="s">
        <v>5241</v>
      </c>
      <c r="D1546" s="6" t="s">
        <v>5242</v>
      </c>
      <c r="E1546" s="7" t="s">
        <v>21</v>
      </c>
      <c r="F1546" s="6" t="s">
        <v>5614</v>
      </c>
      <c r="G1546" s="6" t="s">
        <v>5615</v>
      </c>
      <c r="H1546" s="6" t="s">
        <v>5616</v>
      </c>
      <c r="I1546" s="6" t="s">
        <v>5617</v>
      </c>
      <c r="J1546" s="6" t="s">
        <v>5618</v>
      </c>
      <c r="K1546" s="5"/>
      <c r="L1546" s="4" t="s">
        <v>27</v>
      </c>
      <c r="M1546" s="8" t="s">
        <v>79</v>
      </c>
      <c r="N1546" s="9" t="s">
        <v>1955</v>
      </c>
      <c r="O1546" s="5"/>
      <c r="P1546" s="5"/>
      <c r="Q1546" s="6" t="s">
        <v>30</v>
      </c>
      <c r="R1546" s="4" t="s">
        <v>31</v>
      </c>
      <c r="S1546" s="7" t="s">
        <v>32</v>
      </c>
      <c r="T1546" s="5"/>
    </row>
    <row r="1547" customFormat="false" ht="15" hidden="false" customHeight="true" outlineLevel="0" collapsed="false">
      <c r="A1547" s="4" t="n">
        <v>1546</v>
      </c>
      <c r="B1547" s="6" t="s">
        <v>1787</v>
      </c>
      <c r="C1547" s="6" t="s">
        <v>5241</v>
      </c>
      <c r="D1547" s="6" t="s">
        <v>5242</v>
      </c>
      <c r="E1547" s="7" t="s">
        <v>21</v>
      </c>
      <c r="F1547" s="6" t="s">
        <v>5619</v>
      </c>
      <c r="G1547" s="6" t="s">
        <v>5451</v>
      </c>
      <c r="H1547" s="6" t="s">
        <v>2202</v>
      </c>
      <c r="I1547" s="6" t="s">
        <v>5620</v>
      </c>
      <c r="J1547" s="6" t="s">
        <v>5608</v>
      </c>
      <c r="K1547" s="5"/>
      <c r="L1547" s="4" t="s">
        <v>27</v>
      </c>
      <c r="M1547" s="8" t="s">
        <v>79</v>
      </c>
      <c r="N1547" s="9" t="s">
        <v>1955</v>
      </c>
      <c r="O1547" s="5"/>
      <c r="P1547" s="5"/>
      <c r="Q1547" s="6" t="s">
        <v>30</v>
      </c>
      <c r="R1547" s="4" t="s">
        <v>31</v>
      </c>
      <c r="S1547" s="7" t="s">
        <v>32</v>
      </c>
      <c r="T1547" s="5"/>
    </row>
    <row r="1548" customFormat="false" ht="15" hidden="false" customHeight="true" outlineLevel="0" collapsed="false">
      <c r="A1548" s="4" t="n">
        <v>1547</v>
      </c>
      <c r="B1548" s="6" t="s">
        <v>1787</v>
      </c>
      <c r="C1548" s="6" t="s">
        <v>5241</v>
      </c>
      <c r="D1548" s="6" t="s">
        <v>5242</v>
      </c>
      <c r="E1548" s="7" t="s">
        <v>21</v>
      </c>
      <c r="F1548" s="6" t="s">
        <v>5621</v>
      </c>
      <c r="G1548" s="6" t="s">
        <v>3281</v>
      </c>
      <c r="H1548" s="6" t="s">
        <v>5622</v>
      </c>
      <c r="I1548" s="6" t="s">
        <v>2193</v>
      </c>
      <c r="J1548" s="6" t="s">
        <v>5623</v>
      </c>
      <c r="K1548" s="5"/>
      <c r="L1548" s="4" t="s">
        <v>27</v>
      </c>
      <c r="M1548" s="8" t="s">
        <v>129</v>
      </c>
      <c r="N1548" s="9" t="s">
        <v>1955</v>
      </c>
      <c r="O1548" s="5"/>
      <c r="P1548" s="5"/>
      <c r="Q1548" s="6" t="s">
        <v>30</v>
      </c>
      <c r="R1548" s="4" t="s">
        <v>31</v>
      </c>
      <c r="S1548" s="7" t="s">
        <v>32</v>
      </c>
      <c r="T1548" s="5"/>
    </row>
    <row r="1549" customFormat="false" ht="15" hidden="false" customHeight="true" outlineLevel="0" collapsed="false">
      <c r="A1549" s="4" t="n">
        <v>1548</v>
      </c>
      <c r="B1549" s="6" t="s">
        <v>1787</v>
      </c>
      <c r="C1549" s="6" t="s">
        <v>5241</v>
      </c>
      <c r="D1549" s="6" t="s">
        <v>5242</v>
      </c>
      <c r="E1549" s="7" t="s">
        <v>21</v>
      </c>
      <c r="F1549" s="6" t="s">
        <v>5624</v>
      </c>
      <c r="G1549" s="6" t="s">
        <v>5625</v>
      </c>
      <c r="H1549" s="6" t="s">
        <v>5626</v>
      </c>
      <c r="I1549" s="6" t="s">
        <v>5627</v>
      </c>
      <c r="J1549" s="6" t="s">
        <v>5628</v>
      </c>
      <c r="K1549" s="5"/>
      <c r="L1549" s="4" t="s">
        <v>51</v>
      </c>
      <c r="M1549" s="8" t="s">
        <v>129</v>
      </c>
      <c r="N1549" s="9" t="s">
        <v>1955</v>
      </c>
      <c r="O1549" s="5"/>
      <c r="P1549" s="5"/>
      <c r="Q1549" s="6" t="s">
        <v>30</v>
      </c>
      <c r="R1549" s="4" t="s">
        <v>31</v>
      </c>
      <c r="S1549" s="7" t="s">
        <v>32</v>
      </c>
      <c r="T1549" s="5"/>
    </row>
    <row r="1550" customFormat="false" ht="15" hidden="false" customHeight="true" outlineLevel="0" collapsed="false">
      <c r="A1550" s="4" t="n">
        <v>1549</v>
      </c>
      <c r="B1550" s="6" t="s">
        <v>1787</v>
      </c>
      <c r="C1550" s="6" t="s">
        <v>5241</v>
      </c>
      <c r="D1550" s="6" t="s">
        <v>5242</v>
      </c>
      <c r="E1550" s="7" t="s">
        <v>21</v>
      </c>
      <c r="F1550" s="6" t="s">
        <v>5629</v>
      </c>
      <c r="G1550" s="6" t="s">
        <v>5625</v>
      </c>
      <c r="H1550" s="6" t="s">
        <v>5626</v>
      </c>
      <c r="I1550" s="6" t="s">
        <v>5627</v>
      </c>
      <c r="J1550" s="6" t="s">
        <v>5628</v>
      </c>
      <c r="K1550" s="5"/>
      <c r="L1550" s="4" t="s">
        <v>44</v>
      </c>
      <c r="M1550" s="8" t="s">
        <v>129</v>
      </c>
      <c r="N1550" s="9" t="s">
        <v>1955</v>
      </c>
      <c r="O1550" s="5"/>
      <c r="P1550" s="5"/>
      <c r="Q1550" s="6" t="s">
        <v>30</v>
      </c>
      <c r="R1550" s="4" t="s">
        <v>31</v>
      </c>
      <c r="S1550" s="7" t="s">
        <v>32</v>
      </c>
      <c r="T1550" s="5"/>
    </row>
    <row r="1551" customFormat="false" ht="15" hidden="false" customHeight="true" outlineLevel="0" collapsed="false">
      <c r="A1551" s="4" t="n">
        <v>1550</v>
      </c>
      <c r="B1551" s="6" t="s">
        <v>1787</v>
      </c>
      <c r="C1551" s="6" t="s">
        <v>5241</v>
      </c>
      <c r="D1551" s="6" t="s">
        <v>5242</v>
      </c>
      <c r="E1551" s="7" t="s">
        <v>21</v>
      </c>
      <c r="F1551" s="6" t="s">
        <v>5630</v>
      </c>
      <c r="G1551" s="6" t="s">
        <v>5625</v>
      </c>
      <c r="H1551" s="6" t="s">
        <v>5626</v>
      </c>
      <c r="I1551" s="6" t="s">
        <v>5627</v>
      </c>
      <c r="J1551" s="6" t="s">
        <v>5628</v>
      </c>
      <c r="K1551" s="5"/>
      <c r="L1551" s="4" t="s">
        <v>62</v>
      </c>
      <c r="M1551" s="8" t="s">
        <v>129</v>
      </c>
      <c r="N1551" s="9" t="s">
        <v>1955</v>
      </c>
      <c r="O1551" s="5"/>
      <c r="P1551" s="5"/>
      <c r="Q1551" s="6" t="s">
        <v>30</v>
      </c>
      <c r="R1551" s="4" t="s">
        <v>31</v>
      </c>
      <c r="S1551" s="7" t="s">
        <v>32</v>
      </c>
      <c r="T1551" s="5"/>
    </row>
    <row r="1552" customFormat="false" ht="15" hidden="false" customHeight="true" outlineLevel="0" collapsed="false">
      <c r="A1552" s="4" t="n">
        <v>1551</v>
      </c>
      <c r="B1552" s="6" t="s">
        <v>1787</v>
      </c>
      <c r="C1552" s="6" t="s">
        <v>5241</v>
      </c>
      <c r="D1552" s="6" t="s">
        <v>5242</v>
      </c>
      <c r="E1552" s="7" t="s">
        <v>21</v>
      </c>
      <c r="F1552" s="6" t="s">
        <v>5631</v>
      </c>
      <c r="G1552" s="6" t="s">
        <v>5625</v>
      </c>
      <c r="H1552" s="6" t="s">
        <v>5626</v>
      </c>
      <c r="I1552" s="6" t="s">
        <v>5627</v>
      </c>
      <c r="J1552" s="6" t="s">
        <v>5628</v>
      </c>
      <c r="K1552" s="5"/>
      <c r="L1552" s="4" t="s">
        <v>27</v>
      </c>
      <c r="M1552" s="8" t="s">
        <v>129</v>
      </c>
      <c r="N1552" s="9" t="s">
        <v>1955</v>
      </c>
      <c r="O1552" s="5"/>
      <c r="P1552" s="5"/>
      <c r="Q1552" s="6" t="s">
        <v>30</v>
      </c>
      <c r="R1552" s="4" t="s">
        <v>31</v>
      </c>
      <c r="S1552" s="7" t="s">
        <v>32</v>
      </c>
      <c r="T1552" s="5"/>
    </row>
    <row r="1553" customFormat="false" ht="29.25" hidden="false" customHeight="true" outlineLevel="0" collapsed="false">
      <c r="A1553" s="4" t="n">
        <v>1552</v>
      </c>
      <c r="B1553" s="6" t="s">
        <v>1787</v>
      </c>
      <c r="C1553" s="6" t="s">
        <v>5241</v>
      </c>
      <c r="D1553" s="6" t="s">
        <v>5242</v>
      </c>
      <c r="E1553" s="7" t="s">
        <v>21</v>
      </c>
      <c r="F1553" s="6" t="s">
        <v>5632</v>
      </c>
      <c r="G1553" s="6" t="s">
        <v>5572</v>
      </c>
      <c r="H1553" s="6" t="s">
        <v>5633</v>
      </c>
      <c r="I1553" s="6" t="s">
        <v>5589</v>
      </c>
      <c r="J1553" s="6" t="s">
        <v>5579</v>
      </c>
      <c r="K1553" s="5"/>
      <c r="L1553" s="4" t="s">
        <v>44</v>
      </c>
      <c r="M1553" s="8" t="s">
        <v>79</v>
      </c>
      <c r="N1553" s="9" t="s">
        <v>1955</v>
      </c>
      <c r="O1553" s="5"/>
      <c r="P1553" s="5"/>
      <c r="Q1553" s="6" t="s">
        <v>30</v>
      </c>
      <c r="R1553" s="4" t="s">
        <v>31</v>
      </c>
      <c r="S1553" s="7" t="s">
        <v>32</v>
      </c>
      <c r="T1553" s="5"/>
    </row>
    <row r="1554" customFormat="false" ht="29.25" hidden="false" customHeight="true" outlineLevel="0" collapsed="false">
      <c r="A1554" s="4" t="n">
        <v>1553</v>
      </c>
      <c r="B1554" s="6" t="s">
        <v>1787</v>
      </c>
      <c r="C1554" s="6" t="s">
        <v>5241</v>
      </c>
      <c r="D1554" s="6" t="s">
        <v>5242</v>
      </c>
      <c r="E1554" s="7" t="s">
        <v>21</v>
      </c>
      <c r="F1554" s="6" t="s">
        <v>5634</v>
      </c>
      <c r="G1554" s="6" t="s">
        <v>5635</v>
      </c>
      <c r="H1554" s="6" t="s">
        <v>5636</v>
      </c>
      <c r="I1554" s="6" t="s">
        <v>5637</v>
      </c>
      <c r="J1554" s="6" t="s">
        <v>5638</v>
      </c>
      <c r="K1554" s="5"/>
      <c r="L1554" s="4" t="s">
        <v>27</v>
      </c>
      <c r="M1554" s="8" t="s">
        <v>79</v>
      </c>
      <c r="N1554" s="9" t="s">
        <v>1955</v>
      </c>
      <c r="O1554" s="5"/>
      <c r="P1554" s="5"/>
      <c r="Q1554" s="6" t="s">
        <v>30</v>
      </c>
      <c r="R1554" s="4" t="s">
        <v>31</v>
      </c>
      <c r="S1554" s="7" t="s">
        <v>32</v>
      </c>
      <c r="T1554" s="5"/>
    </row>
    <row r="1555" customFormat="false" ht="29.25" hidden="false" customHeight="true" outlineLevel="0" collapsed="false">
      <c r="A1555" s="4" t="n">
        <v>1554</v>
      </c>
      <c r="B1555" s="6" t="s">
        <v>1787</v>
      </c>
      <c r="C1555" s="6" t="s">
        <v>5241</v>
      </c>
      <c r="D1555" s="6" t="s">
        <v>5242</v>
      </c>
      <c r="E1555" s="7" t="s">
        <v>21</v>
      </c>
      <c r="F1555" s="6" t="s">
        <v>5639</v>
      </c>
      <c r="G1555" s="6" t="s">
        <v>5433</v>
      </c>
      <c r="H1555" s="6" t="s">
        <v>5435</v>
      </c>
      <c r="I1555" s="6" t="s">
        <v>5536</v>
      </c>
      <c r="J1555" s="6" t="s">
        <v>5434</v>
      </c>
      <c r="K1555" s="5"/>
      <c r="L1555" s="4" t="s">
        <v>51</v>
      </c>
      <c r="M1555" s="8" t="s">
        <v>79</v>
      </c>
      <c r="N1555" s="9" t="s">
        <v>1955</v>
      </c>
      <c r="O1555" s="5"/>
      <c r="P1555" s="5"/>
      <c r="Q1555" s="6" t="s">
        <v>30</v>
      </c>
      <c r="R1555" s="4" t="s">
        <v>31</v>
      </c>
      <c r="S1555" s="7" t="s">
        <v>32</v>
      </c>
      <c r="T1555" s="5"/>
    </row>
    <row r="1556" customFormat="false" ht="15" hidden="false" customHeight="true" outlineLevel="0" collapsed="false">
      <c r="A1556" s="4" t="n">
        <v>1555</v>
      </c>
      <c r="B1556" s="6" t="s">
        <v>1787</v>
      </c>
      <c r="C1556" s="6" t="s">
        <v>5241</v>
      </c>
      <c r="D1556" s="6" t="s">
        <v>5242</v>
      </c>
      <c r="E1556" s="7" t="s">
        <v>21</v>
      </c>
      <c r="F1556" s="6" t="s">
        <v>5640</v>
      </c>
      <c r="G1556" s="6" t="s">
        <v>5641</v>
      </c>
      <c r="H1556" s="6" t="s">
        <v>5642</v>
      </c>
      <c r="I1556" s="6" t="s">
        <v>5643</v>
      </c>
      <c r="J1556" s="6" t="s">
        <v>5644</v>
      </c>
      <c r="K1556" s="5"/>
      <c r="L1556" s="4" t="s">
        <v>62</v>
      </c>
      <c r="M1556" s="8" t="s">
        <v>129</v>
      </c>
      <c r="N1556" s="9" t="s">
        <v>1955</v>
      </c>
      <c r="O1556" s="5"/>
      <c r="P1556" s="5"/>
      <c r="Q1556" s="6" t="s">
        <v>30</v>
      </c>
      <c r="R1556" s="4" t="s">
        <v>31</v>
      </c>
      <c r="S1556" s="7" t="s">
        <v>32</v>
      </c>
      <c r="T1556" s="5"/>
    </row>
    <row r="1557" customFormat="false" ht="29.25" hidden="false" customHeight="true" outlineLevel="0" collapsed="false">
      <c r="A1557" s="4" t="n">
        <v>1556</v>
      </c>
      <c r="B1557" s="6" t="s">
        <v>1787</v>
      </c>
      <c r="C1557" s="6" t="s">
        <v>5241</v>
      </c>
      <c r="D1557" s="6" t="s">
        <v>5242</v>
      </c>
      <c r="E1557" s="7" t="s">
        <v>21</v>
      </c>
      <c r="F1557" s="6" t="s">
        <v>5645</v>
      </c>
      <c r="G1557" s="6" t="s">
        <v>5646</v>
      </c>
      <c r="H1557" s="6" t="s">
        <v>5647</v>
      </c>
      <c r="I1557" s="6" t="s">
        <v>5648</v>
      </c>
      <c r="J1557" s="6" t="s">
        <v>5649</v>
      </c>
      <c r="K1557" s="5"/>
      <c r="L1557" s="4" t="s">
        <v>62</v>
      </c>
      <c r="M1557" s="8" t="s">
        <v>79</v>
      </c>
      <c r="N1557" s="9" t="s">
        <v>1955</v>
      </c>
      <c r="O1557" s="5"/>
      <c r="P1557" s="5"/>
      <c r="Q1557" s="6" t="s">
        <v>30</v>
      </c>
      <c r="R1557" s="4" t="s">
        <v>31</v>
      </c>
      <c r="S1557" s="7" t="s">
        <v>32</v>
      </c>
      <c r="T1557" s="5"/>
    </row>
    <row r="1558" customFormat="false" ht="43.5" hidden="false" customHeight="true" outlineLevel="0" collapsed="false">
      <c r="A1558" s="4" t="n">
        <v>1557</v>
      </c>
      <c r="B1558" s="6" t="s">
        <v>1787</v>
      </c>
      <c r="C1558" s="6" t="s">
        <v>5241</v>
      </c>
      <c r="D1558" s="6" t="s">
        <v>5242</v>
      </c>
      <c r="E1558" s="7" t="s">
        <v>21</v>
      </c>
      <c r="F1558" s="6" t="s">
        <v>5650</v>
      </c>
      <c r="G1558" s="6" t="s">
        <v>5651</v>
      </c>
      <c r="H1558" s="6" t="s">
        <v>5652</v>
      </c>
      <c r="I1558" s="6" t="s">
        <v>5653</v>
      </c>
      <c r="J1558" s="6" t="s">
        <v>5654</v>
      </c>
      <c r="K1558" s="5"/>
      <c r="L1558" s="4" t="s">
        <v>27</v>
      </c>
      <c r="M1558" s="8" t="s">
        <v>79</v>
      </c>
      <c r="N1558" s="9" t="s">
        <v>1955</v>
      </c>
      <c r="O1558" s="5"/>
      <c r="P1558" s="5"/>
      <c r="Q1558" s="6" t="s">
        <v>30</v>
      </c>
      <c r="R1558" s="4" t="s">
        <v>31</v>
      </c>
      <c r="S1558" s="7" t="s">
        <v>32</v>
      </c>
      <c r="T1558" s="5"/>
    </row>
    <row r="1559" customFormat="false" ht="29.25" hidden="false" customHeight="true" outlineLevel="0" collapsed="false">
      <c r="A1559" s="4" t="n">
        <v>1558</v>
      </c>
      <c r="B1559" s="6" t="s">
        <v>1787</v>
      </c>
      <c r="C1559" s="6" t="s">
        <v>5241</v>
      </c>
      <c r="D1559" s="6" t="s">
        <v>5242</v>
      </c>
      <c r="E1559" s="7" t="s">
        <v>21</v>
      </c>
      <c r="F1559" s="6" t="s">
        <v>5655</v>
      </c>
      <c r="G1559" s="6" t="s">
        <v>5656</v>
      </c>
      <c r="H1559" s="6" t="s">
        <v>5657</v>
      </c>
      <c r="I1559" s="6" t="s">
        <v>5658</v>
      </c>
      <c r="J1559" s="6" t="s">
        <v>5659</v>
      </c>
      <c r="K1559" s="5"/>
      <c r="L1559" s="4" t="s">
        <v>44</v>
      </c>
      <c r="M1559" s="8" t="s">
        <v>79</v>
      </c>
      <c r="N1559" s="9" t="s">
        <v>1955</v>
      </c>
      <c r="O1559" s="5"/>
      <c r="P1559" s="5"/>
      <c r="Q1559" s="6" t="s">
        <v>30</v>
      </c>
      <c r="R1559" s="4" t="s">
        <v>31</v>
      </c>
      <c r="S1559" s="7" t="s">
        <v>32</v>
      </c>
      <c r="T1559" s="5"/>
    </row>
    <row r="1560" customFormat="false" ht="15" hidden="false" customHeight="true" outlineLevel="0" collapsed="false">
      <c r="A1560" s="4" t="n">
        <v>1559</v>
      </c>
      <c r="B1560" s="6" t="s">
        <v>1787</v>
      </c>
      <c r="C1560" s="6" t="s">
        <v>5241</v>
      </c>
      <c r="D1560" s="6" t="s">
        <v>5242</v>
      </c>
      <c r="E1560" s="7" t="s">
        <v>21</v>
      </c>
      <c r="F1560" s="6" t="s">
        <v>5660</v>
      </c>
      <c r="G1560" s="6" t="s">
        <v>5661</v>
      </c>
      <c r="H1560" s="6" t="s">
        <v>5662</v>
      </c>
      <c r="I1560" s="6" t="s">
        <v>5663</v>
      </c>
      <c r="J1560" s="6" t="s">
        <v>5664</v>
      </c>
      <c r="K1560" s="5"/>
      <c r="L1560" s="4" t="s">
        <v>51</v>
      </c>
      <c r="M1560" s="8" t="s">
        <v>129</v>
      </c>
      <c r="N1560" s="9" t="s">
        <v>1955</v>
      </c>
      <c r="O1560" s="5"/>
      <c r="P1560" s="5"/>
      <c r="Q1560" s="6" t="s">
        <v>30</v>
      </c>
      <c r="R1560" s="4" t="s">
        <v>31</v>
      </c>
      <c r="S1560" s="7" t="s">
        <v>32</v>
      </c>
      <c r="T1560" s="5"/>
    </row>
    <row r="1561" customFormat="false" ht="15" hidden="false" customHeight="true" outlineLevel="0" collapsed="false">
      <c r="A1561" s="4" t="n">
        <v>1560</v>
      </c>
      <c r="B1561" s="6" t="s">
        <v>1787</v>
      </c>
      <c r="C1561" s="6" t="s">
        <v>5241</v>
      </c>
      <c r="D1561" s="6" t="s">
        <v>5242</v>
      </c>
      <c r="E1561" s="7" t="s">
        <v>21</v>
      </c>
      <c r="F1561" s="6" t="s">
        <v>5665</v>
      </c>
      <c r="G1561" s="6" t="s">
        <v>3281</v>
      </c>
      <c r="H1561" s="6" t="s">
        <v>4204</v>
      </c>
      <c r="I1561" s="6" t="s">
        <v>5623</v>
      </c>
      <c r="J1561" s="6" t="s">
        <v>5622</v>
      </c>
      <c r="K1561" s="5"/>
      <c r="L1561" s="4" t="s">
        <v>51</v>
      </c>
      <c r="M1561" s="8" t="s">
        <v>129</v>
      </c>
      <c r="N1561" s="9" t="s">
        <v>1955</v>
      </c>
      <c r="O1561" s="5"/>
      <c r="P1561" s="5"/>
      <c r="Q1561" s="6" t="s">
        <v>30</v>
      </c>
      <c r="R1561" s="4" t="s">
        <v>31</v>
      </c>
      <c r="S1561" s="7" t="s">
        <v>32</v>
      </c>
      <c r="T1561" s="5"/>
    </row>
    <row r="1562" customFormat="false" ht="15" hidden="false" customHeight="true" outlineLevel="0" collapsed="false">
      <c r="A1562" s="4" t="n">
        <v>1561</v>
      </c>
      <c r="B1562" s="6" t="s">
        <v>1787</v>
      </c>
      <c r="C1562" s="6" t="s">
        <v>5241</v>
      </c>
      <c r="D1562" s="6" t="s">
        <v>5242</v>
      </c>
      <c r="E1562" s="7" t="s">
        <v>21</v>
      </c>
      <c r="F1562" s="6" t="s">
        <v>5666</v>
      </c>
      <c r="G1562" s="6" t="s">
        <v>3281</v>
      </c>
      <c r="H1562" s="6" t="s">
        <v>4204</v>
      </c>
      <c r="I1562" s="6" t="s">
        <v>5623</v>
      </c>
      <c r="J1562" s="6" t="s">
        <v>5622</v>
      </c>
      <c r="K1562" s="5"/>
      <c r="L1562" s="4" t="s">
        <v>44</v>
      </c>
      <c r="M1562" s="8" t="s">
        <v>129</v>
      </c>
      <c r="N1562" s="9" t="s">
        <v>1955</v>
      </c>
      <c r="O1562" s="5"/>
      <c r="P1562" s="5"/>
      <c r="Q1562" s="6" t="s">
        <v>30</v>
      </c>
      <c r="R1562" s="4" t="s">
        <v>31</v>
      </c>
      <c r="S1562" s="7" t="s">
        <v>32</v>
      </c>
      <c r="T1562" s="5"/>
    </row>
    <row r="1563" customFormat="false" ht="15" hidden="false" customHeight="true" outlineLevel="0" collapsed="false">
      <c r="A1563" s="4" t="n">
        <v>1562</v>
      </c>
      <c r="B1563" s="6" t="s">
        <v>1787</v>
      </c>
      <c r="C1563" s="6" t="s">
        <v>5241</v>
      </c>
      <c r="D1563" s="6" t="s">
        <v>5242</v>
      </c>
      <c r="E1563" s="7" t="s">
        <v>21</v>
      </c>
      <c r="F1563" s="6" t="s">
        <v>5667</v>
      </c>
      <c r="G1563" s="6" t="s">
        <v>3281</v>
      </c>
      <c r="H1563" s="6" t="s">
        <v>4204</v>
      </c>
      <c r="I1563" s="6" t="s">
        <v>5623</v>
      </c>
      <c r="J1563" s="6" t="s">
        <v>5622</v>
      </c>
      <c r="K1563" s="5"/>
      <c r="L1563" s="4" t="s">
        <v>62</v>
      </c>
      <c r="M1563" s="8" t="s">
        <v>129</v>
      </c>
      <c r="N1563" s="9" t="s">
        <v>1955</v>
      </c>
      <c r="O1563" s="5"/>
      <c r="P1563" s="5"/>
      <c r="Q1563" s="6" t="s">
        <v>30</v>
      </c>
      <c r="R1563" s="4" t="s">
        <v>31</v>
      </c>
      <c r="S1563" s="7" t="s">
        <v>32</v>
      </c>
      <c r="T1563" s="5"/>
    </row>
    <row r="1564" customFormat="false" ht="29.25" hidden="false" customHeight="true" outlineLevel="0" collapsed="false">
      <c r="A1564" s="4" t="n">
        <v>1563</v>
      </c>
      <c r="B1564" s="6" t="s">
        <v>1787</v>
      </c>
      <c r="C1564" s="6" t="s">
        <v>5241</v>
      </c>
      <c r="D1564" s="6" t="s">
        <v>5242</v>
      </c>
      <c r="E1564" s="7" t="s">
        <v>21</v>
      </c>
      <c r="F1564" s="6" t="s">
        <v>5668</v>
      </c>
      <c r="G1564" s="6" t="s">
        <v>5669</v>
      </c>
      <c r="H1564" s="6" t="s">
        <v>5670</v>
      </c>
      <c r="I1564" s="6" t="s">
        <v>5669</v>
      </c>
      <c r="J1564" s="6" t="s">
        <v>5671</v>
      </c>
      <c r="K1564" s="5"/>
      <c r="L1564" s="4" t="s">
        <v>44</v>
      </c>
      <c r="M1564" s="8" t="s">
        <v>28</v>
      </c>
      <c r="N1564" s="9" t="s">
        <v>1955</v>
      </c>
      <c r="O1564" s="5"/>
      <c r="P1564" s="5"/>
      <c r="Q1564" s="6" t="s">
        <v>30</v>
      </c>
      <c r="R1564" s="4" t="s">
        <v>31</v>
      </c>
      <c r="S1564" s="7" t="s">
        <v>32</v>
      </c>
      <c r="T1564" s="5"/>
    </row>
    <row r="1565" customFormat="false" ht="29.25" hidden="false" customHeight="true" outlineLevel="0" collapsed="false">
      <c r="A1565" s="4" t="n">
        <v>1564</v>
      </c>
      <c r="B1565" s="6" t="s">
        <v>1787</v>
      </c>
      <c r="C1565" s="6" t="s">
        <v>5241</v>
      </c>
      <c r="D1565" s="6" t="s">
        <v>5242</v>
      </c>
      <c r="E1565" s="7" t="s">
        <v>21</v>
      </c>
      <c r="F1565" s="6" t="s">
        <v>5672</v>
      </c>
      <c r="G1565" s="6" t="s">
        <v>5669</v>
      </c>
      <c r="H1565" s="6" t="s">
        <v>5673</v>
      </c>
      <c r="I1565" s="6" t="s">
        <v>5674</v>
      </c>
      <c r="J1565" s="6" t="s">
        <v>5675</v>
      </c>
      <c r="K1565" s="5"/>
      <c r="L1565" s="4" t="s">
        <v>51</v>
      </c>
      <c r="M1565" s="8" t="s">
        <v>79</v>
      </c>
      <c r="N1565" s="9" t="s">
        <v>1955</v>
      </c>
      <c r="O1565" s="5"/>
      <c r="P1565" s="5"/>
      <c r="Q1565" s="6" t="s">
        <v>30</v>
      </c>
      <c r="R1565" s="4" t="s">
        <v>31</v>
      </c>
      <c r="S1565" s="7" t="s">
        <v>32</v>
      </c>
      <c r="T1565" s="5"/>
    </row>
    <row r="1566" customFormat="false" ht="15" hidden="false" customHeight="true" outlineLevel="0" collapsed="false">
      <c r="A1566" s="4" t="n">
        <v>1565</v>
      </c>
      <c r="B1566" s="6" t="s">
        <v>1787</v>
      </c>
      <c r="C1566" s="6" t="s">
        <v>5241</v>
      </c>
      <c r="D1566" s="6" t="s">
        <v>5242</v>
      </c>
      <c r="E1566" s="7" t="s">
        <v>21</v>
      </c>
      <c r="F1566" s="6" t="s">
        <v>5676</v>
      </c>
      <c r="G1566" s="6" t="s">
        <v>5330</v>
      </c>
      <c r="H1566" s="6" t="s">
        <v>5677</v>
      </c>
      <c r="I1566" s="6" t="s">
        <v>5306</v>
      </c>
      <c r="J1566" s="6" t="s">
        <v>5497</v>
      </c>
      <c r="K1566" s="5"/>
      <c r="L1566" s="4" t="s">
        <v>27</v>
      </c>
      <c r="M1566" s="8" t="s">
        <v>129</v>
      </c>
      <c r="N1566" s="9" t="s">
        <v>1955</v>
      </c>
      <c r="O1566" s="5"/>
      <c r="P1566" s="5"/>
      <c r="Q1566" s="6" t="s">
        <v>30</v>
      </c>
      <c r="R1566" s="4" t="s">
        <v>31</v>
      </c>
      <c r="S1566" s="7" t="s">
        <v>32</v>
      </c>
      <c r="T1566" s="5"/>
    </row>
    <row r="1567" customFormat="false" ht="15" hidden="false" customHeight="true" outlineLevel="0" collapsed="false">
      <c r="A1567" s="4" t="n">
        <v>1566</v>
      </c>
      <c r="B1567" s="6" t="s">
        <v>1787</v>
      </c>
      <c r="C1567" s="6" t="s">
        <v>5241</v>
      </c>
      <c r="D1567" s="6" t="s">
        <v>5242</v>
      </c>
      <c r="E1567" s="7" t="s">
        <v>21</v>
      </c>
      <c r="F1567" s="6" t="s">
        <v>5678</v>
      </c>
      <c r="G1567" s="6" t="s">
        <v>5679</v>
      </c>
      <c r="H1567" s="6" t="s">
        <v>5680</v>
      </c>
      <c r="I1567" s="6" t="s">
        <v>5681</v>
      </c>
      <c r="J1567" s="6" t="s">
        <v>5677</v>
      </c>
      <c r="K1567" s="5"/>
      <c r="L1567" s="4" t="s">
        <v>51</v>
      </c>
      <c r="M1567" s="8" t="s">
        <v>129</v>
      </c>
      <c r="N1567" s="9" t="s">
        <v>1955</v>
      </c>
      <c r="O1567" s="5"/>
      <c r="P1567" s="5"/>
      <c r="Q1567" s="6" t="s">
        <v>30</v>
      </c>
      <c r="R1567" s="4" t="s">
        <v>31</v>
      </c>
      <c r="S1567" s="7" t="s">
        <v>32</v>
      </c>
      <c r="T1567" s="5"/>
    </row>
    <row r="1568" customFormat="false" ht="15" hidden="false" customHeight="true" outlineLevel="0" collapsed="false">
      <c r="A1568" s="4" t="n">
        <v>1567</v>
      </c>
      <c r="B1568" s="6" t="s">
        <v>1787</v>
      </c>
      <c r="C1568" s="6" t="s">
        <v>5241</v>
      </c>
      <c r="D1568" s="6" t="s">
        <v>5242</v>
      </c>
      <c r="E1568" s="7" t="s">
        <v>21</v>
      </c>
      <c r="F1568" s="6" t="s">
        <v>5682</v>
      </c>
      <c r="G1568" s="6" t="s">
        <v>5330</v>
      </c>
      <c r="H1568" s="6" t="s">
        <v>5681</v>
      </c>
      <c r="I1568" s="6" t="s">
        <v>5683</v>
      </c>
      <c r="J1568" s="6" t="s">
        <v>5679</v>
      </c>
      <c r="K1568" s="5"/>
      <c r="L1568" s="4" t="s">
        <v>27</v>
      </c>
      <c r="M1568" s="8" t="s">
        <v>129</v>
      </c>
      <c r="N1568" s="9" t="s">
        <v>1955</v>
      </c>
      <c r="O1568" s="5"/>
      <c r="P1568" s="5"/>
      <c r="Q1568" s="6" t="s">
        <v>30</v>
      </c>
      <c r="R1568" s="4" t="s">
        <v>31</v>
      </c>
      <c r="S1568" s="7" t="s">
        <v>32</v>
      </c>
      <c r="T1568" s="5"/>
    </row>
    <row r="1569" customFormat="false" ht="29.25" hidden="false" customHeight="true" outlineLevel="0" collapsed="false">
      <c r="A1569" s="4" t="n">
        <v>1568</v>
      </c>
      <c r="B1569" s="6" t="s">
        <v>1787</v>
      </c>
      <c r="C1569" s="6" t="s">
        <v>5241</v>
      </c>
      <c r="D1569" s="6" t="s">
        <v>5242</v>
      </c>
      <c r="E1569" s="7" t="s">
        <v>21</v>
      </c>
      <c r="F1569" s="6" t="s">
        <v>5684</v>
      </c>
      <c r="G1569" s="6" t="s">
        <v>5685</v>
      </c>
      <c r="H1569" s="6" t="s">
        <v>5608</v>
      </c>
      <c r="I1569" s="6" t="s">
        <v>5686</v>
      </c>
      <c r="J1569" s="6" t="s">
        <v>2215</v>
      </c>
      <c r="K1569" s="5"/>
      <c r="L1569" s="4" t="s">
        <v>62</v>
      </c>
      <c r="M1569" s="8" t="s">
        <v>79</v>
      </c>
      <c r="N1569" s="9" t="s">
        <v>1955</v>
      </c>
      <c r="O1569" s="5"/>
      <c r="P1569" s="5"/>
      <c r="Q1569" s="6" t="s">
        <v>30</v>
      </c>
      <c r="R1569" s="4" t="s">
        <v>31</v>
      </c>
      <c r="S1569" s="7" t="s">
        <v>32</v>
      </c>
      <c r="T1569" s="5"/>
    </row>
    <row r="1570" customFormat="false" ht="29.25" hidden="false" customHeight="true" outlineLevel="0" collapsed="false">
      <c r="A1570" s="4" t="n">
        <v>1569</v>
      </c>
      <c r="B1570" s="6" t="s">
        <v>1787</v>
      </c>
      <c r="C1570" s="6" t="s">
        <v>5241</v>
      </c>
      <c r="D1570" s="6" t="s">
        <v>5242</v>
      </c>
      <c r="E1570" s="7" t="s">
        <v>21</v>
      </c>
      <c r="F1570" s="6" t="s">
        <v>5687</v>
      </c>
      <c r="G1570" s="6" t="s">
        <v>5688</v>
      </c>
      <c r="H1570" s="6" t="s">
        <v>5689</v>
      </c>
      <c r="I1570" s="6" t="s">
        <v>5690</v>
      </c>
      <c r="J1570" s="6" t="s">
        <v>5691</v>
      </c>
      <c r="K1570" s="5"/>
      <c r="L1570" s="4" t="s">
        <v>44</v>
      </c>
      <c r="M1570" s="8" t="s">
        <v>79</v>
      </c>
      <c r="N1570" s="9" t="s">
        <v>1955</v>
      </c>
      <c r="O1570" s="5"/>
      <c r="P1570" s="5"/>
      <c r="Q1570" s="6" t="s">
        <v>30</v>
      </c>
      <c r="R1570" s="4" t="s">
        <v>31</v>
      </c>
      <c r="S1570" s="7" t="s">
        <v>32</v>
      </c>
      <c r="T1570" s="5"/>
    </row>
    <row r="1571" customFormat="false" ht="15" hidden="false" customHeight="true" outlineLevel="0" collapsed="false">
      <c r="A1571" s="4" t="n">
        <v>1570</v>
      </c>
      <c r="B1571" s="6" t="s">
        <v>1787</v>
      </c>
      <c r="C1571" s="6" t="s">
        <v>5241</v>
      </c>
      <c r="D1571" s="6" t="s">
        <v>5242</v>
      </c>
      <c r="E1571" s="7" t="s">
        <v>21</v>
      </c>
      <c r="F1571" s="6" t="s">
        <v>5692</v>
      </c>
      <c r="G1571" s="6" t="s">
        <v>5688</v>
      </c>
      <c r="H1571" s="6" t="s">
        <v>5689</v>
      </c>
      <c r="I1571" s="6" t="s">
        <v>5693</v>
      </c>
      <c r="J1571" s="6" t="s">
        <v>5694</v>
      </c>
      <c r="K1571" s="5"/>
      <c r="L1571" s="4" t="s">
        <v>51</v>
      </c>
      <c r="M1571" s="8" t="s">
        <v>129</v>
      </c>
      <c r="N1571" s="9" t="s">
        <v>1955</v>
      </c>
      <c r="O1571" s="5"/>
      <c r="P1571" s="5"/>
      <c r="Q1571" s="6" t="s">
        <v>30</v>
      </c>
      <c r="R1571" s="4" t="s">
        <v>31</v>
      </c>
      <c r="S1571" s="7" t="s">
        <v>32</v>
      </c>
      <c r="T1571" s="5"/>
    </row>
    <row r="1572" customFormat="false" ht="15" hidden="false" customHeight="true" outlineLevel="0" collapsed="false">
      <c r="A1572" s="4" t="n">
        <v>1571</v>
      </c>
      <c r="B1572" s="6" t="s">
        <v>1787</v>
      </c>
      <c r="C1572" s="6" t="s">
        <v>5241</v>
      </c>
      <c r="D1572" s="6" t="s">
        <v>5242</v>
      </c>
      <c r="E1572" s="7" t="s">
        <v>21</v>
      </c>
      <c r="F1572" s="6" t="s">
        <v>5695</v>
      </c>
      <c r="G1572" s="6" t="s">
        <v>5688</v>
      </c>
      <c r="H1572" s="6" t="s">
        <v>5689</v>
      </c>
      <c r="I1572" s="6" t="s">
        <v>5693</v>
      </c>
      <c r="J1572" s="6" t="s">
        <v>5694</v>
      </c>
      <c r="K1572" s="5"/>
      <c r="L1572" s="4" t="s">
        <v>62</v>
      </c>
      <c r="M1572" s="8" t="s">
        <v>129</v>
      </c>
      <c r="N1572" s="9" t="s">
        <v>1955</v>
      </c>
      <c r="O1572" s="5"/>
      <c r="P1572" s="5"/>
      <c r="Q1572" s="6" t="s">
        <v>30</v>
      </c>
      <c r="R1572" s="4" t="s">
        <v>31</v>
      </c>
      <c r="S1572" s="7" t="s">
        <v>32</v>
      </c>
      <c r="T1572" s="5"/>
    </row>
    <row r="1573" customFormat="false" ht="15" hidden="false" customHeight="true" outlineLevel="0" collapsed="false">
      <c r="A1573" s="4" t="n">
        <v>1572</v>
      </c>
      <c r="B1573" s="6" t="s">
        <v>1787</v>
      </c>
      <c r="C1573" s="6" t="s">
        <v>5241</v>
      </c>
      <c r="D1573" s="6" t="s">
        <v>5242</v>
      </c>
      <c r="E1573" s="7" t="s">
        <v>21</v>
      </c>
      <c r="F1573" s="6" t="s">
        <v>5696</v>
      </c>
      <c r="G1573" s="6" t="s">
        <v>5410</v>
      </c>
      <c r="H1573" s="6" t="s">
        <v>208</v>
      </c>
      <c r="I1573" s="6" t="s">
        <v>5697</v>
      </c>
      <c r="J1573" s="6" t="s">
        <v>210</v>
      </c>
      <c r="K1573" s="5"/>
      <c r="L1573" s="4" t="s">
        <v>27</v>
      </c>
      <c r="M1573" s="8" t="s">
        <v>129</v>
      </c>
      <c r="N1573" s="9" t="s">
        <v>1955</v>
      </c>
      <c r="O1573" s="5"/>
      <c r="P1573" s="5"/>
      <c r="Q1573" s="6" t="s">
        <v>30</v>
      </c>
      <c r="R1573" s="4" t="s">
        <v>31</v>
      </c>
      <c r="S1573" s="7" t="s">
        <v>32</v>
      </c>
      <c r="T1573" s="5"/>
    </row>
    <row r="1574" customFormat="false" ht="15" hidden="false" customHeight="true" outlineLevel="0" collapsed="false">
      <c r="A1574" s="4" t="n">
        <v>1573</v>
      </c>
      <c r="B1574" s="6" t="s">
        <v>1787</v>
      </c>
      <c r="C1574" s="6" t="s">
        <v>5241</v>
      </c>
      <c r="D1574" s="6" t="s">
        <v>5242</v>
      </c>
      <c r="E1574" s="7" t="s">
        <v>21</v>
      </c>
      <c r="F1574" s="6" t="s">
        <v>5698</v>
      </c>
      <c r="G1574" s="6" t="s">
        <v>5699</v>
      </c>
      <c r="H1574" s="6" t="s">
        <v>5700</v>
      </c>
      <c r="I1574" s="6" t="s">
        <v>5701</v>
      </c>
      <c r="J1574" s="6" t="s">
        <v>78</v>
      </c>
      <c r="K1574" s="5"/>
      <c r="L1574" s="4" t="s">
        <v>44</v>
      </c>
      <c r="M1574" s="8" t="s">
        <v>79</v>
      </c>
      <c r="N1574" s="9" t="s">
        <v>1955</v>
      </c>
      <c r="O1574" s="5"/>
      <c r="P1574" s="5"/>
      <c r="Q1574" s="6" t="s">
        <v>30</v>
      </c>
      <c r="R1574" s="4" t="s">
        <v>31</v>
      </c>
      <c r="S1574" s="7" t="s">
        <v>32</v>
      </c>
      <c r="T1574" s="5"/>
    </row>
    <row r="1575" customFormat="false" ht="15" hidden="false" customHeight="true" outlineLevel="0" collapsed="false">
      <c r="A1575" s="4" t="n">
        <v>1574</v>
      </c>
      <c r="B1575" s="6" t="s">
        <v>1787</v>
      </c>
      <c r="C1575" s="6" t="s">
        <v>5241</v>
      </c>
      <c r="D1575" s="6" t="s">
        <v>5242</v>
      </c>
      <c r="E1575" s="7" t="s">
        <v>21</v>
      </c>
      <c r="F1575" s="6" t="s">
        <v>5702</v>
      </c>
      <c r="G1575" s="6" t="s">
        <v>5699</v>
      </c>
      <c r="H1575" s="6" t="s">
        <v>5700</v>
      </c>
      <c r="I1575" s="6" t="s">
        <v>5701</v>
      </c>
      <c r="J1575" s="6" t="s">
        <v>5703</v>
      </c>
      <c r="K1575" s="5"/>
      <c r="L1575" s="4" t="s">
        <v>51</v>
      </c>
      <c r="M1575" s="8" t="s">
        <v>129</v>
      </c>
      <c r="N1575" s="9" t="s">
        <v>1955</v>
      </c>
      <c r="O1575" s="5"/>
      <c r="P1575" s="5"/>
      <c r="Q1575" s="6" t="s">
        <v>30</v>
      </c>
      <c r="R1575" s="4" t="s">
        <v>31</v>
      </c>
      <c r="S1575" s="7" t="s">
        <v>32</v>
      </c>
      <c r="T1575" s="5"/>
    </row>
    <row r="1576" customFormat="false" ht="29.25" hidden="false" customHeight="true" outlineLevel="0" collapsed="false">
      <c r="A1576" s="4" t="n">
        <v>1575</v>
      </c>
      <c r="B1576" s="6" t="s">
        <v>1787</v>
      </c>
      <c r="C1576" s="6" t="s">
        <v>5241</v>
      </c>
      <c r="D1576" s="6" t="s">
        <v>5242</v>
      </c>
      <c r="E1576" s="7" t="s">
        <v>21</v>
      </c>
      <c r="F1576" s="6" t="s">
        <v>5704</v>
      </c>
      <c r="G1576" s="6" t="s">
        <v>5705</v>
      </c>
      <c r="H1576" s="6" t="s">
        <v>5706</v>
      </c>
      <c r="I1576" s="6" t="s">
        <v>5707</v>
      </c>
      <c r="J1576" s="6" t="s">
        <v>5708</v>
      </c>
      <c r="K1576" s="5"/>
      <c r="L1576" s="4" t="s">
        <v>27</v>
      </c>
      <c r="M1576" s="8" t="s">
        <v>79</v>
      </c>
      <c r="N1576" s="9" t="s">
        <v>1955</v>
      </c>
      <c r="O1576" s="5"/>
      <c r="P1576" s="5"/>
      <c r="Q1576" s="6" t="s">
        <v>30</v>
      </c>
      <c r="R1576" s="4" t="s">
        <v>31</v>
      </c>
      <c r="S1576" s="7" t="s">
        <v>32</v>
      </c>
      <c r="T1576" s="5"/>
    </row>
    <row r="1577" customFormat="false" ht="15" hidden="false" customHeight="true" outlineLevel="0" collapsed="false">
      <c r="A1577" s="4" t="n">
        <v>1576</v>
      </c>
      <c r="B1577" s="6" t="s">
        <v>1787</v>
      </c>
      <c r="C1577" s="6" t="s">
        <v>5241</v>
      </c>
      <c r="D1577" s="6" t="s">
        <v>5242</v>
      </c>
      <c r="E1577" s="7" t="s">
        <v>21</v>
      </c>
      <c r="F1577" s="6" t="s">
        <v>5709</v>
      </c>
      <c r="G1577" s="6" t="s">
        <v>5699</v>
      </c>
      <c r="H1577" s="6" t="s">
        <v>5700</v>
      </c>
      <c r="I1577" s="6" t="s">
        <v>5701</v>
      </c>
      <c r="J1577" s="6" t="s">
        <v>5703</v>
      </c>
      <c r="K1577" s="5"/>
      <c r="L1577" s="4" t="s">
        <v>62</v>
      </c>
      <c r="M1577" s="8" t="s">
        <v>129</v>
      </c>
      <c r="N1577" s="9" t="s">
        <v>1955</v>
      </c>
      <c r="O1577" s="5"/>
      <c r="P1577" s="5"/>
      <c r="Q1577" s="6" t="s">
        <v>30</v>
      </c>
      <c r="R1577" s="4" t="s">
        <v>31</v>
      </c>
      <c r="S1577" s="7" t="s">
        <v>32</v>
      </c>
      <c r="T1577" s="5"/>
    </row>
    <row r="1578" customFormat="false" ht="29.25" hidden="false" customHeight="true" outlineLevel="0" collapsed="false">
      <c r="A1578" s="4" t="n">
        <v>1577</v>
      </c>
      <c r="B1578" s="6" t="s">
        <v>1787</v>
      </c>
      <c r="C1578" s="6" t="s">
        <v>5241</v>
      </c>
      <c r="D1578" s="6" t="s">
        <v>5242</v>
      </c>
      <c r="E1578" s="7" t="s">
        <v>21</v>
      </c>
      <c r="F1578" s="6" t="s">
        <v>5710</v>
      </c>
      <c r="G1578" s="6" t="s">
        <v>5705</v>
      </c>
      <c r="H1578" s="6" t="s">
        <v>5706</v>
      </c>
      <c r="I1578" s="6" t="s">
        <v>5707</v>
      </c>
      <c r="J1578" s="6" t="s">
        <v>5708</v>
      </c>
      <c r="K1578" s="5"/>
      <c r="L1578" s="4" t="s">
        <v>51</v>
      </c>
      <c r="M1578" s="8" t="s">
        <v>79</v>
      </c>
      <c r="N1578" s="9" t="s">
        <v>1955</v>
      </c>
      <c r="O1578" s="5"/>
      <c r="P1578" s="5"/>
      <c r="Q1578" s="6" t="s">
        <v>30</v>
      </c>
      <c r="R1578" s="4" t="s">
        <v>31</v>
      </c>
      <c r="S1578" s="7" t="s">
        <v>32</v>
      </c>
      <c r="T1578" s="5"/>
    </row>
    <row r="1579" customFormat="false" ht="15" hidden="false" customHeight="true" outlineLevel="0" collapsed="false">
      <c r="A1579" s="4" t="n">
        <v>1578</v>
      </c>
      <c r="B1579" s="6" t="s">
        <v>1787</v>
      </c>
      <c r="C1579" s="6" t="s">
        <v>5241</v>
      </c>
      <c r="D1579" s="6" t="s">
        <v>5242</v>
      </c>
      <c r="E1579" s="7" t="s">
        <v>21</v>
      </c>
      <c r="F1579" s="6" t="s">
        <v>5711</v>
      </c>
      <c r="G1579" s="6" t="s">
        <v>5699</v>
      </c>
      <c r="H1579" s="6" t="s">
        <v>5700</v>
      </c>
      <c r="I1579" s="6" t="s">
        <v>5701</v>
      </c>
      <c r="J1579" s="6" t="s">
        <v>5703</v>
      </c>
      <c r="K1579" s="5"/>
      <c r="L1579" s="4" t="s">
        <v>27</v>
      </c>
      <c r="M1579" s="8" t="s">
        <v>129</v>
      </c>
      <c r="N1579" s="9" t="s">
        <v>1955</v>
      </c>
      <c r="O1579" s="5"/>
      <c r="P1579" s="5"/>
      <c r="Q1579" s="6" t="s">
        <v>30</v>
      </c>
      <c r="R1579" s="4" t="s">
        <v>31</v>
      </c>
      <c r="S1579" s="7" t="s">
        <v>32</v>
      </c>
      <c r="T1579" s="5"/>
    </row>
    <row r="1580" customFormat="false" ht="29.25" hidden="false" customHeight="true" outlineLevel="0" collapsed="false">
      <c r="A1580" s="4" t="n">
        <v>1579</v>
      </c>
      <c r="B1580" s="6" t="s">
        <v>1787</v>
      </c>
      <c r="C1580" s="6" t="s">
        <v>5241</v>
      </c>
      <c r="D1580" s="6" t="s">
        <v>5242</v>
      </c>
      <c r="E1580" s="7" t="s">
        <v>21</v>
      </c>
      <c r="F1580" s="6" t="s">
        <v>5712</v>
      </c>
      <c r="G1580" s="6" t="s">
        <v>5705</v>
      </c>
      <c r="H1580" s="6" t="s">
        <v>5706</v>
      </c>
      <c r="I1580" s="6" t="s">
        <v>5707</v>
      </c>
      <c r="J1580" s="6" t="s">
        <v>5708</v>
      </c>
      <c r="K1580" s="5"/>
      <c r="L1580" s="4" t="s">
        <v>62</v>
      </c>
      <c r="M1580" s="8" t="s">
        <v>79</v>
      </c>
      <c r="N1580" s="9" t="s">
        <v>1955</v>
      </c>
      <c r="O1580" s="5"/>
      <c r="P1580" s="5"/>
      <c r="Q1580" s="6" t="s">
        <v>30</v>
      </c>
      <c r="R1580" s="4" t="s">
        <v>31</v>
      </c>
      <c r="S1580" s="7" t="s">
        <v>32</v>
      </c>
      <c r="T1580" s="5"/>
    </row>
    <row r="1581" customFormat="false" ht="15" hidden="false" customHeight="true" outlineLevel="0" collapsed="false">
      <c r="A1581" s="4" t="n">
        <v>1580</v>
      </c>
      <c r="B1581" s="6" t="s">
        <v>1787</v>
      </c>
      <c r="C1581" s="6" t="s">
        <v>5241</v>
      </c>
      <c r="D1581" s="6" t="s">
        <v>5242</v>
      </c>
      <c r="E1581" s="7" t="s">
        <v>21</v>
      </c>
      <c r="F1581" s="6" t="s">
        <v>5713</v>
      </c>
      <c r="G1581" s="6" t="s">
        <v>5422</v>
      </c>
      <c r="H1581" s="6" t="s">
        <v>5423</v>
      </c>
      <c r="I1581" s="6" t="s">
        <v>5424</v>
      </c>
      <c r="J1581" s="6" t="s">
        <v>150</v>
      </c>
      <c r="K1581" s="5"/>
      <c r="L1581" s="4" t="s">
        <v>27</v>
      </c>
      <c r="M1581" s="8" t="s">
        <v>79</v>
      </c>
      <c r="N1581" s="9" t="s">
        <v>1955</v>
      </c>
      <c r="O1581" s="5"/>
      <c r="P1581" s="5"/>
      <c r="Q1581" s="6" t="s">
        <v>30</v>
      </c>
      <c r="R1581" s="4" t="s">
        <v>31</v>
      </c>
      <c r="S1581" s="7" t="s">
        <v>32</v>
      </c>
      <c r="T1581" s="5"/>
    </row>
    <row r="1582" customFormat="false" ht="15" hidden="false" customHeight="true" outlineLevel="0" collapsed="false">
      <c r="A1582" s="4" t="n">
        <v>1581</v>
      </c>
      <c r="B1582" s="6" t="s">
        <v>1787</v>
      </c>
      <c r="C1582" s="6" t="s">
        <v>5241</v>
      </c>
      <c r="D1582" s="6" t="s">
        <v>5242</v>
      </c>
      <c r="E1582" s="7" t="s">
        <v>21</v>
      </c>
      <c r="F1582" s="6" t="s">
        <v>5714</v>
      </c>
      <c r="G1582" s="6" t="s">
        <v>5422</v>
      </c>
      <c r="H1582" s="6" t="s">
        <v>5423</v>
      </c>
      <c r="I1582" s="6" t="s">
        <v>5424</v>
      </c>
      <c r="J1582" s="6" t="s">
        <v>150</v>
      </c>
      <c r="K1582" s="5"/>
      <c r="L1582" s="4" t="s">
        <v>27</v>
      </c>
      <c r="M1582" s="8" t="s">
        <v>79</v>
      </c>
      <c r="N1582" s="9" t="s">
        <v>1955</v>
      </c>
      <c r="O1582" s="5"/>
      <c r="P1582" s="5"/>
      <c r="Q1582" s="6" t="s">
        <v>30</v>
      </c>
      <c r="R1582" s="4" t="s">
        <v>31</v>
      </c>
      <c r="S1582" s="7" t="s">
        <v>32</v>
      </c>
      <c r="T1582" s="5"/>
    </row>
    <row r="1583" customFormat="false" ht="15" hidden="false" customHeight="true" outlineLevel="0" collapsed="false">
      <c r="A1583" s="4" t="n">
        <v>1582</v>
      </c>
      <c r="B1583" s="6" t="s">
        <v>1787</v>
      </c>
      <c r="C1583" s="6" t="s">
        <v>5241</v>
      </c>
      <c r="D1583" s="6" t="s">
        <v>5242</v>
      </c>
      <c r="E1583" s="7" t="s">
        <v>21</v>
      </c>
      <c r="F1583" s="6" t="s">
        <v>5715</v>
      </c>
      <c r="G1583" s="6" t="s">
        <v>5422</v>
      </c>
      <c r="H1583" s="6" t="s">
        <v>5423</v>
      </c>
      <c r="I1583" s="6" t="s">
        <v>5424</v>
      </c>
      <c r="J1583" s="6" t="s">
        <v>150</v>
      </c>
      <c r="K1583" s="5"/>
      <c r="L1583" s="4" t="s">
        <v>27</v>
      </c>
      <c r="M1583" s="8" t="s">
        <v>79</v>
      </c>
      <c r="N1583" s="9" t="s">
        <v>1955</v>
      </c>
      <c r="O1583" s="5"/>
      <c r="P1583" s="5"/>
      <c r="Q1583" s="6" t="s">
        <v>30</v>
      </c>
      <c r="R1583" s="4" t="s">
        <v>31</v>
      </c>
      <c r="S1583" s="7" t="s">
        <v>32</v>
      </c>
      <c r="T1583" s="5"/>
    </row>
    <row r="1584" customFormat="false" ht="15" hidden="false" customHeight="true" outlineLevel="0" collapsed="false">
      <c r="A1584" s="4" t="n">
        <v>1583</v>
      </c>
      <c r="B1584" s="6" t="s">
        <v>1787</v>
      </c>
      <c r="C1584" s="6" t="s">
        <v>5241</v>
      </c>
      <c r="D1584" s="6" t="s">
        <v>5242</v>
      </c>
      <c r="E1584" s="7" t="s">
        <v>21</v>
      </c>
      <c r="F1584" s="6" t="s">
        <v>5716</v>
      </c>
      <c r="G1584" s="6" t="s">
        <v>5717</v>
      </c>
      <c r="H1584" s="6" t="s">
        <v>5718</v>
      </c>
      <c r="I1584" s="6" t="s">
        <v>5453</v>
      </c>
      <c r="J1584" s="6" t="s">
        <v>5608</v>
      </c>
      <c r="K1584" s="5"/>
      <c r="L1584" s="4" t="s">
        <v>44</v>
      </c>
      <c r="M1584" s="8" t="s">
        <v>79</v>
      </c>
      <c r="N1584" s="9" t="s">
        <v>1955</v>
      </c>
      <c r="O1584" s="5"/>
      <c r="P1584" s="5"/>
      <c r="Q1584" s="6" t="s">
        <v>30</v>
      </c>
      <c r="R1584" s="4" t="s">
        <v>31</v>
      </c>
      <c r="S1584" s="7" t="s">
        <v>32</v>
      </c>
      <c r="T1584" s="5"/>
    </row>
    <row r="1585" customFormat="false" ht="15" hidden="false" customHeight="true" outlineLevel="0" collapsed="false">
      <c r="A1585" s="4" t="n">
        <v>1584</v>
      </c>
      <c r="B1585" s="6" t="s">
        <v>1787</v>
      </c>
      <c r="C1585" s="6" t="s">
        <v>5241</v>
      </c>
      <c r="D1585" s="6" t="s">
        <v>5242</v>
      </c>
      <c r="E1585" s="7" t="s">
        <v>21</v>
      </c>
      <c r="F1585" s="6" t="s">
        <v>5719</v>
      </c>
      <c r="G1585" s="6" t="s">
        <v>5720</v>
      </c>
      <c r="H1585" s="6" t="s">
        <v>5721</v>
      </c>
      <c r="I1585" s="6" t="s">
        <v>5722</v>
      </c>
      <c r="J1585" s="6" t="s">
        <v>5723</v>
      </c>
      <c r="K1585" s="5"/>
      <c r="L1585" s="4" t="s">
        <v>51</v>
      </c>
      <c r="M1585" s="8" t="s">
        <v>129</v>
      </c>
      <c r="N1585" s="9" t="s">
        <v>1955</v>
      </c>
      <c r="O1585" s="5"/>
      <c r="P1585" s="5"/>
      <c r="Q1585" s="6" t="s">
        <v>30</v>
      </c>
      <c r="R1585" s="4" t="s">
        <v>31</v>
      </c>
      <c r="S1585" s="7" t="s">
        <v>32</v>
      </c>
      <c r="T1585" s="5"/>
    </row>
    <row r="1586" customFormat="false" ht="29.25" hidden="false" customHeight="true" outlineLevel="0" collapsed="false">
      <c r="A1586" s="4" t="n">
        <v>1585</v>
      </c>
      <c r="B1586" s="6" t="s">
        <v>1787</v>
      </c>
      <c r="C1586" s="6" t="s">
        <v>5241</v>
      </c>
      <c r="D1586" s="6" t="s">
        <v>5242</v>
      </c>
      <c r="E1586" s="7" t="s">
        <v>21</v>
      </c>
      <c r="F1586" s="6" t="s">
        <v>5724</v>
      </c>
      <c r="G1586" s="6" t="s">
        <v>5500</v>
      </c>
      <c r="H1586" s="6" t="s">
        <v>535</v>
      </c>
      <c r="I1586" s="6" t="s">
        <v>1953</v>
      </c>
      <c r="J1586" s="6" t="s">
        <v>536</v>
      </c>
      <c r="K1586" s="5"/>
      <c r="L1586" s="4" t="s">
        <v>51</v>
      </c>
      <c r="M1586" s="8" t="s">
        <v>79</v>
      </c>
      <c r="N1586" s="9" t="s">
        <v>1955</v>
      </c>
      <c r="O1586" s="5"/>
      <c r="P1586" s="5"/>
      <c r="Q1586" s="6" t="s">
        <v>30</v>
      </c>
      <c r="R1586" s="4" t="s">
        <v>31</v>
      </c>
      <c r="S1586" s="7" t="s">
        <v>32</v>
      </c>
      <c r="T1586" s="5"/>
    </row>
    <row r="1587" customFormat="false" ht="15" hidden="false" customHeight="true" outlineLevel="0" collapsed="false">
      <c r="A1587" s="4" t="n">
        <v>1586</v>
      </c>
      <c r="B1587" s="6" t="s">
        <v>1787</v>
      </c>
      <c r="C1587" s="6" t="s">
        <v>5241</v>
      </c>
      <c r="D1587" s="6" t="s">
        <v>5242</v>
      </c>
      <c r="E1587" s="7" t="s">
        <v>21</v>
      </c>
      <c r="F1587" s="6" t="s">
        <v>5725</v>
      </c>
      <c r="G1587" s="6" t="s">
        <v>5726</v>
      </c>
      <c r="H1587" s="6" t="s">
        <v>5727</v>
      </c>
      <c r="I1587" s="6" t="s">
        <v>5728</v>
      </c>
      <c r="J1587" s="6" t="s">
        <v>5729</v>
      </c>
      <c r="K1587" s="5"/>
      <c r="L1587" s="4" t="s">
        <v>27</v>
      </c>
      <c r="M1587" s="8" t="s">
        <v>28</v>
      </c>
      <c r="N1587" s="9" t="s">
        <v>1955</v>
      </c>
      <c r="O1587" s="5"/>
      <c r="P1587" s="5"/>
      <c r="Q1587" s="6" t="s">
        <v>30</v>
      </c>
      <c r="R1587" s="4" t="s">
        <v>31</v>
      </c>
      <c r="S1587" s="7" t="s">
        <v>32</v>
      </c>
      <c r="T1587" s="5"/>
    </row>
    <row r="1588" customFormat="false" ht="29.25" hidden="false" customHeight="true" outlineLevel="0" collapsed="false">
      <c r="A1588" s="4" t="n">
        <v>1587</v>
      </c>
      <c r="B1588" s="6" t="s">
        <v>1787</v>
      </c>
      <c r="C1588" s="6" t="s">
        <v>5241</v>
      </c>
      <c r="D1588" s="6" t="s">
        <v>5242</v>
      </c>
      <c r="E1588" s="7" t="s">
        <v>21</v>
      </c>
      <c r="F1588" s="6" t="s">
        <v>5730</v>
      </c>
      <c r="G1588" s="6" t="s">
        <v>5731</v>
      </c>
      <c r="H1588" s="6" t="s">
        <v>5732</v>
      </c>
      <c r="I1588" s="6" t="s">
        <v>5733</v>
      </c>
      <c r="J1588" s="6" t="s">
        <v>5734</v>
      </c>
      <c r="K1588" s="5"/>
      <c r="L1588" s="4" t="s">
        <v>62</v>
      </c>
      <c r="M1588" s="8" t="s">
        <v>79</v>
      </c>
      <c r="N1588" s="9" t="s">
        <v>1955</v>
      </c>
      <c r="O1588" s="5"/>
      <c r="P1588" s="5"/>
      <c r="Q1588" s="6" t="s">
        <v>30</v>
      </c>
      <c r="R1588" s="4" t="s">
        <v>31</v>
      </c>
      <c r="S1588" s="7" t="s">
        <v>32</v>
      </c>
      <c r="T1588" s="5"/>
    </row>
    <row r="1589" customFormat="false" ht="29.25" hidden="false" customHeight="true" outlineLevel="0" collapsed="false">
      <c r="A1589" s="4" t="n">
        <v>1588</v>
      </c>
      <c r="B1589" s="6" t="s">
        <v>1787</v>
      </c>
      <c r="C1589" s="6" t="s">
        <v>5241</v>
      </c>
      <c r="D1589" s="6" t="s">
        <v>5242</v>
      </c>
      <c r="E1589" s="7" t="s">
        <v>21</v>
      </c>
      <c r="F1589" s="6" t="s">
        <v>5735</v>
      </c>
      <c r="G1589" s="6" t="s">
        <v>2167</v>
      </c>
      <c r="H1589" s="6" t="s">
        <v>2338</v>
      </c>
      <c r="I1589" s="6" t="s">
        <v>2340</v>
      </c>
      <c r="J1589" s="6" t="s">
        <v>2168</v>
      </c>
      <c r="K1589" s="5"/>
      <c r="L1589" s="4" t="s">
        <v>51</v>
      </c>
      <c r="M1589" s="8" t="s">
        <v>79</v>
      </c>
      <c r="N1589" s="9" t="s">
        <v>5325</v>
      </c>
      <c r="O1589" s="5"/>
      <c r="P1589" s="5"/>
      <c r="Q1589" s="6" t="s">
        <v>30</v>
      </c>
      <c r="R1589" s="4" t="s">
        <v>31</v>
      </c>
      <c r="S1589" s="7" t="s">
        <v>32</v>
      </c>
      <c r="T1589" s="5"/>
    </row>
    <row r="1590" customFormat="false" ht="29.25" hidden="false" customHeight="true" outlineLevel="0" collapsed="false">
      <c r="A1590" s="4" t="n">
        <v>1589</v>
      </c>
      <c r="B1590" s="6" t="s">
        <v>1787</v>
      </c>
      <c r="C1590" s="6" t="s">
        <v>5241</v>
      </c>
      <c r="D1590" s="6" t="s">
        <v>5242</v>
      </c>
      <c r="E1590" s="7" t="s">
        <v>21</v>
      </c>
      <c r="F1590" s="6" t="s">
        <v>5736</v>
      </c>
      <c r="G1590" s="6" t="s">
        <v>5381</v>
      </c>
      <c r="H1590" s="6" t="s">
        <v>2167</v>
      </c>
      <c r="I1590" s="6" t="s">
        <v>5429</v>
      </c>
      <c r="J1590" s="6" t="s">
        <v>2338</v>
      </c>
      <c r="K1590" s="5"/>
      <c r="L1590" s="4" t="s">
        <v>44</v>
      </c>
      <c r="M1590" s="8" t="s">
        <v>79</v>
      </c>
      <c r="N1590" s="9" t="s">
        <v>5325</v>
      </c>
      <c r="O1590" s="5"/>
      <c r="P1590" s="5"/>
      <c r="Q1590" s="6" t="s">
        <v>30</v>
      </c>
      <c r="R1590" s="4" t="s">
        <v>31</v>
      </c>
      <c r="S1590" s="7" t="s">
        <v>32</v>
      </c>
      <c r="T1590" s="5"/>
    </row>
    <row r="1591" customFormat="false" ht="29.25" hidden="false" customHeight="true" outlineLevel="0" collapsed="false">
      <c r="A1591" s="4" t="n">
        <v>1590</v>
      </c>
      <c r="B1591" s="6" t="s">
        <v>1787</v>
      </c>
      <c r="C1591" s="6" t="s">
        <v>5241</v>
      </c>
      <c r="D1591" s="6" t="s">
        <v>5242</v>
      </c>
      <c r="E1591" s="7" t="s">
        <v>21</v>
      </c>
      <c r="F1591" s="6" t="s">
        <v>5737</v>
      </c>
      <c r="G1591" s="6" t="s">
        <v>5738</v>
      </c>
      <c r="H1591" s="6" t="s">
        <v>5739</v>
      </c>
      <c r="I1591" s="6" t="s">
        <v>5740</v>
      </c>
      <c r="J1591" s="6" t="s">
        <v>5741</v>
      </c>
      <c r="K1591" s="5"/>
      <c r="L1591" s="4" t="s">
        <v>62</v>
      </c>
      <c r="M1591" s="8" t="s">
        <v>28</v>
      </c>
      <c r="N1591" s="9" t="s">
        <v>1955</v>
      </c>
      <c r="O1591" s="5"/>
      <c r="P1591" s="5"/>
      <c r="Q1591" s="6" t="s">
        <v>30</v>
      </c>
      <c r="R1591" s="4" t="s">
        <v>31</v>
      </c>
      <c r="S1591" s="7" t="s">
        <v>32</v>
      </c>
      <c r="T1591" s="5"/>
    </row>
    <row r="1592" customFormat="false" ht="15" hidden="false" customHeight="true" outlineLevel="0" collapsed="false">
      <c r="A1592" s="4" t="n">
        <v>1591</v>
      </c>
      <c r="B1592" s="6" t="s">
        <v>1787</v>
      </c>
      <c r="C1592" s="6" t="s">
        <v>5241</v>
      </c>
      <c r="D1592" s="6" t="s">
        <v>5242</v>
      </c>
      <c r="E1592" s="7" t="s">
        <v>21</v>
      </c>
      <c r="F1592" s="6" t="s">
        <v>5742</v>
      </c>
      <c r="G1592" s="6" t="s">
        <v>5743</v>
      </c>
      <c r="H1592" s="6" t="s">
        <v>5744</v>
      </c>
      <c r="I1592" s="6" t="s">
        <v>5745</v>
      </c>
      <c r="J1592" s="6" t="s">
        <v>5746</v>
      </c>
      <c r="K1592" s="5"/>
      <c r="L1592" s="4" t="s">
        <v>27</v>
      </c>
      <c r="M1592" s="8" t="s">
        <v>129</v>
      </c>
      <c r="N1592" s="9" t="s">
        <v>1955</v>
      </c>
      <c r="O1592" s="5"/>
      <c r="P1592" s="5"/>
      <c r="Q1592" s="6" t="s">
        <v>30</v>
      </c>
      <c r="R1592" s="4" t="s">
        <v>31</v>
      </c>
      <c r="S1592" s="7" t="s">
        <v>32</v>
      </c>
      <c r="T1592" s="5"/>
    </row>
    <row r="1593" customFormat="false" ht="29.25" hidden="false" customHeight="true" outlineLevel="0" collapsed="false">
      <c r="A1593" s="4" t="n">
        <v>1592</v>
      </c>
      <c r="B1593" s="6" t="s">
        <v>1787</v>
      </c>
      <c r="C1593" s="6" t="s">
        <v>5241</v>
      </c>
      <c r="D1593" s="6" t="s">
        <v>5242</v>
      </c>
      <c r="E1593" s="7" t="s">
        <v>21</v>
      </c>
      <c r="F1593" s="6" t="s">
        <v>5747</v>
      </c>
      <c r="G1593" s="6" t="s">
        <v>5536</v>
      </c>
      <c r="H1593" s="6" t="s">
        <v>5434</v>
      </c>
      <c r="I1593" s="6" t="s">
        <v>5435</v>
      </c>
      <c r="J1593" s="6" t="s">
        <v>5433</v>
      </c>
      <c r="K1593" s="5"/>
      <c r="L1593" s="4" t="s">
        <v>51</v>
      </c>
      <c r="M1593" s="8" t="s">
        <v>79</v>
      </c>
      <c r="N1593" s="9" t="s">
        <v>1955</v>
      </c>
      <c r="O1593" s="5"/>
      <c r="P1593" s="5"/>
      <c r="Q1593" s="6" t="s">
        <v>30</v>
      </c>
      <c r="R1593" s="4" t="s">
        <v>31</v>
      </c>
      <c r="S1593" s="7" t="s">
        <v>32</v>
      </c>
      <c r="T1593" s="5"/>
    </row>
    <row r="1594" customFormat="false" ht="15" hidden="false" customHeight="true" outlineLevel="0" collapsed="false">
      <c r="A1594" s="4" t="n">
        <v>1593</v>
      </c>
      <c r="B1594" s="6" t="s">
        <v>1787</v>
      </c>
      <c r="C1594" s="6" t="s">
        <v>5241</v>
      </c>
      <c r="D1594" s="6" t="s">
        <v>5242</v>
      </c>
      <c r="E1594" s="7" t="s">
        <v>21</v>
      </c>
      <c r="F1594" s="6" t="s">
        <v>5748</v>
      </c>
      <c r="G1594" s="6" t="s">
        <v>5749</v>
      </c>
      <c r="H1594" s="6" t="s">
        <v>5750</v>
      </c>
      <c r="I1594" s="6" t="s">
        <v>5751</v>
      </c>
      <c r="J1594" s="6" t="s">
        <v>5752</v>
      </c>
      <c r="K1594" s="5"/>
      <c r="L1594" s="4" t="s">
        <v>62</v>
      </c>
      <c r="M1594" s="8" t="s">
        <v>129</v>
      </c>
      <c r="N1594" s="9" t="s">
        <v>1955</v>
      </c>
      <c r="O1594" s="5"/>
      <c r="P1594" s="5"/>
      <c r="Q1594" s="6" t="s">
        <v>30</v>
      </c>
      <c r="R1594" s="4" t="s">
        <v>31</v>
      </c>
      <c r="S1594" s="7" t="s">
        <v>32</v>
      </c>
      <c r="T1594" s="5"/>
    </row>
    <row r="1595" customFormat="false" ht="29.25" hidden="false" customHeight="true" outlineLevel="0" collapsed="false">
      <c r="A1595" s="4" t="n">
        <v>1594</v>
      </c>
      <c r="B1595" s="6" t="s">
        <v>1787</v>
      </c>
      <c r="C1595" s="6" t="s">
        <v>5241</v>
      </c>
      <c r="D1595" s="6" t="s">
        <v>5242</v>
      </c>
      <c r="E1595" s="7" t="s">
        <v>21</v>
      </c>
      <c r="F1595" s="6" t="s">
        <v>5753</v>
      </c>
      <c r="G1595" s="6" t="s">
        <v>5754</v>
      </c>
      <c r="H1595" s="6" t="s">
        <v>5755</v>
      </c>
      <c r="I1595" s="6" t="s">
        <v>5756</v>
      </c>
      <c r="J1595" s="6" t="s">
        <v>5757</v>
      </c>
      <c r="K1595" s="5"/>
      <c r="L1595" s="4" t="s">
        <v>44</v>
      </c>
      <c r="M1595" s="8" t="s">
        <v>28</v>
      </c>
      <c r="N1595" s="9" t="s">
        <v>1955</v>
      </c>
      <c r="O1595" s="5"/>
      <c r="P1595" s="5"/>
      <c r="Q1595" s="6" t="s">
        <v>30</v>
      </c>
      <c r="R1595" s="4" t="s">
        <v>31</v>
      </c>
      <c r="S1595" s="7" t="s">
        <v>32</v>
      </c>
      <c r="T1595" s="5"/>
    </row>
    <row r="1596" customFormat="false" ht="15" hidden="false" customHeight="true" outlineLevel="0" collapsed="false">
      <c r="A1596" s="4" t="n">
        <v>1595</v>
      </c>
      <c r="B1596" s="6" t="s">
        <v>1787</v>
      </c>
      <c r="C1596" s="6" t="s">
        <v>5241</v>
      </c>
      <c r="D1596" s="6" t="s">
        <v>5242</v>
      </c>
      <c r="E1596" s="7" t="s">
        <v>21</v>
      </c>
      <c r="F1596" s="6" t="s">
        <v>5758</v>
      </c>
      <c r="G1596" s="6" t="s">
        <v>5759</v>
      </c>
      <c r="H1596" s="6" t="s">
        <v>5760</v>
      </c>
      <c r="I1596" s="6" t="s">
        <v>5761</v>
      </c>
      <c r="J1596" s="6" t="s">
        <v>5762</v>
      </c>
      <c r="K1596" s="5"/>
      <c r="L1596" s="4" t="s">
        <v>51</v>
      </c>
      <c r="M1596" s="8" t="s">
        <v>129</v>
      </c>
      <c r="N1596" s="9" t="s">
        <v>1955</v>
      </c>
      <c r="O1596" s="5"/>
      <c r="P1596" s="5"/>
      <c r="Q1596" s="6" t="s">
        <v>30</v>
      </c>
      <c r="R1596" s="4" t="s">
        <v>31</v>
      </c>
      <c r="S1596" s="7" t="s">
        <v>32</v>
      </c>
      <c r="T1596" s="5"/>
    </row>
    <row r="1597" customFormat="false" ht="15" hidden="false" customHeight="true" outlineLevel="0" collapsed="false">
      <c r="A1597" s="4" t="n">
        <v>1596</v>
      </c>
      <c r="B1597" s="6" t="s">
        <v>1787</v>
      </c>
      <c r="C1597" s="6" t="s">
        <v>5241</v>
      </c>
      <c r="D1597" s="6" t="s">
        <v>5242</v>
      </c>
      <c r="E1597" s="7" t="s">
        <v>21</v>
      </c>
      <c r="F1597" s="6" t="s">
        <v>5763</v>
      </c>
      <c r="G1597" s="6" t="s">
        <v>5759</v>
      </c>
      <c r="H1597" s="6" t="s">
        <v>5764</v>
      </c>
      <c r="I1597" s="6" t="s">
        <v>5761</v>
      </c>
      <c r="J1597" s="6" t="s">
        <v>5765</v>
      </c>
      <c r="K1597" s="5"/>
      <c r="L1597" s="4" t="s">
        <v>27</v>
      </c>
      <c r="M1597" s="8" t="s">
        <v>129</v>
      </c>
      <c r="N1597" s="9" t="s">
        <v>1955</v>
      </c>
      <c r="O1597" s="5"/>
      <c r="P1597" s="5"/>
      <c r="Q1597" s="6" t="s">
        <v>30</v>
      </c>
      <c r="R1597" s="4" t="s">
        <v>31</v>
      </c>
      <c r="S1597" s="7" t="s">
        <v>32</v>
      </c>
      <c r="T1597" s="5"/>
    </row>
    <row r="1598" customFormat="false" ht="57.75" hidden="false" customHeight="true" outlineLevel="0" collapsed="false">
      <c r="A1598" s="4" t="n">
        <v>1597</v>
      </c>
      <c r="B1598" s="6" t="s">
        <v>1787</v>
      </c>
      <c r="C1598" s="6" t="s">
        <v>5766</v>
      </c>
      <c r="D1598" s="6" t="s">
        <v>5767</v>
      </c>
      <c r="E1598" s="7" t="s">
        <v>21</v>
      </c>
      <c r="F1598" s="6" t="s">
        <v>5768</v>
      </c>
      <c r="G1598" s="6" t="s">
        <v>5769</v>
      </c>
      <c r="H1598" s="6" t="s">
        <v>5770</v>
      </c>
      <c r="I1598" s="6" t="s">
        <v>5771</v>
      </c>
      <c r="J1598" s="6" t="s">
        <v>5772</v>
      </c>
      <c r="K1598" s="5"/>
      <c r="L1598" s="4" t="s">
        <v>62</v>
      </c>
      <c r="M1598" s="8" t="s">
        <v>28</v>
      </c>
      <c r="N1598" s="9" t="s">
        <v>5773</v>
      </c>
      <c r="O1598" s="5"/>
      <c r="P1598" s="5"/>
      <c r="Q1598" s="6" t="s">
        <v>30</v>
      </c>
      <c r="R1598" s="4" t="s">
        <v>31</v>
      </c>
      <c r="S1598" s="7" t="s">
        <v>32</v>
      </c>
      <c r="T1598" s="5"/>
    </row>
    <row r="1599" customFormat="false" ht="29.25" hidden="false" customHeight="true" outlineLevel="0" collapsed="false">
      <c r="A1599" s="4" t="n">
        <v>1598</v>
      </c>
      <c r="B1599" s="6" t="s">
        <v>1787</v>
      </c>
      <c r="C1599" s="6" t="s">
        <v>5766</v>
      </c>
      <c r="D1599" s="6" t="s">
        <v>5767</v>
      </c>
      <c r="E1599" s="7" t="s">
        <v>21</v>
      </c>
      <c r="F1599" s="6" t="s">
        <v>5774</v>
      </c>
      <c r="G1599" s="6" t="s">
        <v>5775</v>
      </c>
      <c r="H1599" s="6" t="s">
        <v>5776</v>
      </c>
      <c r="I1599" s="6" t="s">
        <v>5777</v>
      </c>
      <c r="J1599" s="6" t="s">
        <v>5778</v>
      </c>
      <c r="K1599" s="5"/>
      <c r="L1599" s="4" t="s">
        <v>51</v>
      </c>
      <c r="M1599" s="8" t="s">
        <v>79</v>
      </c>
      <c r="N1599" s="9" t="s">
        <v>5773</v>
      </c>
      <c r="O1599" s="5"/>
      <c r="P1599" s="5"/>
      <c r="Q1599" s="6" t="s">
        <v>30</v>
      </c>
      <c r="R1599" s="4" t="s">
        <v>31</v>
      </c>
      <c r="S1599" s="7" t="s">
        <v>32</v>
      </c>
      <c r="T1599" s="5"/>
    </row>
    <row r="1600" customFormat="false" ht="57.75" hidden="false" customHeight="true" outlineLevel="0" collapsed="false">
      <c r="A1600" s="4" t="n">
        <v>1599</v>
      </c>
      <c r="B1600" s="6" t="s">
        <v>1787</v>
      </c>
      <c r="C1600" s="6" t="s">
        <v>5766</v>
      </c>
      <c r="D1600" s="6" t="s">
        <v>5767</v>
      </c>
      <c r="E1600" s="7" t="s">
        <v>21</v>
      </c>
      <c r="F1600" s="6" t="s">
        <v>5779</v>
      </c>
      <c r="G1600" s="6" t="s">
        <v>5780</v>
      </c>
      <c r="H1600" s="6" t="s">
        <v>5781</v>
      </c>
      <c r="I1600" s="6" t="s">
        <v>5782</v>
      </c>
      <c r="J1600" s="6" t="s">
        <v>5783</v>
      </c>
      <c r="K1600" s="5"/>
      <c r="L1600" s="4" t="s">
        <v>51</v>
      </c>
      <c r="M1600" s="8" t="s">
        <v>28</v>
      </c>
      <c r="N1600" s="9" t="s">
        <v>5773</v>
      </c>
      <c r="O1600" s="5"/>
      <c r="P1600" s="5"/>
      <c r="Q1600" s="6" t="s">
        <v>30</v>
      </c>
      <c r="R1600" s="4" t="s">
        <v>31</v>
      </c>
      <c r="S1600" s="7" t="s">
        <v>32</v>
      </c>
      <c r="T1600" s="5"/>
    </row>
    <row r="1601" customFormat="false" ht="29.25" hidden="false" customHeight="true" outlineLevel="0" collapsed="false">
      <c r="A1601" s="4" t="n">
        <v>1600</v>
      </c>
      <c r="B1601" s="6" t="s">
        <v>1787</v>
      </c>
      <c r="C1601" s="6" t="s">
        <v>5766</v>
      </c>
      <c r="D1601" s="6" t="s">
        <v>5767</v>
      </c>
      <c r="E1601" s="7" t="s">
        <v>21</v>
      </c>
      <c r="F1601" s="6" t="s">
        <v>5784</v>
      </c>
      <c r="G1601" s="6" t="s">
        <v>5785</v>
      </c>
      <c r="H1601" s="6" t="s">
        <v>5786</v>
      </c>
      <c r="I1601" s="6" t="s">
        <v>5787</v>
      </c>
      <c r="J1601" s="6" t="s">
        <v>5788</v>
      </c>
      <c r="K1601" s="5"/>
      <c r="L1601" s="4" t="s">
        <v>51</v>
      </c>
      <c r="M1601" s="8" t="s">
        <v>79</v>
      </c>
      <c r="N1601" s="9" t="s">
        <v>5789</v>
      </c>
      <c r="O1601" s="5"/>
      <c r="P1601" s="5"/>
      <c r="Q1601" s="6" t="s">
        <v>30</v>
      </c>
      <c r="R1601" s="4" t="s">
        <v>31</v>
      </c>
      <c r="S1601" s="7" t="s">
        <v>32</v>
      </c>
      <c r="T1601" s="5"/>
    </row>
    <row r="1602" customFormat="false" ht="29.25" hidden="false" customHeight="true" outlineLevel="0" collapsed="false">
      <c r="A1602" s="4" t="n">
        <v>1601</v>
      </c>
      <c r="B1602" s="6" t="s">
        <v>1787</v>
      </c>
      <c r="C1602" s="6" t="s">
        <v>5766</v>
      </c>
      <c r="D1602" s="6" t="s">
        <v>5767</v>
      </c>
      <c r="E1602" s="7" t="s">
        <v>21</v>
      </c>
      <c r="F1602" s="6" t="s">
        <v>5790</v>
      </c>
      <c r="G1602" s="5" t="s">
        <v>5791</v>
      </c>
      <c r="H1602" s="5" t="s">
        <v>5792</v>
      </c>
      <c r="I1602" s="5" t="s">
        <v>5793</v>
      </c>
      <c r="J1602" s="5" t="s">
        <v>5794</v>
      </c>
      <c r="K1602" s="5"/>
      <c r="L1602" s="4" t="s">
        <v>62</v>
      </c>
      <c r="M1602" s="8" t="s">
        <v>129</v>
      </c>
      <c r="N1602" s="9" t="s">
        <v>5773</v>
      </c>
      <c r="O1602" s="5"/>
      <c r="P1602" s="5"/>
      <c r="Q1602" s="6" t="s">
        <v>30</v>
      </c>
      <c r="R1602" s="4" t="s">
        <v>31</v>
      </c>
      <c r="S1602" s="7" t="s">
        <v>32</v>
      </c>
      <c r="T1602" s="5"/>
    </row>
    <row r="1603" customFormat="false" ht="29.25" hidden="false" customHeight="true" outlineLevel="0" collapsed="false">
      <c r="A1603" s="4" t="n">
        <v>1602</v>
      </c>
      <c r="B1603" s="6" t="s">
        <v>1787</v>
      </c>
      <c r="C1603" s="6" t="s">
        <v>5766</v>
      </c>
      <c r="D1603" s="6" t="s">
        <v>5767</v>
      </c>
      <c r="E1603" s="7" t="s">
        <v>21</v>
      </c>
      <c r="F1603" s="6" t="s">
        <v>5795</v>
      </c>
      <c r="G1603" s="6" t="s">
        <v>5796</v>
      </c>
      <c r="H1603" s="6" t="s">
        <v>5797</v>
      </c>
      <c r="I1603" s="6" t="s">
        <v>5798</v>
      </c>
      <c r="J1603" s="5" t="s">
        <v>5799</v>
      </c>
      <c r="K1603" s="5"/>
      <c r="L1603" s="4" t="s">
        <v>62</v>
      </c>
      <c r="M1603" s="8" t="s">
        <v>79</v>
      </c>
      <c r="N1603" s="9" t="s">
        <v>5773</v>
      </c>
      <c r="O1603" s="5"/>
      <c r="P1603" s="5"/>
      <c r="Q1603" s="6" t="s">
        <v>30</v>
      </c>
      <c r="R1603" s="4" t="s">
        <v>31</v>
      </c>
      <c r="S1603" s="7" t="s">
        <v>32</v>
      </c>
      <c r="T1603" s="5"/>
    </row>
    <row r="1604" customFormat="false" ht="29.25" hidden="false" customHeight="true" outlineLevel="0" collapsed="false">
      <c r="A1604" s="4" t="n">
        <v>1603</v>
      </c>
      <c r="B1604" s="6" t="s">
        <v>1787</v>
      </c>
      <c r="C1604" s="6" t="s">
        <v>5766</v>
      </c>
      <c r="D1604" s="6" t="s">
        <v>5767</v>
      </c>
      <c r="E1604" s="7" t="s">
        <v>21</v>
      </c>
      <c r="F1604" s="6" t="s">
        <v>5800</v>
      </c>
      <c r="G1604" s="6" t="s">
        <v>5801</v>
      </c>
      <c r="H1604" s="6" t="s">
        <v>5802</v>
      </c>
      <c r="I1604" s="6" t="s">
        <v>5803</v>
      </c>
      <c r="J1604" s="6" t="s">
        <v>5804</v>
      </c>
      <c r="K1604" s="5"/>
      <c r="L1604" s="4" t="s">
        <v>27</v>
      </c>
      <c r="M1604" s="8" t="s">
        <v>79</v>
      </c>
      <c r="N1604" s="9" t="s">
        <v>5773</v>
      </c>
      <c r="O1604" s="5"/>
      <c r="P1604" s="5"/>
      <c r="Q1604" s="6" t="s">
        <v>30</v>
      </c>
      <c r="R1604" s="4" t="s">
        <v>31</v>
      </c>
      <c r="S1604" s="7" t="s">
        <v>32</v>
      </c>
      <c r="T1604" s="5"/>
    </row>
    <row r="1605" customFormat="false" ht="43.5" hidden="false" customHeight="true" outlineLevel="0" collapsed="false">
      <c r="A1605" s="4" t="n">
        <v>1604</v>
      </c>
      <c r="B1605" s="6" t="s">
        <v>1787</v>
      </c>
      <c r="C1605" s="6" t="s">
        <v>5766</v>
      </c>
      <c r="D1605" s="6" t="s">
        <v>5767</v>
      </c>
      <c r="E1605" s="7" t="s">
        <v>21</v>
      </c>
      <c r="F1605" s="6" t="s">
        <v>5805</v>
      </c>
      <c r="G1605" s="5" t="s">
        <v>5806</v>
      </c>
      <c r="H1605" s="5" t="s">
        <v>5807</v>
      </c>
      <c r="I1605" s="5" t="s">
        <v>5808</v>
      </c>
      <c r="J1605" s="5" t="s">
        <v>5809</v>
      </c>
      <c r="K1605" s="5"/>
      <c r="L1605" s="4" t="s">
        <v>62</v>
      </c>
      <c r="M1605" s="8" t="s">
        <v>28</v>
      </c>
      <c r="N1605" s="9" t="s">
        <v>5773</v>
      </c>
      <c r="O1605" s="5"/>
      <c r="P1605" s="5"/>
      <c r="Q1605" s="6" t="s">
        <v>30</v>
      </c>
      <c r="R1605" s="4" t="s">
        <v>31</v>
      </c>
      <c r="S1605" s="7" t="s">
        <v>32</v>
      </c>
      <c r="T1605" s="5"/>
    </row>
    <row r="1606" customFormat="false" ht="29.25" hidden="false" customHeight="true" outlineLevel="0" collapsed="false">
      <c r="A1606" s="4" t="n">
        <v>1605</v>
      </c>
      <c r="B1606" s="6" t="s">
        <v>1787</v>
      </c>
      <c r="C1606" s="6" t="s">
        <v>5766</v>
      </c>
      <c r="D1606" s="6" t="s">
        <v>5767</v>
      </c>
      <c r="E1606" s="7" t="s">
        <v>21</v>
      </c>
      <c r="F1606" s="6" t="s">
        <v>5810</v>
      </c>
      <c r="G1606" s="6" t="s">
        <v>5811</v>
      </c>
      <c r="H1606" s="6" t="s">
        <v>5812</v>
      </c>
      <c r="I1606" s="6" t="s">
        <v>5813</v>
      </c>
      <c r="J1606" s="6" t="s">
        <v>5814</v>
      </c>
      <c r="K1606" s="5"/>
      <c r="L1606" s="4" t="s">
        <v>51</v>
      </c>
      <c r="M1606" s="8" t="s">
        <v>79</v>
      </c>
      <c r="N1606" s="9" t="s">
        <v>5773</v>
      </c>
      <c r="O1606" s="5"/>
      <c r="P1606" s="5"/>
      <c r="Q1606" s="6" t="s">
        <v>30</v>
      </c>
      <c r="R1606" s="4" t="s">
        <v>31</v>
      </c>
      <c r="S1606" s="7" t="s">
        <v>32</v>
      </c>
      <c r="T1606" s="5"/>
    </row>
    <row r="1607" customFormat="false" ht="29.25" hidden="false" customHeight="true" outlineLevel="0" collapsed="false">
      <c r="A1607" s="4" t="n">
        <v>1606</v>
      </c>
      <c r="B1607" s="6" t="s">
        <v>1787</v>
      </c>
      <c r="C1607" s="6" t="s">
        <v>5766</v>
      </c>
      <c r="D1607" s="6" t="s">
        <v>5767</v>
      </c>
      <c r="E1607" s="7" t="s">
        <v>21</v>
      </c>
      <c r="F1607" s="6" t="s">
        <v>5815</v>
      </c>
      <c r="G1607" s="6" t="s">
        <v>5816</v>
      </c>
      <c r="H1607" s="6" t="s">
        <v>5817</v>
      </c>
      <c r="I1607" s="6" t="s">
        <v>5818</v>
      </c>
      <c r="J1607" s="6" t="s">
        <v>5819</v>
      </c>
      <c r="K1607" s="5"/>
      <c r="L1607" s="4" t="s">
        <v>44</v>
      </c>
      <c r="M1607" s="8" t="s">
        <v>79</v>
      </c>
      <c r="N1607" s="9" t="s">
        <v>5773</v>
      </c>
      <c r="O1607" s="5"/>
      <c r="P1607" s="5"/>
      <c r="Q1607" s="6" t="s">
        <v>30</v>
      </c>
      <c r="R1607" s="4" t="s">
        <v>31</v>
      </c>
      <c r="S1607" s="7" t="s">
        <v>32</v>
      </c>
      <c r="T1607" s="5"/>
    </row>
    <row r="1608" customFormat="false" ht="29.25" hidden="false" customHeight="true" outlineLevel="0" collapsed="false">
      <c r="A1608" s="4" t="n">
        <v>1607</v>
      </c>
      <c r="B1608" s="6" t="s">
        <v>1787</v>
      </c>
      <c r="C1608" s="6" t="s">
        <v>5766</v>
      </c>
      <c r="D1608" s="6" t="s">
        <v>5767</v>
      </c>
      <c r="E1608" s="7" t="s">
        <v>21</v>
      </c>
      <c r="F1608" s="6" t="s">
        <v>5820</v>
      </c>
      <c r="G1608" s="6" t="s">
        <v>5821</v>
      </c>
      <c r="H1608" s="6" t="s">
        <v>5822</v>
      </c>
      <c r="I1608" s="6" t="s">
        <v>5823</v>
      </c>
      <c r="J1608" s="6" t="s">
        <v>5824</v>
      </c>
      <c r="K1608" s="5"/>
      <c r="L1608" s="4" t="s">
        <v>44</v>
      </c>
      <c r="M1608" s="8" t="s">
        <v>79</v>
      </c>
      <c r="N1608" s="9" t="s">
        <v>5773</v>
      </c>
      <c r="O1608" s="5"/>
      <c r="P1608" s="5"/>
      <c r="Q1608" s="6" t="s">
        <v>30</v>
      </c>
      <c r="R1608" s="4" t="s">
        <v>31</v>
      </c>
      <c r="S1608" s="7" t="s">
        <v>32</v>
      </c>
      <c r="T1608" s="5"/>
    </row>
    <row r="1609" customFormat="false" ht="29.25" hidden="false" customHeight="true" outlineLevel="0" collapsed="false">
      <c r="A1609" s="4" t="n">
        <v>1608</v>
      </c>
      <c r="B1609" s="6" t="s">
        <v>1787</v>
      </c>
      <c r="C1609" s="6" t="s">
        <v>5766</v>
      </c>
      <c r="D1609" s="6" t="s">
        <v>5767</v>
      </c>
      <c r="E1609" s="7" t="s">
        <v>21</v>
      </c>
      <c r="F1609" s="6" t="s">
        <v>5825</v>
      </c>
      <c r="G1609" s="6" t="s">
        <v>5826</v>
      </c>
      <c r="H1609" s="6" t="s">
        <v>5827</v>
      </c>
      <c r="I1609" s="6" t="s">
        <v>5828</v>
      </c>
      <c r="J1609" s="6" t="s">
        <v>5829</v>
      </c>
      <c r="K1609" s="5"/>
      <c r="L1609" s="4" t="s">
        <v>51</v>
      </c>
      <c r="M1609" s="8" t="s">
        <v>129</v>
      </c>
      <c r="N1609" s="9" t="s">
        <v>5773</v>
      </c>
      <c r="O1609" s="5"/>
      <c r="P1609" s="5"/>
      <c r="Q1609" s="6" t="s">
        <v>30</v>
      </c>
      <c r="R1609" s="4" t="s">
        <v>31</v>
      </c>
      <c r="S1609" s="7" t="s">
        <v>32</v>
      </c>
      <c r="T1609" s="5"/>
    </row>
    <row r="1610" customFormat="false" ht="29.25" hidden="false" customHeight="true" outlineLevel="0" collapsed="false">
      <c r="A1610" s="4" t="n">
        <v>1609</v>
      </c>
      <c r="B1610" s="6" t="s">
        <v>1787</v>
      </c>
      <c r="C1610" s="6" t="s">
        <v>5766</v>
      </c>
      <c r="D1610" s="6" t="s">
        <v>5767</v>
      </c>
      <c r="E1610" s="7" t="s">
        <v>21</v>
      </c>
      <c r="F1610" s="6" t="s">
        <v>5830</v>
      </c>
      <c r="G1610" s="6" t="s">
        <v>5831</v>
      </c>
      <c r="H1610" s="6" t="s">
        <v>5832</v>
      </c>
      <c r="I1610" s="6" t="s">
        <v>5833</v>
      </c>
      <c r="J1610" s="6" t="s">
        <v>5834</v>
      </c>
      <c r="K1610" s="5"/>
      <c r="L1610" s="4" t="s">
        <v>62</v>
      </c>
      <c r="M1610" s="8" t="s">
        <v>28</v>
      </c>
      <c r="N1610" s="9" t="s">
        <v>5773</v>
      </c>
      <c r="O1610" s="5"/>
      <c r="P1610" s="5"/>
      <c r="Q1610" s="6" t="s">
        <v>30</v>
      </c>
      <c r="R1610" s="4" t="s">
        <v>31</v>
      </c>
      <c r="S1610" s="7" t="s">
        <v>32</v>
      </c>
      <c r="T1610" s="5"/>
    </row>
    <row r="1611" customFormat="false" ht="43.5" hidden="false" customHeight="true" outlineLevel="0" collapsed="false">
      <c r="A1611" s="4" t="n">
        <v>1610</v>
      </c>
      <c r="B1611" s="6" t="s">
        <v>1787</v>
      </c>
      <c r="C1611" s="6" t="s">
        <v>5766</v>
      </c>
      <c r="D1611" s="6" t="s">
        <v>5767</v>
      </c>
      <c r="E1611" s="7" t="s">
        <v>21</v>
      </c>
      <c r="F1611" s="5" t="s">
        <v>5835</v>
      </c>
      <c r="G1611" s="5" t="s">
        <v>5836</v>
      </c>
      <c r="H1611" s="5" t="s">
        <v>5837</v>
      </c>
      <c r="I1611" s="5" t="s">
        <v>5838</v>
      </c>
      <c r="J1611" s="5" t="s">
        <v>5839</v>
      </c>
      <c r="K1611" s="5"/>
      <c r="L1611" s="4" t="s">
        <v>44</v>
      </c>
      <c r="M1611" s="8" t="s">
        <v>129</v>
      </c>
      <c r="N1611" s="9" t="s">
        <v>5773</v>
      </c>
      <c r="O1611" s="5"/>
      <c r="P1611" s="5"/>
      <c r="Q1611" s="6" t="s">
        <v>30</v>
      </c>
      <c r="R1611" s="4" t="s">
        <v>31</v>
      </c>
      <c r="S1611" s="7" t="s">
        <v>32</v>
      </c>
      <c r="T1611" s="5"/>
    </row>
    <row r="1612" customFormat="false" ht="29.25" hidden="false" customHeight="true" outlineLevel="0" collapsed="false">
      <c r="A1612" s="4" t="n">
        <v>1611</v>
      </c>
      <c r="B1612" s="6" t="s">
        <v>1787</v>
      </c>
      <c r="C1612" s="6" t="s">
        <v>5766</v>
      </c>
      <c r="D1612" s="6" t="s">
        <v>5767</v>
      </c>
      <c r="E1612" s="7" t="s">
        <v>21</v>
      </c>
      <c r="F1612" s="6" t="s">
        <v>5840</v>
      </c>
      <c r="G1612" s="6" t="s">
        <v>5841</v>
      </c>
      <c r="H1612" s="6" t="s">
        <v>5842</v>
      </c>
      <c r="I1612" s="6" t="s">
        <v>5843</v>
      </c>
      <c r="J1612" s="6" t="s">
        <v>5844</v>
      </c>
      <c r="K1612" s="5"/>
      <c r="L1612" s="4" t="s">
        <v>51</v>
      </c>
      <c r="M1612" s="8" t="s">
        <v>28</v>
      </c>
      <c r="N1612" s="9" t="s">
        <v>5789</v>
      </c>
      <c r="O1612" s="5"/>
      <c r="P1612" s="5"/>
      <c r="Q1612" s="6" t="s">
        <v>30</v>
      </c>
      <c r="R1612" s="4" t="s">
        <v>31</v>
      </c>
      <c r="S1612" s="7" t="s">
        <v>32</v>
      </c>
      <c r="T1612" s="5"/>
    </row>
    <row r="1613" customFormat="false" ht="29.25" hidden="false" customHeight="true" outlineLevel="0" collapsed="false">
      <c r="A1613" s="4" t="n">
        <v>1612</v>
      </c>
      <c r="B1613" s="6" t="s">
        <v>1787</v>
      </c>
      <c r="C1613" s="6" t="s">
        <v>5766</v>
      </c>
      <c r="D1613" s="6" t="s">
        <v>5767</v>
      </c>
      <c r="E1613" s="7" t="s">
        <v>21</v>
      </c>
      <c r="F1613" s="6" t="s">
        <v>5845</v>
      </c>
      <c r="G1613" s="6" t="s">
        <v>5846</v>
      </c>
      <c r="H1613" s="6" t="s">
        <v>5847</v>
      </c>
      <c r="I1613" s="6" t="s">
        <v>5848</v>
      </c>
      <c r="J1613" s="6" t="s">
        <v>5849</v>
      </c>
      <c r="K1613" s="5"/>
      <c r="L1613" s="4" t="s">
        <v>62</v>
      </c>
      <c r="M1613" s="8" t="s">
        <v>129</v>
      </c>
      <c r="N1613" s="9" t="s">
        <v>5789</v>
      </c>
      <c r="O1613" s="5"/>
      <c r="P1613" s="5"/>
      <c r="Q1613" s="6" t="s">
        <v>30</v>
      </c>
      <c r="R1613" s="4" t="s">
        <v>31</v>
      </c>
      <c r="S1613" s="7" t="s">
        <v>32</v>
      </c>
      <c r="T1613" s="5"/>
    </row>
    <row r="1614" customFormat="false" ht="29.25" hidden="false" customHeight="true" outlineLevel="0" collapsed="false">
      <c r="A1614" s="4" t="n">
        <v>1613</v>
      </c>
      <c r="B1614" s="6" t="s">
        <v>1787</v>
      </c>
      <c r="C1614" s="6" t="s">
        <v>5766</v>
      </c>
      <c r="D1614" s="6" t="s">
        <v>5767</v>
      </c>
      <c r="E1614" s="7" t="s">
        <v>21</v>
      </c>
      <c r="F1614" s="6" t="s">
        <v>5850</v>
      </c>
      <c r="G1614" s="6" t="s">
        <v>5848</v>
      </c>
      <c r="H1614" s="6" t="s">
        <v>5847</v>
      </c>
      <c r="I1614" s="6" t="s">
        <v>5846</v>
      </c>
      <c r="J1614" s="6" t="s">
        <v>5851</v>
      </c>
      <c r="K1614" s="5"/>
      <c r="L1614" s="4" t="s">
        <v>27</v>
      </c>
      <c r="M1614" s="8" t="s">
        <v>129</v>
      </c>
      <c r="N1614" s="9" t="s">
        <v>5789</v>
      </c>
      <c r="O1614" s="5"/>
      <c r="P1614" s="5"/>
      <c r="Q1614" s="6" t="s">
        <v>30</v>
      </c>
      <c r="R1614" s="4" t="s">
        <v>31</v>
      </c>
      <c r="S1614" s="7" t="s">
        <v>32</v>
      </c>
      <c r="T1614" s="5"/>
    </row>
    <row r="1615" customFormat="false" ht="43.5" hidden="false" customHeight="true" outlineLevel="0" collapsed="false">
      <c r="A1615" s="4" t="n">
        <v>1614</v>
      </c>
      <c r="B1615" s="6" t="s">
        <v>1787</v>
      </c>
      <c r="C1615" s="6" t="s">
        <v>5766</v>
      </c>
      <c r="D1615" s="6" t="s">
        <v>5767</v>
      </c>
      <c r="E1615" s="7" t="s">
        <v>21</v>
      </c>
      <c r="F1615" s="6" t="s">
        <v>5852</v>
      </c>
      <c r="G1615" s="6" t="s">
        <v>5846</v>
      </c>
      <c r="H1615" s="6" t="s">
        <v>5851</v>
      </c>
      <c r="I1615" s="6" t="s">
        <v>5849</v>
      </c>
      <c r="J1615" s="6" t="s">
        <v>5853</v>
      </c>
      <c r="K1615" s="5"/>
      <c r="L1615" s="4" t="s">
        <v>44</v>
      </c>
      <c r="M1615" s="8" t="s">
        <v>79</v>
      </c>
      <c r="N1615" s="9" t="s">
        <v>5789</v>
      </c>
      <c r="O1615" s="5"/>
      <c r="P1615" s="5"/>
      <c r="Q1615" s="6" t="s">
        <v>30</v>
      </c>
      <c r="R1615" s="4" t="s">
        <v>31</v>
      </c>
      <c r="S1615" s="7" t="s">
        <v>32</v>
      </c>
      <c r="T1615" s="5"/>
    </row>
    <row r="1616" customFormat="false" ht="29.25" hidden="false" customHeight="true" outlineLevel="0" collapsed="false">
      <c r="A1616" s="4" t="n">
        <v>1615</v>
      </c>
      <c r="B1616" s="6" t="s">
        <v>1787</v>
      </c>
      <c r="C1616" s="6" t="s">
        <v>5766</v>
      </c>
      <c r="D1616" s="6" t="s">
        <v>5767</v>
      </c>
      <c r="E1616" s="7" t="s">
        <v>21</v>
      </c>
      <c r="F1616" s="6" t="s">
        <v>5854</v>
      </c>
      <c r="G1616" s="6" t="s">
        <v>5848</v>
      </c>
      <c r="H1616" s="6" t="s">
        <v>5847</v>
      </c>
      <c r="I1616" s="6" t="s">
        <v>5846</v>
      </c>
      <c r="J1616" s="6" t="s">
        <v>5849</v>
      </c>
      <c r="K1616" s="5"/>
      <c r="L1616" s="4" t="s">
        <v>51</v>
      </c>
      <c r="M1616" s="8" t="s">
        <v>79</v>
      </c>
      <c r="N1616" s="9" t="s">
        <v>5789</v>
      </c>
      <c r="O1616" s="5"/>
      <c r="P1616" s="5"/>
      <c r="Q1616" s="6" t="s">
        <v>30</v>
      </c>
      <c r="R1616" s="4" t="s">
        <v>31</v>
      </c>
      <c r="S1616" s="7" t="s">
        <v>32</v>
      </c>
      <c r="T1616" s="5"/>
    </row>
    <row r="1617" customFormat="false" ht="29.25" hidden="false" customHeight="true" outlineLevel="0" collapsed="false">
      <c r="A1617" s="4" t="n">
        <v>1616</v>
      </c>
      <c r="B1617" s="6" t="s">
        <v>1787</v>
      </c>
      <c r="C1617" s="6" t="s">
        <v>5766</v>
      </c>
      <c r="D1617" s="6" t="s">
        <v>5767</v>
      </c>
      <c r="E1617" s="7" t="s">
        <v>21</v>
      </c>
      <c r="F1617" s="6" t="s">
        <v>5855</v>
      </c>
      <c r="G1617" s="5" t="s">
        <v>5856</v>
      </c>
      <c r="H1617" s="5" t="s">
        <v>5857</v>
      </c>
      <c r="I1617" s="5" t="s">
        <v>5858</v>
      </c>
      <c r="J1617" s="5" t="s">
        <v>5859</v>
      </c>
      <c r="K1617" s="5"/>
      <c r="L1617" s="4" t="s">
        <v>62</v>
      </c>
      <c r="M1617" s="8" t="s">
        <v>129</v>
      </c>
      <c r="N1617" s="9" t="s">
        <v>5789</v>
      </c>
      <c r="O1617" s="5"/>
      <c r="P1617" s="5"/>
      <c r="Q1617" s="6" t="s">
        <v>30</v>
      </c>
      <c r="R1617" s="4" t="s">
        <v>31</v>
      </c>
      <c r="S1617" s="7" t="s">
        <v>32</v>
      </c>
      <c r="T1617" s="5"/>
    </row>
    <row r="1618" customFormat="false" ht="29.25" hidden="false" customHeight="true" outlineLevel="0" collapsed="false">
      <c r="A1618" s="4" t="n">
        <v>1617</v>
      </c>
      <c r="B1618" s="6" t="s">
        <v>1787</v>
      </c>
      <c r="C1618" s="6" t="s">
        <v>5766</v>
      </c>
      <c r="D1618" s="6" t="s">
        <v>5767</v>
      </c>
      <c r="E1618" s="7" t="s">
        <v>21</v>
      </c>
      <c r="F1618" s="6" t="s">
        <v>5860</v>
      </c>
      <c r="G1618" s="5" t="s">
        <v>5856</v>
      </c>
      <c r="H1618" s="5" t="s">
        <v>5859</v>
      </c>
      <c r="I1618" s="5" t="s">
        <v>5857</v>
      </c>
      <c r="J1618" s="5" t="s">
        <v>5858</v>
      </c>
      <c r="K1618" s="5"/>
      <c r="L1618" s="4" t="s">
        <v>27</v>
      </c>
      <c r="M1618" s="8" t="s">
        <v>129</v>
      </c>
      <c r="N1618" s="9" t="s">
        <v>5789</v>
      </c>
      <c r="O1618" s="5"/>
      <c r="P1618" s="5"/>
      <c r="Q1618" s="6" t="s">
        <v>30</v>
      </c>
      <c r="R1618" s="4" t="s">
        <v>31</v>
      </c>
      <c r="S1618" s="7" t="s">
        <v>32</v>
      </c>
      <c r="T1618" s="5"/>
    </row>
    <row r="1619" customFormat="false" ht="29.25" hidden="false" customHeight="true" outlineLevel="0" collapsed="false">
      <c r="A1619" s="4" t="n">
        <v>1618</v>
      </c>
      <c r="B1619" s="6" t="s">
        <v>1787</v>
      </c>
      <c r="C1619" s="6" t="s">
        <v>5766</v>
      </c>
      <c r="D1619" s="6" t="s">
        <v>5767</v>
      </c>
      <c r="E1619" s="7" t="s">
        <v>21</v>
      </c>
      <c r="F1619" s="6" t="s">
        <v>5861</v>
      </c>
      <c r="G1619" s="5" t="s">
        <v>5856</v>
      </c>
      <c r="H1619" s="5" t="s">
        <v>5859</v>
      </c>
      <c r="I1619" s="5" t="s">
        <v>5862</v>
      </c>
      <c r="J1619" s="5" t="s">
        <v>5858</v>
      </c>
      <c r="K1619" s="5"/>
      <c r="L1619" s="4" t="s">
        <v>44</v>
      </c>
      <c r="M1619" s="8" t="s">
        <v>79</v>
      </c>
      <c r="N1619" s="9" t="s">
        <v>5789</v>
      </c>
      <c r="O1619" s="5"/>
      <c r="P1619" s="5"/>
      <c r="Q1619" s="6" t="s">
        <v>30</v>
      </c>
      <c r="R1619" s="4" t="s">
        <v>31</v>
      </c>
      <c r="S1619" s="7" t="s">
        <v>32</v>
      </c>
      <c r="T1619" s="5"/>
    </row>
    <row r="1620" customFormat="false" ht="29.25" hidden="false" customHeight="true" outlineLevel="0" collapsed="false">
      <c r="A1620" s="4" t="n">
        <v>1619</v>
      </c>
      <c r="B1620" s="6" t="s">
        <v>1787</v>
      </c>
      <c r="C1620" s="6" t="s">
        <v>5766</v>
      </c>
      <c r="D1620" s="6" t="s">
        <v>5767</v>
      </c>
      <c r="E1620" s="7" t="s">
        <v>21</v>
      </c>
      <c r="F1620" s="6" t="s">
        <v>5863</v>
      </c>
      <c r="G1620" s="6" t="s">
        <v>5864</v>
      </c>
      <c r="H1620" s="6" t="s">
        <v>5865</v>
      </c>
      <c r="I1620" s="6" t="s">
        <v>5866</v>
      </c>
      <c r="J1620" s="6" t="s">
        <v>5867</v>
      </c>
      <c r="K1620" s="5"/>
      <c r="L1620" s="4" t="s">
        <v>51</v>
      </c>
      <c r="M1620" s="8" t="s">
        <v>28</v>
      </c>
      <c r="N1620" s="9" t="s">
        <v>5789</v>
      </c>
      <c r="O1620" s="5"/>
      <c r="P1620" s="5"/>
      <c r="Q1620" s="6" t="s">
        <v>30</v>
      </c>
      <c r="R1620" s="4" t="s">
        <v>31</v>
      </c>
      <c r="S1620" s="7" t="s">
        <v>32</v>
      </c>
      <c r="T1620" s="5"/>
    </row>
    <row r="1621" customFormat="false" ht="43.5" hidden="false" customHeight="true" outlineLevel="0" collapsed="false">
      <c r="A1621" s="4" t="n">
        <v>1620</v>
      </c>
      <c r="B1621" s="6" t="s">
        <v>1787</v>
      </c>
      <c r="C1621" s="6" t="s">
        <v>5766</v>
      </c>
      <c r="D1621" s="6" t="s">
        <v>5767</v>
      </c>
      <c r="E1621" s="7" t="s">
        <v>21</v>
      </c>
      <c r="F1621" s="6" t="s">
        <v>5863</v>
      </c>
      <c r="G1621" s="6" t="s">
        <v>5868</v>
      </c>
      <c r="H1621" s="6" t="s">
        <v>5869</v>
      </c>
      <c r="I1621" s="6" t="s">
        <v>5866</v>
      </c>
      <c r="J1621" s="6" t="s">
        <v>5867</v>
      </c>
      <c r="K1621" s="5"/>
      <c r="L1621" s="4" t="s">
        <v>62</v>
      </c>
      <c r="M1621" s="8" t="s">
        <v>28</v>
      </c>
      <c r="N1621" s="9" t="s">
        <v>5789</v>
      </c>
      <c r="O1621" s="5"/>
      <c r="P1621" s="5"/>
      <c r="Q1621" s="6" t="s">
        <v>30</v>
      </c>
      <c r="R1621" s="4" t="s">
        <v>31</v>
      </c>
      <c r="S1621" s="7" t="s">
        <v>32</v>
      </c>
      <c r="T1621" s="5"/>
    </row>
    <row r="1622" customFormat="false" ht="43.5" hidden="false" customHeight="true" outlineLevel="0" collapsed="false">
      <c r="A1622" s="4" t="n">
        <v>1621</v>
      </c>
      <c r="B1622" s="6" t="s">
        <v>1787</v>
      </c>
      <c r="C1622" s="6" t="s">
        <v>5766</v>
      </c>
      <c r="D1622" s="6" t="s">
        <v>5767</v>
      </c>
      <c r="E1622" s="7" t="s">
        <v>21</v>
      </c>
      <c r="F1622" s="6" t="s">
        <v>5870</v>
      </c>
      <c r="G1622" s="6" t="s">
        <v>5871</v>
      </c>
      <c r="H1622" s="6" t="s">
        <v>5872</v>
      </c>
      <c r="I1622" s="6" t="s">
        <v>5873</v>
      </c>
      <c r="J1622" s="6" t="s">
        <v>5874</v>
      </c>
      <c r="K1622" s="5"/>
      <c r="L1622" s="4" t="s">
        <v>27</v>
      </c>
      <c r="M1622" s="8" t="s">
        <v>28</v>
      </c>
      <c r="N1622" s="9" t="s">
        <v>5789</v>
      </c>
      <c r="O1622" s="5"/>
      <c r="P1622" s="5"/>
      <c r="Q1622" s="6" t="s">
        <v>30</v>
      </c>
      <c r="R1622" s="4" t="s">
        <v>31</v>
      </c>
      <c r="S1622" s="7" t="s">
        <v>32</v>
      </c>
      <c r="T1622" s="5"/>
    </row>
    <row r="1623" customFormat="false" ht="29.25" hidden="false" customHeight="true" outlineLevel="0" collapsed="false">
      <c r="A1623" s="4" t="n">
        <v>1622</v>
      </c>
      <c r="B1623" s="6" t="s">
        <v>1787</v>
      </c>
      <c r="C1623" s="6" t="s">
        <v>5766</v>
      </c>
      <c r="D1623" s="6" t="s">
        <v>5767</v>
      </c>
      <c r="E1623" s="7" t="s">
        <v>21</v>
      </c>
      <c r="F1623" s="6" t="s">
        <v>5875</v>
      </c>
      <c r="G1623" s="5" t="s">
        <v>5876</v>
      </c>
      <c r="H1623" s="5" t="s">
        <v>5877</v>
      </c>
      <c r="I1623" s="5" t="s">
        <v>5878</v>
      </c>
      <c r="J1623" s="5" t="s">
        <v>4993</v>
      </c>
      <c r="K1623" s="5"/>
      <c r="L1623" s="4" t="s">
        <v>51</v>
      </c>
      <c r="M1623" s="8" t="s">
        <v>129</v>
      </c>
      <c r="N1623" s="9" t="s">
        <v>5789</v>
      </c>
      <c r="O1623" s="5"/>
      <c r="P1623" s="5"/>
      <c r="Q1623" s="6" t="s">
        <v>30</v>
      </c>
      <c r="R1623" s="4" t="s">
        <v>31</v>
      </c>
      <c r="S1623" s="7" t="s">
        <v>32</v>
      </c>
      <c r="T1623" s="5"/>
    </row>
    <row r="1624" customFormat="false" ht="29.25" hidden="false" customHeight="true" outlineLevel="0" collapsed="false">
      <c r="A1624" s="4" t="n">
        <v>1623</v>
      </c>
      <c r="B1624" s="6" t="s">
        <v>1787</v>
      </c>
      <c r="C1624" s="6" t="s">
        <v>5766</v>
      </c>
      <c r="D1624" s="6" t="s">
        <v>5767</v>
      </c>
      <c r="E1624" s="7" t="s">
        <v>21</v>
      </c>
      <c r="F1624" s="6" t="s">
        <v>5879</v>
      </c>
      <c r="G1624" s="5" t="s">
        <v>5880</v>
      </c>
      <c r="H1624" s="5" t="s">
        <v>5881</v>
      </c>
      <c r="I1624" s="5" t="s">
        <v>5882</v>
      </c>
      <c r="J1624" s="5" t="s">
        <v>5883</v>
      </c>
      <c r="K1624" s="5"/>
      <c r="L1624" s="4" t="s">
        <v>62</v>
      </c>
      <c r="M1624" s="8" t="s">
        <v>129</v>
      </c>
      <c r="N1624" s="9" t="s">
        <v>5789</v>
      </c>
      <c r="O1624" s="5"/>
      <c r="P1624" s="5"/>
      <c r="Q1624" s="6" t="s">
        <v>30</v>
      </c>
      <c r="R1624" s="4" t="s">
        <v>31</v>
      </c>
      <c r="S1624" s="7" t="s">
        <v>32</v>
      </c>
      <c r="T1624" s="5"/>
    </row>
    <row r="1625" customFormat="false" ht="29.25" hidden="false" customHeight="true" outlineLevel="0" collapsed="false">
      <c r="A1625" s="4" t="n">
        <v>1624</v>
      </c>
      <c r="B1625" s="6" t="s">
        <v>1787</v>
      </c>
      <c r="C1625" s="6" t="s">
        <v>5766</v>
      </c>
      <c r="D1625" s="6" t="s">
        <v>5767</v>
      </c>
      <c r="E1625" s="7" t="s">
        <v>21</v>
      </c>
      <c r="F1625" s="6" t="s">
        <v>5884</v>
      </c>
      <c r="G1625" s="5" t="s">
        <v>5885</v>
      </c>
      <c r="H1625" s="5" t="s">
        <v>5886</v>
      </c>
      <c r="I1625" s="5" t="s">
        <v>5887</v>
      </c>
      <c r="J1625" s="5" t="s">
        <v>5888</v>
      </c>
      <c r="K1625" s="5"/>
      <c r="L1625" s="4" t="s">
        <v>27</v>
      </c>
      <c r="M1625" s="8" t="s">
        <v>79</v>
      </c>
      <c r="N1625" s="9" t="s">
        <v>5789</v>
      </c>
      <c r="O1625" s="5"/>
      <c r="P1625" s="5"/>
      <c r="Q1625" s="6" t="s">
        <v>30</v>
      </c>
      <c r="R1625" s="4" t="s">
        <v>31</v>
      </c>
      <c r="S1625" s="7" t="s">
        <v>32</v>
      </c>
      <c r="T1625" s="5"/>
    </row>
    <row r="1626" customFormat="false" ht="29.25" hidden="false" customHeight="true" outlineLevel="0" collapsed="false">
      <c r="A1626" s="4" t="n">
        <v>1625</v>
      </c>
      <c r="B1626" s="6" t="s">
        <v>1787</v>
      </c>
      <c r="C1626" s="6" t="s">
        <v>5766</v>
      </c>
      <c r="D1626" s="6" t="s">
        <v>5767</v>
      </c>
      <c r="E1626" s="7" t="s">
        <v>21</v>
      </c>
      <c r="F1626" s="6" t="s">
        <v>5889</v>
      </c>
      <c r="G1626" s="5" t="s">
        <v>5890</v>
      </c>
      <c r="H1626" s="5" t="s">
        <v>5891</v>
      </c>
      <c r="I1626" s="5" t="s">
        <v>5892</v>
      </c>
      <c r="J1626" s="5" t="s">
        <v>5893</v>
      </c>
      <c r="K1626" s="5"/>
      <c r="L1626" s="4" t="s">
        <v>44</v>
      </c>
      <c r="M1626" s="8" t="s">
        <v>79</v>
      </c>
      <c r="N1626" s="9" t="s">
        <v>5789</v>
      </c>
      <c r="O1626" s="5"/>
      <c r="P1626" s="5"/>
      <c r="Q1626" s="6" t="s">
        <v>30</v>
      </c>
      <c r="R1626" s="4" t="s">
        <v>31</v>
      </c>
      <c r="S1626" s="7" t="s">
        <v>32</v>
      </c>
      <c r="T1626" s="5"/>
    </row>
    <row r="1627" customFormat="false" ht="29.25" hidden="false" customHeight="true" outlineLevel="0" collapsed="false">
      <c r="A1627" s="4" t="n">
        <v>1626</v>
      </c>
      <c r="B1627" s="6" t="s">
        <v>1787</v>
      </c>
      <c r="C1627" s="6" t="s">
        <v>5766</v>
      </c>
      <c r="D1627" s="6" t="s">
        <v>5767</v>
      </c>
      <c r="E1627" s="7" t="s">
        <v>21</v>
      </c>
      <c r="F1627" s="6" t="s">
        <v>5894</v>
      </c>
      <c r="G1627" s="5" t="s">
        <v>5895</v>
      </c>
      <c r="H1627" s="5" t="s">
        <v>5896</v>
      </c>
      <c r="I1627" s="5" t="s">
        <v>5897</v>
      </c>
      <c r="J1627" s="5" t="s">
        <v>5898</v>
      </c>
      <c r="K1627" s="5"/>
      <c r="L1627" s="4" t="s">
        <v>51</v>
      </c>
      <c r="M1627" s="8" t="s">
        <v>79</v>
      </c>
      <c r="N1627" s="9" t="s">
        <v>5789</v>
      </c>
      <c r="O1627" s="5"/>
      <c r="P1627" s="5"/>
      <c r="Q1627" s="6" t="s">
        <v>30</v>
      </c>
      <c r="R1627" s="4" t="s">
        <v>31</v>
      </c>
      <c r="S1627" s="7" t="s">
        <v>32</v>
      </c>
      <c r="T1627" s="5"/>
    </row>
    <row r="1628" customFormat="false" ht="29.25" hidden="false" customHeight="true" outlineLevel="0" collapsed="false">
      <c r="A1628" s="4" t="n">
        <v>1627</v>
      </c>
      <c r="B1628" s="6" t="s">
        <v>1787</v>
      </c>
      <c r="C1628" s="6" t="s">
        <v>5766</v>
      </c>
      <c r="D1628" s="6" t="s">
        <v>5767</v>
      </c>
      <c r="E1628" s="7" t="s">
        <v>21</v>
      </c>
      <c r="F1628" s="6" t="s">
        <v>5899</v>
      </c>
      <c r="G1628" s="5" t="s">
        <v>5900</v>
      </c>
      <c r="H1628" s="5" t="s">
        <v>5901</v>
      </c>
      <c r="I1628" s="5" t="s">
        <v>5902</v>
      </c>
      <c r="J1628" s="5" t="s">
        <v>5903</v>
      </c>
      <c r="K1628" s="5"/>
      <c r="L1628" s="4" t="s">
        <v>62</v>
      </c>
      <c r="M1628" s="8" t="s">
        <v>79</v>
      </c>
      <c r="N1628" s="9" t="s">
        <v>5789</v>
      </c>
      <c r="O1628" s="5"/>
      <c r="P1628" s="5"/>
      <c r="Q1628" s="6" t="s">
        <v>30</v>
      </c>
      <c r="R1628" s="4" t="s">
        <v>31</v>
      </c>
      <c r="S1628" s="7" t="s">
        <v>32</v>
      </c>
      <c r="T1628" s="5"/>
    </row>
    <row r="1629" customFormat="false" ht="29.25" hidden="false" customHeight="true" outlineLevel="0" collapsed="false">
      <c r="A1629" s="4" t="n">
        <v>1628</v>
      </c>
      <c r="B1629" s="6" t="s">
        <v>1787</v>
      </c>
      <c r="C1629" s="6" t="s">
        <v>5766</v>
      </c>
      <c r="D1629" s="6" t="s">
        <v>5767</v>
      </c>
      <c r="E1629" s="7" t="s">
        <v>21</v>
      </c>
      <c r="F1629" s="6" t="s">
        <v>5904</v>
      </c>
      <c r="G1629" s="6" t="s">
        <v>5905</v>
      </c>
      <c r="H1629" s="6" t="s">
        <v>5906</v>
      </c>
      <c r="I1629" s="6" t="s">
        <v>5907</v>
      </c>
      <c r="J1629" s="6" t="s">
        <v>5908</v>
      </c>
      <c r="K1629" s="5"/>
      <c r="L1629" s="4" t="s">
        <v>27</v>
      </c>
      <c r="M1629" s="8" t="s">
        <v>129</v>
      </c>
      <c r="N1629" s="9" t="s">
        <v>5773</v>
      </c>
      <c r="O1629" s="5"/>
      <c r="P1629" s="5"/>
      <c r="Q1629" s="6" t="s">
        <v>30</v>
      </c>
      <c r="R1629" s="4" t="s">
        <v>31</v>
      </c>
      <c r="S1629" s="7" t="s">
        <v>32</v>
      </c>
      <c r="T1629" s="5"/>
    </row>
    <row r="1630" customFormat="false" ht="29.25" hidden="false" customHeight="true" outlineLevel="0" collapsed="false">
      <c r="A1630" s="4" t="n">
        <v>1629</v>
      </c>
      <c r="B1630" s="6" t="s">
        <v>1787</v>
      </c>
      <c r="C1630" s="6" t="s">
        <v>5766</v>
      </c>
      <c r="D1630" s="6" t="s">
        <v>5767</v>
      </c>
      <c r="E1630" s="7" t="s">
        <v>21</v>
      </c>
      <c r="F1630" s="6" t="s">
        <v>5909</v>
      </c>
      <c r="G1630" s="6" t="s">
        <v>5910</v>
      </c>
      <c r="H1630" s="6" t="s">
        <v>5911</v>
      </c>
      <c r="I1630" s="6" t="s">
        <v>5912</v>
      </c>
      <c r="J1630" s="6" t="s">
        <v>5913</v>
      </c>
      <c r="K1630" s="5"/>
      <c r="L1630" s="4" t="s">
        <v>44</v>
      </c>
      <c r="M1630" s="8" t="s">
        <v>129</v>
      </c>
      <c r="N1630" s="9" t="s">
        <v>5773</v>
      </c>
      <c r="O1630" s="5"/>
      <c r="P1630" s="5"/>
      <c r="Q1630" s="6" t="s">
        <v>30</v>
      </c>
      <c r="R1630" s="4" t="s">
        <v>31</v>
      </c>
      <c r="S1630" s="7" t="s">
        <v>32</v>
      </c>
      <c r="T1630" s="5"/>
    </row>
    <row r="1631" customFormat="false" ht="29.25" hidden="false" customHeight="true" outlineLevel="0" collapsed="false">
      <c r="A1631" s="4" t="n">
        <v>1630</v>
      </c>
      <c r="B1631" s="6" t="s">
        <v>1787</v>
      </c>
      <c r="C1631" s="6" t="s">
        <v>5766</v>
      </c>
      <c r="D1631" s="6" t="s">
        <v>5767</v>
      </c>
      <c r="E1631" s="7" t="s">
        <v>21</v>
      </c>
      <c r="F1631" s="6" t="s">
        <v>5914</v>
      </c>
      <c r="G1631" s="6" t="s">
        <v>5915</v>
      </c>
      <c r="H1631" s="6" t="s">
        <v>5911</v>
      </c>
      <c r="I1631" s="6" t="s">
        <v>5912</v>
      </c>
      <c r="J1631" s="6" t="s">
        <v>5916</v>
      </c>
      <c r="K1631" s="5"/>
      <c r="L1631" s="4" t="s">
        <v>51</v>
      </c>
      <c r="M1631" s="8" t="s">
        <v>129</v>
      </c>
      <c r="N1631" s="9" t="s">
        <v>5773</v>
      </c>
      <c r="O1631" s="5"/>
      <c r="P1631" s="5"/>
      <c r="Q1631" s="6" t="s">
        <v>30</v>
      </c>
      <c r="R1631" s="4" t="s">
        <v>31</v>
      </c>
      <c r="S1631" s="7" t="s">
        <v>32</v>
      </c>
      <c r="T1631" s="5"/>
    </row>
    <row r="1632" customFormat="false" ht="29.25" hidden="false" customHeight="true" outlineLevel="0" collapsed="false">
      <c r="A1632" s="4" t="n">
        <v>1631</v>
      </c>
      <c r="B1632" s="6" t="s">
        <v>1787</v>
      </c>
      <c r="C1632" s="6" t="s">
        <v>5766</v>
      </c>
      <c r="D1632" s="6" t="s">
        <v>5767</v>
      </c>
      <c r="E1632" s="7" t="s">
        <v>21</v>
      </c>
      <c r="F1632" s="6" t="s">
        <v>5917</v>
      </c>
      <c r="G1632" s="6" t="s">
        <v>5918</v>
      </c>
      <c r="H1632" s="6" t="s">
        <v>5919</v>
      </c>
      <c r="I1632" s="6" t="s">
        <v>5920</v>
      </c>
      <c r="J1632" s="6" t="s">
        <v>5921</v>
      </c>
      <c r="K1632" s="5"/>
      <c r="L1632" s="4" t="s">
        <v>62</v>
      </c>
      <c r="M1632" s="8" t="s">
        <v>79</v>
      </c>
      <c r="N1632" s="9" t="s">
        <v>5789</v>
      </c>
      <c r="O1632" s="5"/>
      <c r="P1632" s="5"/>
      <c r="Q1632" s="6" t="s">
        <v>30</v>
      </c>
      <c r="R1632" s="4" t="s">
        <v>31</v>
      </c>
      <c r="S1632" s="7" t="s">
        <v>32</v>
      </c>
      <c r="T1632" s="5"/>
    </row>
    <row r="1633" customFormat="false" ht="29.25" hidden="false" customHeight="true" outlineLevel="0" collapsed="false">
      <c r="A1633" s="4" t="n">
        <v>1632</v>
      </c>
      <c r="B1633" s="6" t="s">
        <v>1787</v>
      </c>
      <c r="C1633" s="6" t="s">
        <v>5766</v>
      </c>
      <c r="D1633" s="6" t="s">
        <v>5767</v>
      </c>
      <c r="E1633" s="7" t="s">
        <v>21</v>
      </c>
      <c r="F1633" s="6" t="s">
        <v>5922</v>
      </c>
      <c r="G1633" s="5" t="s">
        <v>5923</v>
      </c>
      <c r="H1633" s="5" t="s">
        <v>5924</v>
      </c>
      <c r="I1633" s="5" t="s">
        <v>5925</v>
      </c>
      <c r="J1633" s="5" t="s">
        <v>5926</v>
      </c>
      <c r="K1633" s="5"/>
      <c r="L1633" s="4" t="s">
        <v>27</v>
      </c>
      <c r="M1633" s="8" t="s">
        <v>129</v>
      </c>
      <c r="N1633" s="9" t="s">
        <v>5789</v>
      </c>
      <c r="O1633" s="5"/>
      <c r="P1633" s="5"/>
      <c r="Q1633" s="6" t="s">
        <v>30</v>
      </c>
      <c r="R1633" s="4" t="s">
        <v>31</v>
      </c>
      <c r="S1633" s="7" t="s">
        <v>32</v>
      </c>
      <c r="T1633" s="5"/>
    </row>
    <row r="1634" customFormat="false" ht="29.25" hidden="false" customHeight="true" outlineLevel="0" collapsed="false">
      <c r="A1634" s="4" t="n">
        <v>1633</v>
      </c>
      <c r="B1634" s="6" t="s">
        <v>1787</v>
      </c>
      <c r="C1634" s="6" t="s">
        <v>5766</v>
      </c>
      <c r="D1634" s="6" t="s">
        <v>5767</v>
      </c>
      <c r="E1634" s="7" t="s">
        <v>21</v>
      </c>
      <c r="F1634" s="6" t="s">
        <v>5927</v>
      </c>
      <c r="G1634" s="6" t="s">
        <v>5928</v>
      </c>
      <c r="H1634" s="6" t="s">
        <v>5929</v>
      </c>
      <c r="I1634" s="6" t="s">
        <v>5930</v>
      </c>
      <c r="J1634" s="6" t="s">
        <v>5931</v>
      </c>
      <c r="K1634" s="5"/>
      <c r="L1634" s="4" t="s">
        <v>51</v>
      </c>
      <c r="M1634" s="8" t="s">
        <v>79</v>
      </c>
      <c r="N1634" s="9" t="s">
        <v>5773</v>
      </c>
      <c r="O1634" s="5"/>
      <c r="P1634" s="5"/>
      <c r="Q1634" s="6" t="s">
        <v>30</v>
      </c>
      <c r="R1634" s="4" t="s">
        <v>31</v>
      </c>
      <c r="S1634" s="7" t="s">
        <v>32</v>
      </c>
      <c r="T1634" s="5"/>
    </row>
    <row r="1635" customFormat="false" ht="29.25" hidden="false" customHeight="true" outlineLevel="0" collapsed="false">
      <c r="A1635" s="4" t="n">
        <v>1634</v>
      </c>
      <c r="B1635" s="6" t="s">
        <v>1787</v>
      </c>
      <c r="C1635" s="6" t="s">
        <v>5766</v>
      </c>
      <c r="D1635" s="6" t="s">
        <v>5767</v>
      </c>
      <c r="E1635" s="7" t="s">
        <v>21</v>
      </c>
      <c r="F1635" s="6" t="s">
        <v>5932</v>
      </c>
      <c r="G1635" s="6" t="s">
        <v>5933</v>
      </c>
      <c r="H1635" s="6" t="s">
        <v>5934</v>
      </c>
      <c r="I1635" s="6" t="s">
        <v>5935</v>
      </c>
      <c r="J1635" s="6" t="s">
        <v>5936</v>
      </c>
      <c r="K1635" s="5"/>
      <c r="L1635" s="4" t="s">
        <v>62</v>
      </c>
      <c r="M1635" s="8" t="s">
        <v>28</v>
      </c>
      <c r="N1635" s="9" t="s">
        <v>5773</v>
      </c>
      <c r="O1635" s="5"/>
      <c r="P1635" s="5"/>
      <c r="Q1635" s="6" t="s">
        <v>30</v>
      </c>
      <c r="R1635" s="4" t="s">
        <v>31</v>
      </c>
      <c r="S1635" s="7" t="s">
        <v>32</v>
      </c>
      <c r="T1635" s="5"/>
    </row>
    <row r="1636" customFormat="false" ht="29.25" hidden="false" customHeight="true" outlineLevel="0" collapsed="false">
      <c r="A1636" s="4" t="n">
        <v>1635</v>
      </c>
      <c r="B1636" s="6" t="s">
        <v>1787</v>
      </c>
      <c r="C1636" s="6" t="s">
        <v>5766</v>
      </c>
      <c r="D1636" s="6" t="s">
        <v>5767</v>
      </c>
      <c r="E1636" s="7" t="s">
        <v>21</v>
      </c>
      <c r="F1636" s="6" t="s">
        <v>5937</v>
      </c>
      <c r="G1636" s="5" t="s">
        <v>5938</v>
      </c>
      <c r="H1636" s="5" t="s">
        <v>5939</v>
      </c>
      <c r="I1636" s="5" t="s">
        <v>5940</v>
      </c>
      <c r="J1636" s="5" t="s">
        <v>5941</v>
      </c>
      <c r="K1636" s="5"/>
      <c r="L1636" s="4" t="s">
        <v>27</v>
      </c>
      <c r="M1636" s="8" t="s">
        <v>129</v>
      </c>
      <c r="N1636" s="9" t="s">
        <v>5773</v>
      </c>
      <c r="O1636" s="5"/>
      <c r="P1636" s="5"/>
      <c r="Q1636" s="6" t="s">
        <v>30</v>
      </c>
      <c r="R1636" s="4" t="s">
        <v>31</v>
      </c>
      <c r="S1636" s="7" t="s">
        <v>32</v>
      </c>
      <c r="T1636" s="5"/>
    </row>
    <row r="1637" customFormat="false" ht="29.25" hidden="false" customHeight="true" outlineLevel="0" collapsed="false">
      <c r="A1637" s="4" t="n">
        <v>1636</v>
      </c>
      <c r="B1637" s="6" t="s">
        <v>1787</v>
      </c>
      <c r="C1637" s="6" t="s">
        <v>5766</v>
      </c>
      <c r="D1637" s="6" t="s">
        <v>5767</v>
      </c>
      <c r="E1637" s="7" t="s">
        <v>21</v>
      </c>
      <c r="F1637" s="6" t="s">
        <v>5942</v>
      </c>
      <c r="G1637" s="5" t="s">
        <v>5943</v>
      </c>
      <c r="H1637" s="5" t="s">
        <v>5941</v>
      </c>
      <c r="I1637" s="5" t="s">
        <v>5940</v>
      </c>
      <c r="J1637" s="5" t="s">
        <v>5944</v>
      </c>
      <c r="K1637" s="5"/>
      <c r="L1637" s="4" t="s">
        <v>44</v>
      </c>
      <c r="M1637" s="8" t="s">
        <v>129</v>
      </c>
      <c r="N1637" s="9" t="s">
        <v>5773</v>
      </c>
      <c r="O1637" s="5"/>
      <c r="P1637" s="5"/>
      <c r="Q1637" s="6" t="s">
        <v>30</v>
      </c>
      <c r="R1637" s="4" t="s">
        <v>31</v>
      </c>
      <c r="S1637" s="7" t="s">
        <v>32</v>
      </c>
      <c r="T1637" s="5"/>
    </row>
    <row r="1638" customFormat="false" ht="29.25" hidden="false" customHeight="true" outlineLevel="0" collapsed="false">
      <c r="A1638" s="4" t="n">
        <v>1637</v>
      </c>
      <c r="B1638" s="6" t="s">
        <v>1787</v>
      </c>
      <c r="C1638" s="6" t="s">
        <v>5766</v>
      </c>
      <c r="D1638" s="6" t="s">
        <v>5767</v>
      </c>
      <c r="E1638" s="7" t="s">
        <v>21</v>
      </c>
      <c r="F1638" s="6" t="s">
        <v>5945</v>
      </c>
      <c r="G1638" s="6" t="s">
        <v>5946</v>
      </c>
      <c r="H1638" s="6" t="s">
        <v>5947</v>
      </c>
      <c r="I1638" s="6" t="s">
        <v>5948</v>
      </c>
      <c r="J1638" s="6" t="s">
        <v>5949</v>
      </c>
      <c r="K1638" s="5"/>
      <c r="L1638" s="4" t="s">
        <v>51</v>
      </c>
      <c r="M1638" s="8" t="s">
        <v>79</v>
      </c>
      <c r="N1638" s="9" t="s">
        <v>5789</v>
      </c>
      <c r="O1638" s="5"/>
      <c r="P1638" s="5"/>
      <c r="Q1638" s="6" t="s">
        <v>30</v>
      </c>
      <c r="R1638" s="4" t="s">
        <v>31</v>
      </c>
      <c r="S1638" s="7" t="s">
        <v>32</v>
      </c>
      <c r="T1638" s="5"/>
    </row>
    <row r="1639" customFormat="false" ht="29.25" hidden="false" customHeight="true" outlineLevel="0" collapsed="false">
      <c r="A1639" s="4" t="n">
        <v>1638</v>
      </c>
      <c r="B1639" s="6" t="s">
        <v>1787</v>
      </c>
      <c r="C1639" s="6" t="s">
        <v>5766</v>
      </c>
      <c r="D1639" s="6" t="s">
        <v>5767</v>
      </c>
      <c r="E1639" s="7" t="s">
        <v>21</v>
      </c>
      <c r="F1639" s="6" t="s">
        <v>5950</v>
      </c>
      <c r="G1639" s="6" t="s">
        <v>5951</v>
      </c>
      <c r="H1639" s="6" t="s">
        <v>5952</v>
      </c>
      <c r="I1639" s="6" t="s">
        <v>5953</v>
      </c>
      <c r="J1639" s="6" t="s">
        <v>5954</v>
      </c>
      <c r="K1639" s="5"/>
      <c r="L1639" s="4" t="s">
        <v>62</v>
      </c>
      <c r="M1639" s="8" t="s">
        <v>79</v>
      </c>
      <c r="N1639" s="9" t="s">
        <v>5789</v>
      </c>
      <c r="O1639" s="5"/>
      <c r="P1639" s="5"/>
      <c r="Q1639" s="6" t="s">
        <v>30</v>
      </c>
      <c r="R1639" s="4" t="s">
        <v>31</v>
      </c>
      <c r="S1639" s="7" t="s">
        <v>32</v>
      </c>
      <c r="T1639" s="5"/>
    </row>
    <row r="1640" customFormat="false" ht="29.25" hidden="false" customHeight="true" outlineLevel="0" collapsed="false">
      <c r="A1640" s="4" t="n">
        <v>1639</v>
      </c>
      <c r="B1640" s="6" t="s">
        <v>1787</v>
      </c>
      <c r="C1640" s="6" t="s">
        <v>5766</v>
      </c>
      <c r="D1640" s="6" t="s">
        <v>5767</v>
      </c>
      <c r="E1640" s="7" t="s">
        <v>21</v>
      </c>
      <c r="F1640" s="6" t="s">
        <v>5955</v>
      </c>
      <c r="G1640" s="6" t="s">
        <v>5956</v>
      </c>
      <c r="H1640" s="6" t="s">
        <v>5957</v>
      </c>
      <c r="I1640" s="6" t="s">
        <v>5958</v>
      </c>
      <c r="J1640" s="6" t="s">
        <v>5959</v>
      </c>
      <c r="K1640" s="5"/>
      <c r="L1640" s="4" t="s">
        <v>27</v>
      </c>
      <c r="M1640" s="8" t="s">
        <v>79</v>
      </c>
      <c r="N1640" s="9" t="s">
        <v>5789</v>
      </c>
      <c r="O1640" s="5"/>
      <c r="P1640" s="5"/>
      <c r="Q1640" s="6" t="s">
        <v>30</v>
      </c>
      <c r="R1640" s="4" t="s">
        <v>31</v>
      </c>
      <c r="S1640" s="7" t="s">
        <v>32</v>
      </c>
      <c r="T1640" s="5"/>
    </row>
    <row r="1641" customFormat="false" ht="29.25" hidden="false" customHeight="true" outlineLevel="0" collapsed="false">
      <c r="A1641" s="4" t="n">
        <v>1640</v>
      </c>
      <c r="B1641" s="6" t="s">
        <v>1787</v>
      </c>
      <c r="C1641" s="6" t="s">
        <v>5766</v>
      </c>
      <c r="D1641" s="6" t="s">
        <v>5767</v>
      </c>
      <c r="E1641" s="7" t="s">
        <v>21</v>
      </c>
      <c r="F1641" s="6" t="s">
        <v>5960</v>
      </c>
      <c r="G1641" s="5" t="s">
        <v>5961</v>
      </c>
      <c r="H1641" s="5" t="s">
        <v>5962</v>
      </c>
      <c r="I1641" s="5" t="s">
        <v>5963</v>
      </c>
      <c r="J1641" s="5" t="s">
        <v>5964</v>
      </c>
      <c r="K1641" s="5"/>
      <c r="L1641" s="4" t="s">
        <v>51</v>
      </c>
      <c r="M1641" s="8" t="s">
        <v>79</v>
      </c>
      <c r="N1641" s="9" t="s">
        <v>5789</v>
      </c>
      <c r="O1641" s="5"/>
      <c r="P1641" s="5"/>
      <c r="Q1641" s="6" t="s">
        <v>30</v>
      </c>
      <c r="R1641" s="4" t="s">
        <v>31</v>
      </c>
      <c r="S1641" s="7" t="s">
        <v>32</v>
      </c>
      <c r="T1641" s="5"/>
    </row>
    <row r="1642" customFormat="false" ht="29.25" hidden="false" customHeight="true" outlineLevel="0" collapsed="false">
      <c r="A1642" s="4" t="n">
        <v>1641</v>
      </c>
      <c r="B1642" s="6" t="s">
        <v>1787</v>
      </c>
      <c r="C1642" s="6" t="s">
        <v>5766</v>
      </c>
      <c r="D1642" s="6" t="s">
        <v>5767</v>
      </c>
      <c r="E1642" s="7" t="s">
        <v>21</v>
      </c>
      <c r="F1642" s="6" t="s">
        <v>5965</v>
      </c>
      <c r="G1642" s="5" t="s">
        <v>5966</v>
      </c>
      <c r="H1642" s="5" t="s">
        <v>5963</v>
      </c>
      <c r="I1642" s="5" t="s">
        <v>5964</v>
      </c>
      <c r="J1642" s="5" t="s">
        <v>5967</v>
      </c>
      <c r="K1642" s="5"/>
      <c r="L1642" s="4" t="s">
        <v>62</v>
      </c>
      <c r="M1642" s="8" t="s">
        <v>79</v>
      </c>
      <c r="N1642" s="9" t="s">
        <v>5789</v>
      </c>
      <c r="O1642" s="5"/>
      <c r="P1642" s="5"/>
      <c r="Q1642" s="6" t="s">
        <v>30</v>
      </c>
      <c r="R1642" s="4" t="s">
        <v>31</v>
      </c>
      <c r="S1642" s="7" t="s">
        <v>32</v>
      </c>
      <c r="T1642" s="5"/>
    </row>
    <row r="1643" customFormat="false" ht="29.25" hidden="false" customHeight="true" outlineLevel="0" collapsed="false">
      <c r="A1643" s="4" t="n">
        <v>1642</v>
      </c>
      <c r="B1643" s="6" t="s">
        <v>1787</v>
      </c>
      <c r="C1643" s="6" t="s">
        <v>5766</v>
      </c>
      <c r="D1643" s="6" t="s">
        <v>5767</v>
      </c>
      <c r="E1643" s="7" t="s">
        <v>21</v>
      </c>
      <c r="F1643" s="6" t="s">
        <v>5968</v>
      </c>
      <c r="G1643" s="5" t="s">
        <v>5969</v>
      </c>
      <c r="H1643" s="5" t="s">
        <v>1254</v>
      </c>
      <c r="I1643" s="5" t="s">
        <v>1255</v>
      </c>
      <c r="J1643" s="5" t="s">
        <v>5970</v>
      </c>
      <c r="K1643" s="5"/>
      <c r="L1643" s="4" t="s">
        <v>27</v>
      </c>
      <c r="M1643" s="8" t="s">
        <v>129</v>
      </c>
      <c r="N1643" s="9" t="s">
        <v>5789</v>
      </c>
      <c r="O1643" s="5"/>
      <c r="P1643" s="5"/>
      <c r="Q1643" s="6" t="s">
        <v>30</v>
      </c>
      <c r="R1643" s="4" t="s">
        <v>31</v>
      </c>
      <c r="S1643" s="7" t="s">
        <v>32</v>
      </c>
      <c r="T1643" s="5"/>
    </row>
    <row r="1644" customFormat="false" ht="29.25" hidden="false" customHeight="true" outlineLevel="0" collapsed="false">
      <c r="A1644" s="4" t="n">
        <v>1643</v>
      </c>
      <c r="B1644" s="6" t="s">
        <v>1787</v>
      </c>
      <c r="C1644" s="6" t="s">
        <v>5766</v>
      </c>
      <c r="D1644" s="6" t="s">
        <v>5767</v>
      </c>
      <c r="E1644" s="7" t="s">
        <v>21</v>
      </c>
      <c r="F1644" s="6" t="s">
        <v>5971</v>
      </c>
      <c r="G1644" s="5" t="s">
        <v>5972</v>
      </c>
      <c r="H1644" s="5" t="s">
        <v>5973</v>
      </c>
      <c r="I1644" s="5" t="s">
        <v>5974</v>
      </c>
      <c r="J1644" s="5" t="s">
        <v>5975</v>
      </c>
      <c r="K1644" s="5"/>
      <c r="L1644" s="4" t="s">
        <v>44</v>
      </c>
      <c r="M1644" s="8" t="s">
        <v>79</v>
      </c>
      <c r="N1644" s="9" t="s">
        <v>5789</v>
      </c>
      <c r="O1644" s="5"/>
      <c r="P1644" s="5"/>
      <c r="Q1644" s="6" t="s">
        <v>30</v>
      </c>
      <c r="R1644" s="4" t="s">
        <v>31</v>
      </c>
      <c r="S1644" s="7" t="s">
        <v>32</v>
      </c>
      <c r="T1644" s="5"/>
    </row>
    <row r="1645" customFormat="false" ht="29.25" hidden="false" customHeight="true" outlineLevel="0" collapsed="false">
      <c r="A1645" s="4" t="n">
        <v>1644</v>
      </c>
      <c r="B1645" s="6" t="s">
        <v>1787</v>
      </c>
      <c r="C1645" s="6" t="s">
        <v>5766</v>
      </c>
      <c r="D1645" s="6" t="s">
        <v>5767</v>
      </c>
      <c r="E1645" s="7" t="s">
        <v>21</v>
      </c>
      <c r="F1645" s="6" t="s">
        <v>5976</v>
      </c>
      <c r="G1645" s="5" t="s">
        <v>5977</v>
      </c>
      <c r="H1645" s="5" t="s">
        <v>5978</v>
      </c>
      <c r="I1645" s="5" t="s">
        <v>5979</v>
      </c>
      <c r="J1645" s="5" t="s">
        <v>5980</v>
      </c>
      <c r="K1645" s="5"/>
      <c r="L1645" s="4" t="s">
        <v>44</v>
      </c>
      <c r="M1645" s="8" t="s">
        <v>129</v>
      </c>
      <c r="N1645" s="9" t="s">
        <v>5789</v>
      </c>
      <c r="O1645" s="5"/>
      <c r="P1645" s="5"/>
      <c r="Q1645" s="6" t="s">
        <v>30</v>
      </c>
      <c r="R1645" s="4" t="s">
        <v>31</v>
      </c>
      <c r="S1645" s="7" t="s">
        <v>32</v>
      </c>
      <c r="T1645" s="5"/>
    </row>
    <row r="1646" customFormat="false" ht="29.25" hidden="false" customHeight="true" outlineLevel="0" collapsed="false">
      <c r="A1646" s="4" t="n">
        <v>1645</v>
      </c>
      <c r="B1646" s="6" t="s">
        <v>1787</v>
      </c>
      <c r="C1646" s="6" t="s">
        <v>5766</v>
      </c>
      <c r="D1646" s="6" t="s">
        <v>5767</v>
      </c>
      <c r="E1646" s="7" t="s">
        <v>21</v>
      </c>
      <c r="F1646" s="6" t="s">
        <v>5981</v>
      </c>
      <c r="G1646" s="6" t="s">
        <v>5982</v>
      </c>
      <c r="H1646" s="6" t="s">
        <v>5983</v>
      </c>
      <c r="I1646" s="6" t="s">
        <v>5984</v>
      </c>
      <c r="J1646" s="6" t="s">
        <v>5985</v>
      </c>
      <c r="K1646" s="5"/>
      <c r="L1646" s="4" t="s">
        <v>51</v>
      </c>
      <c r="M1646" s="8" t="s">
        <v>79</v>
      </c>
      <c r="N1646" s="9" t="s">
        <v>5789</v>
      </c>
      <c r="O1646" s="5"/>
      <c r="P1646" s="5"/>
      <c r="Q1646" s="6" t="s">
        <v>30</v>
      </c>
      <c r="R1646" s="4" t="s">
        <v>31</v>
      </c>
      <c r="S1646" s="7" t="s">
        <v>32</v>
      </c>
      <c r="T1646" s="5"/>
    </row>
    <row r="1647" customFormat="false" ht="29.25" hidden="false" customHeight="true" outlineLevel="0" collapsed="false">
      <c r="A1647" s="4" t="n">
        <v>1646</v>
      </c>
      <c r="B1647" s="6" t="s">
        <v>1787</v>
      </c>
      <c r="C1647" s="6" t="s">
        <v>5766</v>
      </c>
      <c r="D1647" s="6" t="s">
        <v>5767</v>
      </c>
      <c r="E1647" s="7" t="s">
        <v>21</v>
      </c>
      <c r="F1647" s="6" t="s">
        <v>5986</v>
      </c>
      <c r="G1647" s="6" t="s">
        <v>5987</v>
      </c>
      <c r="H1647" s="6" t="s">
        <v>5988</v>
      </c>
      <c r="I1647" s="6" t="s">
        <v>5989</v>
      </c>
      <c r="J1647" s="6" t="s">
        <v>5990</v>
      </c>
      <c r="K1647" s="5"/>
      <c r="L1647" s="4" t="s">
        <v>62</v>
      </c>
      <c r="M1647" s="8" t="s">
        <v>28</v>
      </c>
      <c r="N1647" s="9" t="s">
        <v>5789</v>
      </c>
      <c r="O1647" s="5"/>
      <c r="P1647" s="5"/>
      <c r="Q1647" s="6" t="s">
        <v>30</v>
      </c>
      <c r="R1647" s="4" t="s">
        <v>31</v>
      </c>
      <c r="S1647" s="7" t="s">
        <v>32</v>
      </c>
      <c r="T1647" s="5"/>
    </row>
    <row r="1648" customFormat="false" ht="29.25" hidden="false" customHeight="true" outlineLevel="0" collapsed="false">
      <c r="A1648" s="4" t="n">
        <v>1647</v>
      </c>
      <c r="B1648" s="6" t="s">
        <v>1787</v>
      </c>
      <c r="C1648" s="6" t="s">
        <v>5766</v>
      </c>
      <c r="D1648" s="6" t="s">
        <v>5767</v>
      </c>
      <c r="E1648" s="7" t="s">
        <v>21</v>
      </c>
      <c r="F1648" s="6" t="s">
        <v>5991</v>
      </c>
      <c r="G1648" s="5" t="s">
        <v>1256</v>
      </c>
      <c r="H1648" s="5" t="s">
        <v>1902</v>
      </c>
      <c r="I1648" s="5" t="s">
        <v>1255</v>
      </c>
      <c r="J1648" s="5" t="s">
        <v>5992</v>
      </c>
      <c r="K1648" s="5"/>
      <c r="L1648" s="4" t="s">
        <v>27</v>
      </c>
      <c r="M1648" s="8" t="s">
        <v>79</v>
      </c>
      <c r="N1648" s="9" t="s">
        <v>5789</v>
      </c>
      <c r="O1648" s="5"/>
      <c r="P1648" s="5"/>
      <c r="Q1648" s="6" t="s">
        <v>30</v>
      </c>
      <c r="R1648" s="4" t="s">
        <v>31</v>
      </c>
      <c r="S1648" s="7" t="s">
        <v>32</v>
      </c>
      <c r="T1648" s="5"/>
    </row>
    <row r="1649" customFormat="false" ht="29.25" hidden="false" customHeight="true" outlineLevel="0" collapsed="false">
      <c r="A1649" s="4" t="n">
        <v>1648</v>
      </c>
      <c r="B1649" s="6" t="s">
        <v>1787</v>
      </c>
      <c r="C1649" s="6" t="s">
        <v>5766</v>
      </c>
      <c r="D1649" s="6" t="s">
        <v>5767</v>
      </c>
      <c r="E1649" s="7" t="s">
        <v>21</v>
      </c>
      <c r="F1649" s="6" t="s">
        <v>5993</v>
      </c>
      <c r="G1649" s="6" t="s">
        <v>5994</v>
      </c>
      <c r="H1649" s="6" t="s">
        <v>5995</v>
      </c>
      <c r="I1649" s="6" t="s">
        <v>5996</v>
      </c>
      <c r="J1649" s="6" t="s">
        <v>5997</v>
      </c>
      <c r="K1649" s="5"/>
      <c r="L1649" s="4" t="s">
        <v>44</v>
      </c>
      <c r="M1649" s="8" t="s">
        <v>129</v>
      </c>
      <c r="N1649" s="9" t="s">
        <v>5773</v>
      </c>
      <c r="O1649" s="5"/>
      <c r="P1649" s="5"/>
      <c r="Q1649" s="6" t="s">
        <v>30</v>
      </c>
      <c r="R1649" s="4" t="s">
        <v>31</v>
      </c>
      <c r="S1649" s="7" t="s">
        <v>32</v>
      </c>
      <c r="T1649" s="5"/>
    </row>
    <row r="1650" customFormat="false" ht="29.25" hidden="false" customHeight="true" outlineLevel="0" collapsed="false">
      <c r="A1650" s="4" t="n">
        <v>1649</v>
      </c>
      <c r="B1650" s="6" t="s">
        <v>1787</v>
      </c>
      <c r="C1650" s="6" t="s">
        <v>5766</v>
      </c>
      <c r="D1650" s="6" t="s">
        <v>5767</v>
      </c>
      <c r="E1650" s="7" t="s">
        <v>21</v>
      </c>
      <c r="F1650" s="6" t="s">
        <v>5998</v>
      </c>
      <c r="G1650" s="5" t="s">
        <v>5999</v>
      </c>
      <c r="H1650" s="5" t="s">
        <v>6000</v>
      </c>
      <c r="I1650" s="5" t="s">
        <v>6001</v>
      </c>
      <c r="J1650" s="5" t="s">
        <v>6002</v>
      </c>
      <c r="K1650" s="5"/>
      <c r="L1650" s="4" t="s">
        <v>51</v>
      </c>
      <c r="M1650" s="8" t="s">
        <v>28</v>
      </c>
      <c r="N1650" s="9" t="s">
        <v>5773</v>
      </c>
      <c r="O1650" s="5"/>
      <c r="P1650" s="5"/>
      <c r="Q1650" s="6" t="s">
        <v>30</v>
      </c>
      <c r="R1650" s="4" t="s">
        <v>31</v>
      </c>
      <c r="S1650" s="7" t="s">
        <v>32</v>
      </c>
      <c r="T1650" s="5"/>
    </row>
    <row r="1651" customFormat="false" ht="29.25" hidden="false" customHeight="true" outlineLevel="0" collapsed="false">
      <c r="A1651" s="4" t="n">
        <v>1650</v>
      </c>
      <c r="B1651" s="6" t="s">
        <v>1787</v>
      </c>
      <c r="C1651" s="6" t="s">
        <v>5766</v>
      </c>
      <c r="D1651" s="6" t="s">
        <v>5767</v>
      </c>
      <c r="E1651" s="7" t="s">
        <v>21</v>
      </c>
      <c r="F1651" s="6" t="s">
        <v>6003</v>
      </c>
      <c r="G1651" s="5" t="s">
        <v>5999</v>
      </c>
      <c r="H1651" s="5" t="s">
        <v>6000</v>
      </c>
      <c r="I1651" s="5" t="s">
        <v>6004</v>
      </c>
      <c r="J1651" s="5" t="s">
        <v>6002</v>
      </c>
      <c r="K1651" s="5"/>
      <c r="L1651" s="4" t="s">
        <v>62</v>
      </c>
      <c r="M1651" s="8" t="s">
        <v>28</v>
      </c>
      <c r="N1651" s="9" t="s">
        <v>5773</v>
      </c>
      <c r="O1651" s="5"/>
      <c r="P1651" s="5"/>
      <c r="Q1651" s="6" t="s">
        <v>30</v>
      </c>
      <c r="R1651" s="4" t="s">
        <v>31</v>
      </c>
      <c r="S1651" s="7" t="s">
        <v>32</v>
      </c>
      <c r="T1651" s="5"/>
    </row>
    <row r="1652" customFormat="false" ht="29.25" hidden="false" customHeight="true" outlineLevel="0" collapsed="false">
      <c r="A1652" s="4" t="n">
        <v>1651</v>
      </c>
      <c r="B1652" s="6" t="s">
        <v>1787</v>
      </c>
      <c r="C1652" s="6" t="s">
        <v>5766</v>
      </c>
      <c r="D1652" s="6" t="s">
        <v>5767</v>
      </c>
      <c r="E1652" s="7" t="s">
        <v>21</v>
      </c>
      <c r="F1652" s="5" t="s">
        <v>6005</v>
      </c>
      <c r="G1652" s="5" t="s">
        <v>6006</v>
      </c>
      <c r="H1652" s="5" t="s">
        <v>6007</v>
      </c>
      <c r="I1652" s="5" t="s">
        <v>6008</v>
      </c>
      <c r="J1652" s="5" t="s">
        <v>6009</v>
      </c>
      <c r="K1652" s="5"/>
      <c r="L1652" s="4" t="s">
        <v>27</v>
      </c>
      <c r="M1652" s="8" t="s">
        <v>129</v>
      </c>
      <c r="N1652" s="9" t="s">
        <v>5773</v>
      </c>
      <c r="O1652" s="5"/>
      <c r="P1652" s="5"/>
      <c r="Q1652" s="6" t="s">
        <v>30</v>
      </c>
      <c r="R1652" s="4" t="s">
        <v>31</v>
      </c>
      <c r="S1652" s="7" t="s">
        <v>32</v>
      </c>
      <c r="T1652" s="5"/>
    </row>
    <row r="1653" customFormat="false" ht="29.25" hidden="false" customHeight="true" outlineLevel="0" collapsed="false">
      <c r="A1653" s="4" t="n">
        <v>1652</v>
      </c>
      <c r="B1653" s="6" t="s">
        <v>1787</v>
      </c>
      <c r="C1653" s="6" t="s">
        <v>5766</v>
      </c>
      <c r="D1653" s="6" t="s">
        <v>5767</v>
      </c>
      <c r="E1653" s="7" t="s">
        <v>21</v>
      </c>
      <c r="F1653" s="5" t="s">
        <v>6010</v>
      </c>
      <c r="G1653" s="5" t="s">
        <v>6011</v>
      </c>
      <c r="H1653" s="5" t="s">
        <v>6012</v>
      </c>
      <c r="I1653" s="5" t="s">
        <v>6013</v>
      </c>
      <c r="J1653" s="5" t="s">
        <v>6014</v>
      </c>
      <c r="K1653" s="5"/>
      <c r="L1653" s="4" t="s">
        <v>44</v>
      </c>
      <c r="M1653" s="8" t="s">
        <v>129</v>
      </c>
      <c r="N1653" s="9" t="s">
        <v>5773</v>
      </c>
      <c r="O1653" s="5"/>
      <c r="P1653" s="5"/>
      <c r="Q1653" s="6" t="s">
        <v>30</v>
      </c>
      <c r="R1653" s="4" t="s">
        <v>31</v>
      </c>
      <c r="S1653" s="7" t="s">
        <v>32</v>
      </c>
      <c r="T1653" s="5"/>
    </row>
    <row r="1654" customFormat="false" ht="29.25" hidden="false" customHeight="true" outlineLevel="0" collapsed="false">
      <c r="A1654" s="4" t="n">
        <v>1653</v>
      </c>
      <c r="B1654" s="6" t="s">
        <v>1787</v>
      </c>
      <c r="C1654" s="6" t="s">
        <v>5766</v>
      </c>
      <c r="D1654" s="6" t="s">
        <v>5767</v>
      </c>
      <c r="E1654" s="7" t="s">
        <v>21</v>
      </c>
      <c r="F1654" s="6" t="s">
        <v>6015</v>
      </c>
      <c r="G1654" s="6" t="s">
        <v>6016</v>
      </c>
      <c r="H1654" s="6" t="s">
        <v>6017</v>
      </c>
      <c r="I1654" s="6" t="s">
        <v>6018</v>
      </c>
      <c r="J1654" s="6" t="s">
        <v>6019</v>
      </c>
      <c r="K1654" s="5"/>
      <c r="L1654" s="4" t="s">
        <v>62</v>
      </c>
      <c r="M1654" s="8" t="s">
        <v>79</v>
      </c>
      <c r="N1654" s="9" t="s">
        <v>5773</v>
      </c>
      <c r="O1654" s="5"/>
      <c r="P1654" s="5"/>
      <c r="Q1654" s="6" t="s">
        <v>30</v>
      </c>
      <c r="R1654" s="4" t="s">
        <v>31</v>
      </c>
      <c r="S1654" s="7" t="s">
        <v>32</v>
      </c>
      <c r="T1654" s="5"/>
    </row>
    <row r="1655" customFormat="false" ht="29.25" hidden="false" customHeight="true" outlineLevel="0" collapsed="false">
      <c r="A1655" s="4" t="n">
        <v>1654</v>
      </c>
      <c r="B1655" s="6" t="s">
        <v>1787</v>
      </c>
      <c r="C1655" s="6" t="s">
        <v>5766</v>
      </c>
      <c r="D1655" s="6" t="s">
        <v>5767</v>
      </c>
      <c r="E1655" s="7" t="s">
        <v>21</v>
      </c>
      <c r="F1655" s="6" t="s">
        <v>6020</v>
      </c>
      <c r="G1655" s="5" t="s">
        <v>6021</v>
      </c>
      <c r="H1655" s="5" t="s">
        <v>6022</v>
      </c>
      <c r="I1655" s="5" t="s">
        <v>6023</v>
      </c>
      <c r="J1655" s="5" t="s">
        <v>6024</v>
      </c>
      <c r="K1655" s="5"/>
      <c r="L1655" s="4" t="s">
        <v>27</v>
      </c>
      <c r="M1655" s="8" t="s">
        <v>129</v>
      </c>
      <c r="N1655" s="9" t="s">
        <v>5789</v>
      </c>
      <c r="O1655" s="5"/>
      <c r="P1655" s="5"/>
      <c r="Q1655" s="6" t="s">
        <v>30</v>
      </c>
      <c r="R1655" s="4" t="s">
        <v>31</v>
      </c>
      <c r="S1655" s="7" t="s">
        <v>32</v>
      </c>
      <c r="T1655" s="5"/>
    </row>
    <row r="1656" customFormat="false" ht="29.25" hidden="false" customHeight="true" outlineLevel="0" collapsed="false">
      <c r="A1656" s="4" t="n">
        <v>1655</v>
      </c>
      <c r="B1656" s="6" t="s">
        <v>1787</v>
      </c>
      <c r="C1656" s="6" t="s">
        <v>5766</v>
      </c>
      <c r="D1656" s="6" t="s">
        <v>5767</v>
      </c>
      <c r="E1656" s="7" t="s">
        <v>21</v>
      </c>
      <c r="F1656" s="6" t="s">
        <v>6025</v>
      </c>
      <c r="G1656" s="6" t="s">
        <v>6026</v>
      </c>
      <c r="H1656" s="6" t="s">
        <v>6027</v>
      </c>
      <c r="I1656" s="6" t="s">
        <v>6028</v>
      </c>
      <c r="J1656" s="6" t="s">
        <v>6029</v>
      </c>
      <c r="K1656" s="5"/>
      <c r="L1656" s="4" t="s">
        <v>44</v>
      </c>
      <c r="M1656" s="8" t="s">
        <v>79</v>
      </c>
      <c r="N1656" s="9" t="s">
        <v>5789</v>
      </c>
      <c r="O1656" s="5"/>
      <c r="P1656" s="5"/>
      <c r="Q1656" s="6" t="s">
        <v>30</v>
      </c>
      <c r="R1656" s="4" t="s">
        <v>31</v>
      </c>
      <c r="S1656" s="7" t="s">
        <v>32</v>
      </c>
      <c r="T1656" s="5"/>
    </row>
    <row r="1657" customFormat="false" ht="29.25" hidden="false" customHeight="true" outlineLevel="0" collapsed="false">
      <c r="A1657" s="4" t="n">
        <v>1656</v>
      </c>
      <c r="B1657" s="6" t="s">
        <v>1787</v>
      </c>
      <c r="C1657" s="6" t="s">
        <v>5766</v>
      </c>
      <c r="D1657" s="6" t="s">
        <v>5767</v>
      </c>
      <c r="E1657" s="7" t="s">
        <v>21</v>
      </c>
      <c r="F1657" s="5" t="s">
        <v>6030</v>
      </c>
      <c r="G1657" s="6" t="s">
        <v>6031</v>
      </c>
      <c r="H1657" s="6" t="s">
        <v>6032</v>
      </c>
      <c r="I1657" s="6" t="s">
        <v>6033</v>
      </c>
      <c r="J1657" s="6" t="s">
        <v>6034</v>
      </c>
      <c r="K1657" s="5"/>
      <c r="L1657" s="4" t="s">
        <v>51</v>
      </c>
      <c r="M1657" s="8" t="s">
        <v>129</v>
      </c>
      <c r="N1657" s="9" t="s">
        <v>5773</v>
      </c>
      <c r="O1657" s="5"/>
      <c r="P1657" s="5"/>
      <c r="Q1657" s="6" t="s">
        <v>30</v>
      </c>
      <c r="R1657" s="4" t="s">
        <v>31</v>
      </c>
      <c r="S1657" s="7" t="s">
        <v>32</v>
      </c>
      <c r="T1657" s="5"/>
    </row>
    <row r="1658" customFormat="false" ht="29.25" hidden="false" customHeight="true" outlineLevel="0" collapsed="false">
      <c r="A1658" s="4" t="n">
        <v>1657</v>
      </c>
      <c r="B1658" s="6" t="s">
        <v>1787</v>
      </c>
      <c r="C1658" s="6" t="s">
        <v>5766</v>
      </c>
      <c r="D1658" s="6" t="s">
        <v>5767</v>
      </c>
      <c r="E1658" s="7" t="s">
        <v>21</v>
      </c>
      <c r="F1658" s="6" t="s">
        <v>6035</v>
      </c>
      <c r="G1658" s="5" t="s">
        <v>6036</v>
      </c>
      <c r="H1658" s="5" t="s">
        <v>6037</v>
      </c>
      <c r="I1658" s="6" t="s">
        <v>6038</v>
      </c>
      <c r="J1658" s="5" t="s">
        <v>6039</v>
      </c>
      <c r="K1658" s="5"/>
      <c r="L1658" s="4" t="s">
        <v>27</v>
      </c>
      <c r="M1658" s="8" t="s">
        <v>79</v>
      </c>
      <c r="N1658" s="9" t="s">
        <v>5773</v>
      </c>
      <c r="O1658" s="5"/>
      <c r="P1658" s="5"/>
      <c r="Q1658" s="6" t="s">
        <v>30</v>
      </c>
      <c r="R1658" s="4" t="s">
        <v>31</v>
      </c>
      <c r="S1658" s="7" t="s">
        <v>32</v>
      </c>
      <c r="T1658" s="5"/>
    </row>
    <row r="1659" customFormat="false" ht="29.25" hidden="false" customHeight="true" outlineLevel="0" collapsed="false">
      <c r="A1659" s="4" t="n">
        <v>1658</v>
      </c>
      <c r="B1659" s="6" t="s">
        <v>1787</v>
      </c>
      <c r="C1659" s="6" t="s">
        <v>5766</v>
      </c>
      <c r="D1659" s="6" t="s">
        <v>5767</v>
      </c>
      <c r="E1659" s="7" t="s">
        <v>21</v>
      </c>
      <c r="F1659" s="6" t="s">
        <v>6040</v>
      </c>
      <c r="G1659" s="5" t="s">
        <v>6041</v>
      </c>
      <c r="H1659" s="5" t="s">
        <v>6042</v>
      </c>
      <c r="I1659" s="5" t="s">
        <v>6043</v>
      </c>
      <c r="J1659" s="5" t="s">
        <v>6044</v>
      </c>
      <c r="K1659" s="5"/>
      <c r="L1659" s="4" t="s">
        <v>27</v>
      </c>
      <c r="M1659" s="8" t="s">
        <v>129</v>
      </c>
      <c r="N1659" s="9" t="s">
        <v>5773</v>
      </c>
      <c r="O1659" s="5"/>
      <c r="P1659" s="5"/>
      <c r="Q1659" s="6" t="s">
        <v>30</v>
      </c>
      <c r="R1659" s="4" t="s">
        <v>31</v>
      </c>
      <c r="S1659" s="7" t="s">
        <v>32</v>
      </c>
      <c r="T1659" s="5"/>
    </row>
    <row r="1660" customFormat="false" ht="29.25" hidden="false" customHeight="true" outlineLevel="0" collapsed="false">
      <c r="A1660" s="4" t="n">
        <v>1659</v>
      </c>
      <c r="B1660" s="6" t="s">
        <v>1787</v>
      </c>
      <c r="C1660" s="6" t="s">
        <v>5766</v>
      </c>
      <c r="D1660" s="6" t="s">
        <v>5767</v>
      </c>
      <c r="E1660" s="7" t="s">
        <v>21</v>
      </c>
      <c r="F1660" s="6" t="s">
        <v>6045</v>
      </c>
      <c r="G1660" s="5" t="s">
        <v>6046</v>
      </c>
      <c r="H1660" s="5" t="s">
        <v>5792</v>
      </c>
      <c r="I1660" s="5" t="s">
        <v>5791</v>
      </c>
      <c r="J1660" s="5" t="s">
        <v>6044</v>
      </c>
      <c r="K1660" s="5"/>
      <c r="L1660" s="4" t="s">
        <v>44</v>
      </c>
      <c r="M1660" s="8" t="s">
        <v>79</v>
      </c>
      <c r="N1660" s="9" t="s">
        <v>5773</v>
      </c>
      <c r="O1660" s="5"/>
      <c r="P1660" s="5"/>
      <c r="Q1660" s="6" t="s">
        <v>30</v>
      </c>
      <c r="R1660" s="4" t="s">
        <v>31</v>
      </c>
      <c r="S1660" s="7" t="s">
        <v>32</v>
      </c>
      <c r="T1660" s="5"/>
    </row>
    <row r="1661" customFormat="false" ht="43.5" hidden="false" customHeight="true" outlineLevel="0" collapsed="false">
      <c r="A1661" s="4" t="n">
        <v>1660</v>
      </c>
      <c r="B1661" s="6" t="s">
        <v>1787</v>
      </c>
      <c r="C1661" s="6" t="s">
        <v>5766</v>
      </c>
      <c r="D1661" s="6" t="s">
        <v>5767</v>
      </c>
      <c r="E1661" s="7" t="s">
        <v>21</v>
      </c>
      <c r="F1661" s="6" t="s">
        <v>6047</v>
      </c>
      <c r="G1661" s="5" t="s">
        <v>6048</v>
      </c>
      <c r="H1661" s="5" t="s">
        <v>2541</v>
      </c>
      <c r="I1661" s="5" t="s">
        <v>6049</v>
      </c>
      <c r="J1661" s="5" t="s">
        <v>6050</v>
      </c>
      <c r="K1661" s="5"/>
      <c r="L1661" s="4" t="s">
        <v>51</v>
      </c>
      <c r="M1661" s="8" t="s">
        <v>79</v>
      </c>
      <c r="N1661" s="9" t="s">
        <v>5773</v>
      </c>
      <c r="O1661" s="5"/>
      <c r="P1661" s="5"/>
      <c r="Q1661" s="6" t="s">
        <v>30</v>
      </c>
      <c r="R1661" s="4" t="s">
        <v>31</v>
      </c>
      <c r="S1661" s="7" t="s">
        <v>32</v>
      </c>
      <c r="T1661" s="5"/>
    </row>
    <row r="1662" customFormat="false" ht="29.25" hidden="false" customHeight="true" outlineLevel="0" collapsed="false">
      <c r="A1662" s="4" t="n">
        <v>1661</v>
      </c>
      <c r="B1662" s="6" t="s">
        <v>1787</v>
      </c>
      <c r="C1662" s="6" t="s">
        <v>5766</v>
      </c>
      <c r="D1662" s="6" t="s">
        <v>5767</v>
      </c>
      <c r="E1662" s="7" t="s">
        <v>21</v>
      </c>
      <c r="F1662" s="6" t="s">
        <v>6051</v>
      </c>
      <c r="G1662" s="5" t="s">
        <v>1224</v>
      </c>
      <c r="H1662" s="5" t="s">
        <v>1235</v>
      </c>
      <c r="I1662" s="5" t="s">
        <v>6052</v>
      </c>
      <c r="J1662" s="5" t="s">
        <v>6053</v>
      </c>
      <c r="K1662" s="5"/>
      <c r="L1662" s="4" t="s">
        <v>62</v>
      </c>
      <c r="M1662" s="8" t="s">
        <v>129</v>
      </c>
      <c r="N1662" s="9" t="s">
        <v>5773</v>
      </c>
      <c r="O1662" s="5"/>
      <c r="P1662" s="5"/>
      <c r="Q1662" s="6" t="s">
        <v>30</v>
      </c>
      <c r="R1662" s="4" t="s">
        <v>31</v>
      </c>
      <c r="S1662" s="7" t="s">
        <v>32</v>
      </c>
      <c r="T1662" s="5"/>
    </row>
    <row r="1663" customFormat="false" ht="43.5" hidden="false" customHeight="true" outlineLevel="0" collapsed="false">
      <c r="A1663" s="4" t="n">
        <v>1662</v>
      </c>
      <c r="B1663" s="6" t="s">
        <v>1787</v>
      </c>
      <c r="C1663" s="6" t="s">
        <v>5766</v>
      </c>
      <c r="D1663" s="6" t="s">
        <v>5767</v>
      </c>
      <c r="E1663" s="7" t="s">
        <v>21</v>
      </c>
      <c r="F1663" s="6" t="s">
        <v>6054</v>
      </c>
      <c r="G1663" s="5" t="s">
        <v>6055</v>
      </c>
      <c r="H1663" s="5" t="s">
        <v>1225</v>
      </c>
      <c r="I1663" s="5" t="s">
        <v>3448</v>
      </c>
      <c r="J1663" s="5" t="s">
        <v>6056</v>
      </c>
      <c r="K1663" s="5"/>
      <c r="L1663" s="4" t="s">
        <v>27</v>
      </c>
      <c r="M1663" s="8" t="s">
        <v>79</v>
      </c>
      <c r="N1663" s="9" t="s">
        <v>5773</v>
      </c>
      <c r="O1663" s="5"/>
      <c r="P1663" s="5"/>
      <c r="Q1663" s="6" t="s">
        <v>30</v>
      </c>
      <c r="R1663" s="4" t="s">
        <v>31</v>
      </c>
      <c r="S1663" s="7" t="s">
        <v>32</v>
      </c>
      <c r="T1663" s="5"/>
    </row>
    <row r="1664" customFormat="false" ht="43.5" hidden="false" customHeight="true" outlineLevel="0" collapsed="false">
      <c r="A1664" s="4" t="n">
        <v>1663</v>
      </c>
      <c r="B1664" s="6" t="s">
        <v>1787</v>
      </c>
      <c r="C1664" s="6" t="s">
        <v>5766</v>
      </c>
      <c r="D1664" s="6" t="s">
        <v>5767</v>
      </c>
      <c r="E1664" s="7" t="s">
        <v>21</v>
      </c>
      <c r="F1664" s="6" t="s">
        <v>6057</v>
      </c>
      <c r="G1664" s="5" t="s">
        <v>2589</v>
      </c>
      <c r="H1664" s="5" t="s">
        <v>2590</v>
      </c>
      <c r="I1664" s="5" t="s">
        <v>2591</v>
      </c>
      <c r="J1664" s="5" t="s">
        <v>6058</v>
      </c>
      <c r="K1664" s="5"/>
      <c r="L1664" s="4" t="s">
        <v>44</v>
      </c>
      <c r="M1664" s="8" t="s">
        <v>79</v>
      </c>
      <c r="N1664" s="9" t="s">
        <v>5773</v>
      </c>
      <c r="O1664" s="5"/>
      <c r="P1664" s="5"/>
      <c r="Q1664" s="6" t="s">
        <v>30</v>
      </c>
      <c r="R1664" s="4" t="s">
        <v>31</v>
      </c>
      <c r="S1664" s="7" t="s">
        <v>32</v>
      </c>
      <c r="T1664" s="5"/>
    </row>
    <row r="1665" customFormat="false" ht="29.25" hidden="false" customHeight="true" outlineLevel="0" collapsed="false">
      <c r="A1665" s="4" t="n">
        <v>1664</v>
      </c>
      <c r="B1665" s="6" t="s">
        <v>1787</v>
      </c>
      <c r="C1665" s="6" t="s">
        <v>5766</v>
      </c>
      <c r="D1665" s="6" t="s">
        <v>5767</v>
      </c>
      <c r="E1665" s="7" t="s">
        <v>21</v>
      </c>
      <c r="F1665" s="6" t="s">
        <v>6059</v>
      </c>
      <c r="G1665" s="6" t="s">
        <v>6060</v>
      </c>
      <c r="H1665" s="6" t="s">
        <v>6061</v>
      </c>
      <c r="I1665" s="6" t="s">
        <v>6062</v>
      </c>
      <c r="J1665" s="6" t="s">
        <v>6063</v>
      </c>
      <c r="K1665" s="5"/>
      <c r="L1665" s="4" t="s">
        <v>51</v>
      </c>
      <c r="M1665" s="8" t="s">
        <v>79</v>
      </c>
      <c r="N1665" s="9" t="s">
        <v>5773</v>
      </c>
      <c r="O1665" s="5"/>
      <c r="P1665" s="5"/>
      <c r="Q1665" s="6" t="s">
        <v>30</v>
      </c>
      <c r="R1665" s="4" t="s">
        <v>31</v>
      </c>
      <c r="S1665" s="7" t="s">
        <v>32</v>
      </c>
      <c r="T1665" s="5"/>
    </row>
    <row r="1666" customFormat="false" ht="29.25" hidden="false" customHeight="true" outlineLevel="0" collapsed="false">
      <c r="A1666" s="4" t="n">
        <v>1665</v>
      </c>
      <c r="B1666" s="6" t="s">
        <v>1787</v>
      </c>
      <c r="C1666" s="6" t="s">
        <v>5766</v>
      </c>
      <c r="D1666" s="6" t="s">
        <v>5767</v>
      </c>
      <c r="E1666" s="7" t="s">
        <v>21</v>
      </c>
      <c r="F1666" s="5" t="s">
        <v>6064</v>
      </c>
      <c r="G1666" s="5" t="s">
        <v>2590</v>
      </c>
      <c r="H1666" s="5" t="s">
        <v>2588</v>
      </c>
      <c r="I1666" s="5" t="s">
        <v>2589</v>
      </c>
      <c r="J1666" s="5" t="s">
        <v>6065</v>
      </c>
      <c r="K1666" s="5"/>
      <c r="L1666" s="4" t="s">
        <v>62</v>
      </c>
      <c r="M1666" s="8" t="s">
        <v>79</v>
      </c>
      <c r="N1666" s="9" t="s">
        <v>5773</v>
      </c>
      <c r="O1666" s="5"/>
      <c r="P1666" s="5"/>
      <c r="Q1666" s="6" t="s">
        <v>30</v>
      </c>
      <c r="R1666" s="4" t="s">
        <v>31</v>
      </c>
      <c r="S1666" s="7" t="s">
        <v>32</v>
      </c>
      <c r="T1666" s="5"/>
    </row>
    <row r="1667" customFormat="false" ht="29.25" hidden="false" customHeight="true" outlineLevel="0" collapsed="false">
      <c r="A1667" s="4" t="n">
        <v>1666</v>
      </c>
      <c r="B1667" s="6" t="s">
        <v>1787</v>
      </c>
      <c r="C1667" s="6" t="s">
        <v>5766</v>
      </c>
      <c r="D1667" s="6" t="s">
        <v>5767</v>
      </c>
      <c r="E1667" s="7" t="s">
        <v>21</v>
      </c>
      <c r="F1667" s="5" t="s">
        <v>6066</v>
      </c>
      <c r="G1667" s="5" t="s">
        <v>2938</v>
      </c>
      <c r="H1667" s="5" t="s">
        <v>6067</v>
      </c>
      <c r="I1667" s="5" t="s">
        <v>165</v>
      </c>
      <c r="J1667" s="5" t="s">
        <v>6068</v>
      </c>
      <c r="K1667" s="5"/>
      <c r="L1667" s="4" t="s">
        <v>27</v>
      </c>
      <c r="M1667" s="8" t="s">
        <v>129</v>
      </c>
      <c r="N1667" s="9" t="s">
        <v>5773</v>
      </c>
      <c r="O1667" s="5"/>
      <c r="P1667" s="5"/>
      <c r="Q1667" s="6" t="s">
        <v>30</v>
      </c>
      <c r="R1667" s="4" t="s">
        <v>31</v>
      </c>
      <c r="S1667" s="7" t="s">
        <v>32</v>
      </c>
      <c r="T1667" s="5"/>
    </row>
    <row r="1668" customFormat="false" ht="29.25" hidden="false" customHeight="true" outlineLevel="0" collapsed="false">
      <c r="A1668" s="4" t="n">
        <v>1667</v>
      </c>
      <c r="B1668" s="6" t="s">
        <v>1787</v>
      </c>
      <c r="C1668" s="6" t="s">
        <v>5766</v>
      </c>
      <c r="D1668" s="6" t="s">
        <v>5767</v>
      </c>
      <c r="E1668" s="7" t="s">
        <v>21</v>
      </c>
      <c r="F1668" s="5" t="s">
        <v>6069</v>
      </c>
      <c r="G1668" s="5" t="s">
        <v>6070</v>
      </c>
      <c r="H1668" s="5" t="s">
        <v>2937</v>
      </c>
      <c r="I1668" s="5" t="s">
        <v>2949</v>
      </c>
      <c r="J1668" s="5" t="s">
        <v>6071</v>
      </c>
      <c r="K1668" s="5"/>
      <c r="L1668" s="4" t="s">
        <v>44</v>
      </c>
      <c r="M1668" s="8" t="s">
        <v>79</v>
      </c>
      <c r="N1668" s="9" t="s">
        <v>5773</v>
      </c>
      <c r="O1668" s="5"/>
      <c r="P1668" s="5"/>
      <c r="Q1668" s="6" t="s">
        <v>30</v>
      </c>
      <c r="R1668" s="4" t="s">
        <v>31</v>
      </c>
      <c r="S1668" s="7" t="s">
        <v>32</v>
      </c>
      <c r="T1668" s="5"/>
    </row>
    <row r="1669" customFormat="false" ht="43.5" hidden="false" customHeight="true" outlineLevel="0" collapsed="false">
      <c r="A1669" s="4" t="n">
        <v>1668</v>
      </c>
      <c r="B1669" s="6" t="s">
        <v>1787</v>
      </c>
      <c r="C1669" s="6" t="s">
        <v>5766</v>
      </c>
      <c r="D1669" s="6" t="s">
        <v>5767</v>
      </c>
      <c r="E1669" s="7" t="s">
        <v>21</v>
      </c>
      <c r="F1669" s="6" t="s">
        <v>6072</v>
      </c>
      <c r="G1669" s="6" t="s">
        <v>6073</v>
      </c>
      <c r="H1669" s="6" t="s">
        <v>5834</v>
      </c>
      <c r="I1669" s="6" t="s">
        <v>6074</v>
      </c>
      <c r="J1669" s="6" t="s">
        <v>6075</v>
      </c>
      <c r="K1669" s="5"/>
      <c r="L1669" s="4" t="s">
        <v>51</v>
      </c>
      <c r="M1669" s="8" t="s">
        <v>28</v>
      </c>
      <c r="N1669" s="9" t="s">
        <v>5773</v>
      </c>
      <c r="O1669" s="5"/>
      <c r="P1669" s="5"/>
      <c r="Q1669" s="6" t="s">
        <v>30</v>
      </c>
      <c r="R1669" s="4" t="s">
        <v>31</v>
      </c>
      <c r="S1669" s="7" t="s">
        <v>32</v>
      </c>
      <c r="T1669" s="5"/>
    </row>
    <row r="1670" customFormat="false" ht="29.25" hidden="false" customHeight="true" outlineLevel="0" collapsed="false">
      <c r="A1670" s="4" t="n">
        <v>1669</v>
      </c>
      <c r="B1670" s="6" t="s">
        <v>1787</v>
      </c>
      <c r="C1670" s="6" t="s">
        <v>5766</v>
      </c>
      <c r="D1670" s="6" t="s">
        <v>5767</v>
      </c>
      <c r="E1670" s="7" t="s">
        <v>21</v>
      </c>
      <c r="F1670" s="6" t="s">
        <v>6076</v>
      </c>
      <c r="G1670" s="5" t="s">
        <v>6077</v>
      </c>
      <c r="H1670" s="5" t="s">
        <v>6078</v>
      </c>
      <c r="I1670" s="5" t="s">
        <v>6079</v>
      </c>
      <c r="J1670" s="5" t="s">
        <v>6080</v>
      </c>
      <c r="K1670" s="5"/>
      <c r="L1670" s="4" t="s">
        <v>62</v>
      </c>
      <c r="M1670" s="8" t="s">
        <v>79</v>
      </c>
      <c r="N1670" s="9" t="s">
        <v>5773</v>
      </c>
      <c r="O1670" s="5"/>
      <c r="P1670" s="5"/>
      <c r="Q1670" s="6" t="s">
        <v>30</v>
      </c>
      <c r="R1670" s="4" t="s">
        <v>31</v>
      </c>
      <c r="S1670" s="7" t="s">
        <v>32</v>
      </c>
      <c r="T1670" s="5"/>
    </row>
    <row r="1671" customFormat="false" ht="43.5" hidden="false" customHeight="true" outlineLevel="0" collapsed="false">
      <c r="A1671" s="4" t="n">
        <v>1670</v>
      </c>
      <c r="B1671" s="6" t="s">
        <v>1787</v>
      </c>
      <c r="C1671" s="6" t="s">
        <v>5766</v>
      </c>
      <c r="D1671" s="6" t="s">
        <v>5767</v>
      </c>
      <c r="E1671" s="7" t="s">
        <v>21</v>
      </c>
      <c r="F1671" s="6" t="s">
        <v>6081</v>
      </c>
      <c r="G1671" s="5" t="s">
        <v>6078</v>
      </c>
      <c r="H1671" s="5" t="s">
        <v>6082</v>
      </c>
      <c r="I1671" s="5" t="s">
        <v>6083</v>
      </c>
      <c r="J1671" s="5" t="s">
        <v>6084</v>
      </c>
      <c r="K1671" s="5"/>
      <c r="L1671" s="4" t="s">
        <v>27</v>
      </c>
      <c r="M1671" s="8" t="s">
        <v>79</v>
      </c>
      <c r="N1671" s="9" t="s">
        <v>5773</v>
      </c>
      <c r="O1671" s="5"/>
      <c r="P1671" s="5"/>
      <c r="Q1671" s="6" t="s">
        <v>30</v>
      </c>
      <c r="R1671" s="4" t="s">
        <v>31</v>
      </c>
      <c r="S1671" s="7" t="s">
        <v>32</v>
      </c>
      <c r="T1671" s="5"/>
    </row>
    <row r="1672" customFormat="false" ht="29.25" hidden="false" customHeight="true" outlineLevel="0" collapsed="false">
      <c r="A1672" s="4" t="n">
        <v>1671</v>
      </c>
      <c r="B1672" s="6" t="s">
        <v>1787</v>
      </c>
      <c r="C1672" s="6" t="s">
        <v>5766</v>
      </c>
      <c r="D1672" s="6" t="s">
        <v>5767</v>
      </c>
      <c r="E1672" s="7" t="s">
        <v>21</v>
      </c>
      <c r="F1672" s="6" t="s">
        <v>6085</v>
      </c>
      <c r="G1672" s="6" t="s">
        <v>6086</v>
      </c>
      <c r="H1672" s="6" t="s">
        <v>6087</v>
      </c>
      <c r="I1672" s="6" t="s">
        <v>6088</v>
      </c>
      <c r="J1672" s="6" t="s">
        <v>6089</v>
      </c>
      <c r="K1672" s="5"/>
      <c r="L1672" s="4" t="s">
        <v>44</v>
      </c>
      <c r="M1672" s="8" t="s">
        <v>28</v>
      </c>
      <c r="N1672" s="9" t="s">
        <v>5773</v>
      </c>
      <c r="O1672" s="5"/>
      <c r="P1672" s="5"/>
      <c r="Q1672" s="6" t="s">
        <v>30</v>
      </c>
      <c r="R1672" s="4" t="s">
        <v>31</v>
      </c>
      <c r="S1672" s="7" t="s">
        <v>32</v>
      </c>
      <c r="T1672" s="5"/>
    </row>
    <row r="1673" customFormat="false" ht="29.25" hidden="false" customHeight="true" outlineLevel="0" collapsed="false">
      <c r="A1673" s="4" t="n">
        <v>1672</v>
      </c>
      <c r="B1673" s="6" t="s">
        <v>1787</v>
      </c>
      <c r="C1673" s="6" t="s">
        <v>5766</v>
      </c>
      <c r="D1673" s="6" t="s">
        <v>5767</v>
      </c>
      <c r="E1673" s="7" t="s">
        <v>21</v>
      </c>
      <c r="F1673" s="6" t="s">
        <v>6090</v>
      </c>
      <c r="G1673" s="5" t="s">
        <v>1327</v>
      </c>
      <c r="H1673" s="5" t="s">
        <v>6091</v>
      </c>
      <c r="I1673" s="5" t="s">
        <v>1324</v>
      </c>
      <c r="J1673" s="5" t="s">
        <v>6092</v>
      </c>
      <c r="K1673" s="5"/>
      <c r="L1673" s="4" t="s">
        <v>51</v>
      </c>
      <c r="M1673" s="8" t="s">
        <v>129</v>
      </c>
      <c r="N1673" s="9" t="s">
        <v>5773</v>
      </c>
      <c r="O1673" s="5"/>
      <c r="P1673" s="5"/>
      <c r="Q1673" s="6" t="s">
        <v>30</v>
      </c>
      <c r="R1673" s="4" t="s">
        <v>31</v>
      </c>
      <c r="S1673" s="7" t="s">
        <v>32</v>
      </c>
      <c r="T1673" s="5"/>
    </row>
    <row r="1674" customFormat="false" ht="29.25" hidden="false" customHeight="true" outlineLevel="0" collapsed="false">
      <c r="A1674" s="4" t="n">
        <v>1673</v>
      </c>
      <c r="B1674" s="6" t="s">
        <v>1787</v>
      </c>
      <c r="C1674" s="6" t="s">
        <v>5766</v>
      </c>
      <c r="D1674" s="6" t="s">
        <v>5767</v>
      </c>
      <c r="E1674" s="7" t="s">
        <v>21</v>
      </c>
      <c r="F1674" s="6" t="s">
        <v>6093</v>
      </c>
      <c r="G1674" s="6" t="s">
        <v>6094</v>
      </c>
      <c r="H1674" s="6" t="s">
        <v>6095</v>
      </c>
      <c r="I1674" s="6" t="s">
        <v>6096</v>
      </c>
      <c r="J1674" s="6" t="s">
        <v>6097</v>
      </c>
      <c r="K1674" s="5"/>
      <c r="L1674" s="4" t="s">
        <v>62</v>
      </c>
      <c r="M1674" s="8" t="s">
        <v>79</v>
      </c>
      <c r="N1674" s="9" t="s">
        <v>5773</v>
      </c>
      <c r="O1674" s="5"/>
      <c r="P1674" s="5"/>
      <c r="Q1674" s="6" t="s">
        <v>30</v>
      </c>
      <c r="R1674" s="4" t="s">
        <v>31</v>
      </c>
      <c r="S1674" s="7" t="s">
        <v>32</v>
      </c>
      <c r="T1674" s="5"/>
    </row>
    <row r="1675" customFormat="false" ht="29.25" hidden="false" customHeight="true" outlineLevel="0" collapsed="false">
      <c r="A1675" s="4" t="n">
        <v>1674</v>
      </c>
      <c r="B1675" s="6" t="s">
        <v>1787</v>
      </c>
      <c r="C1675" s="6" t="s">
        <v>5766</v>
      </c>
      <c r="D1675" s="6" t="s">
        <v>5767</v>
      </c>
      <c r="E1675" s="7" t="s">
        <v>21</v>
      </c>
      <c r="F1675" s="6" t="s">
        <v>6098</v>
      </c>
      <c r="G1675" s="5" t="s">
        <v>6080</v>
      </c>
      <c r="H1675" s="5" t="s">
        <v>6079</v>
      </c>
      <c r="I1675" s="5" t="s">
        <v>6099</v>
      </c>
      <c r="J1675" s="5" t="s">
        <v>6100</v>
      </c>
      <c r="K1675" s="5"/>
      <c r="L1675" s="4" t="s">
        <v>27</v>
      </c>
      <c r="M1675" s="8" t="s">
        <v>129</v>
      </c>
      <c r="N1675" s="9" t="s">
        <v>5773</v>
      </c>
      <c r="O1675" s="5"/>
      <c r="P1675" s="5"/>
      <c r="Q1675" s="6" t="s">
        <v>30</v>
      </c>
      <c r="R1675" s="4" t="s">
        <v>31</v>
      </c>
      <c r="S1675" s="7" t="s">
        <v>32</v>
      </c>
      <c r="T1675" s="5"/>
    </row>
    <row r="1676" customFormat="false" ht="29.25" hidden="false" customHeight="true" outlineLevel="0" collapsed="false">
      <c r="A1676" s="4" t="n">
        <v>1675</v>
      </c>
      <c r="B1676" s="6" t="s">
        <v>1787</v>
      </c>
      <c r="C1676" s="6" t="s">
        <v>5766</v>
      </c>
      <c r="D1676" s="6" t="s">
        <v>5767</v>
      </c>
      <c r="E1676" s="7" t="s">
        <v>21</v>
      </c>
      <c r="F1676" s="6" t="s">
        <v>6101</v>
      </c>
      <c r="G1676" s="5" t="s">
        <v>6102</v>
      </c>
      <c r="H1676" s="5" t="s">
        <v>6103</v>
      </c>
      <c r="I1676" s="5" t="s">
        <v>6104</v>
      </c>
      <c r="J1676" s="5" t="s">
        <v>6080</v>
      </c>
      <c r="K1676" s="5"/>
      <c r="L1676" s="4" t="s">
        <v>44</v>
      </c>
      <c r="M1676" s="8" t="s">
        <v>129</v>
      </c>
      <c r="N1676" s="9" t="s">
        <v>5773</v>
      </c>
      <c r="O1676" s="5"/>
      <c r="P1676" s="5"/>
      <c r="Q1676" s="6" t="s">
        <v>30</v>
      </c>
      <c r="R1676" s="4" t="s">
        <v>31</v>
      </c>
      <c r="S1676" s="7" t="s">
        <v>32</v>
      </c>
      <c r="T1676" s="5"/>
    </row>
    <row r="1677" customFormat="false" ht="29.25" hidden="false" customHeight="true" outlineLevel="0" collapsed="false">
      <c r="A1677" s="4" t="n">
        <v>1676</v>
      </c>
      <c r="B1677" s="6" t="s">
        <v>1787</v>
      </c>
      <c r="C1677" s="6" t="s">
        <v>5766</v>
      </c>
      <c r="D1677" s="6" t="s">
        <v>5767</v>
      </c>
      <c r="E1677" s="7" t="s">
        <v>21</v>
      </c>
      <c r="F1677" s="6" t="s">
        <v>6105</v>
      </c>
      <c r="G1677" s="5" t="s">
        <v>6106</v>
      </c>
      <c r="H1677" s="5" t="s">
        <v>6107</v>
      </c>
      <c r="I1677" s="5" t="s">
        <v>6108</v>
      </c>
      <c r="J1677" s="5" t="s">
        <v>6109</v>
      </c>
      <c r="K1677" s="5"/>
      <c r="L1677" s="4" t="s">
        <v>51</v>
      </c>
      <c r="M1677" s="8" t="s">
        <v>79</v>
      </c>
      <c r="N1677" s="9" t="s">
        <v>5773</v>
      </c>
      <c r="O1677" s="5"/>
      <c r="P1677" s="5"/>
      <c r="Q1677" s="6" t="s">
        <v>30</v>
      </c>
      <c r="R1677" s="4" t="s">
        <v>31</v>
      </c>
      <c r="S1677" s="7" t="s">
        <v>32</v>
      </c>
      <c r="T1677" s="5"/>
    </row>
    <row r="1678" customFormat="false" ht="29.25" hidden="false" customHeight="true" outlineLevel="0" collapsed="false">
      <c r="A1678" s="4" t="n">
        <v>1677</v>
      </c>
      <c r="B1678" s="6" t="s">
        <v>1787</v>
      </c>
      <c r="C1678" s="6" t="s">
        <v>5766</v>
      </c>
      <c r="D1678" s="6" t="s">
        <v>5767</v>
      </c>
      <c r="E1678" s="7" t="s">
        <v>21</v>
      </c>
      <c r="F1678" s="6" t="s">
        <v>6110</v>
      </c>
      <c r="G1678" s="5" t="s">
        <v>6111</v>
      </c>
      <c r="H1678" s="5" t="s">
        <v>6112</v>
      </c>
      <c r="I1678" s="5" t="s">
        <v>6113</v>
      </c>
      <c r="J1678" s="5" t="s">
        <v>6114</v>
      </c>
      <c r="K1678" s="5"/>
      <c r="L1678" s="4" t="s">
        <v>62</v>
      </c>
      <c r="M1678" s="8" t="s">
        <v>129</v>
      </c>
      <c r="N1678" s="9" t="s">
        <v>5773</v>
      </c>
      <c r="O1678" s="5"/>
      <c r="P1678" s="5"/>
      <c r="Q1678" s="6" t="s">
        <v>30</v>
      </c>
      <c r="R1678" s="4" t="s">
        <v>31</v>
      </c>
      <c r="S1678" s="7" t="s">
        <v>32</v>
      </c>
      <c r="T1678" s="5"/>
    </row>
    <row r="1679" customFormat="false" ht="29.25" hidden="false" customHeight="true" outlineLevel="0" collapsed="false">
      <c r="A1679" s="4" t="n">
        <v>1678</v>
      </c>
      <c r="B1679" s="6" t="s">
        <v>1787</v>
      </c>
      <c r="C1679" s="6" t="s">
        <v>5766</v>
      </c>
      <c r="D1679" s="6" t="s">
        <v>5767</v>
      </c>
      <c r="E1679" s="7" t="s">
        <v>21</v>
      </c>
      <c r="F1679" s="6" t="s">
        <v>6115</v>
      </c>
      <c r="G1679" s="5" t="s">
        <v>6116</v>
      </c>
      <c r="H1679" s="5" t="s">
        <v>6117</v>
      </c>
      <c r="I1679" s="5" t="s">
        <v>6118</v>
      </c>
      <c r="J1679" s="5" t="s">
        <v>6065</v>
      </c>
      <c r="K1679" s="5"/>
      <c r="L1679" s="4" t="s">
        <v>27</v>
      </c>
      <c r="M1679" s="8" t="s">
        <v>79</v>
      </c>
      <c r="N1679" s="9" t="s">
        <v>5773</v>
      </c>
      <c r="O1679" s="5"/>
      <c r="P1679" s="5"/>
      <c r="Q1679" s="6" t="s">
        <v>30</v>
      </c>
      <c r="R1679" s="4" t="s">
        <v>31</v>
      </c>
      <c r="S1679" s="7" t="s">
        <v>32</v>
      </c>
      <c r="T1679" s="5"/>
    </row>
    <row r="1680" customFormat="false" ht="29.25" hidden="false" customHeight="true" outlineLevel="0" collapsed="false">
      <c r="A1680" s="4" t="n">
        <v>1679</v>
      </c>
      <c r="B1680" s="6" t="s">
        <v>1787</v>
      </c>
      <c r="C1680" s="6" t="s">
        <v>5766</v>
      </c>
      <c r="D1680" s="6" t="s">
        <v>5767</v>
      </c>
      <c r="E1680" s="7" t="s">
        <v>21</v>
      </c>
      <c r="F1680" s="6" t="s">
        <v>6119</v>
      </c>
      <c r="G1680" s="5" t="s">
        <v>6078</v>
      </c>
      <c r="H1680" s="5" t="s">
        <v>6082</v>
      </c>
      <c r="I1680" s="5" t="s">
        <v>6084</v>
      </c>
      <c r="J1680" s="5" t="s">
        <v>6099</v>
      </c>
      <c r="K1680" s="5"/>
      <c r="L1680" s="4" t="s">
        <v>44</v>
      </c>
      <c r="M1680" s="8" t="s">
        <v>79</v>
      </c>
      <c r="N1680" s="9" t="s">
        <v>5773</v>
      </c>
      <c r="O1680" s="5"/>
      <c r="P1680" s="5"/>
      <c r="Q1680" s="6" t="s">
        <v>30</v>
      </c>
      <c r="R1680" s="4" t="s">
        <v>31</v>
      </c>
      <c r="S1680" s="7" t="s">
        <v>32</v>
      </c>
      <c r="T1680" s="5"/>
    </row>
    <row r="1681" customFormat="false" ht="29.25" hidden="false" customHeight="true" outlineLevel="0" collapsed="false">
      <c r="A1681" s="4" t="n">
        <v>1680</v>
      </c>
      <c r="B1681" s="6" t="s">
        <v>1787</v>
      </c>
      <c r="C1681" s="6" t="s">
        <v>5766</v>
      </c>
      <c r="D1681" s="6" t="s">
        <v>5767</v>
      </c>
      <c r="E1681" s="7" t="s">
        <v>21</v>
      </c>
      <c r="F1681" s="6" t="s">
        <v>6120</v>
      </c>
      <c r="G1681" s="5" t="s">
        <v>6121</v>
      </c>
      <c r="H1681" s="5" t="s">
        <v>6122</v>
      </c>
      <c r="I1681" s="5" t="s">
        <v>6123</v>
      </c>
      <c r="J1681" s="5" t="s">
        <v>6124</v>
      </c>
      <c r="K1681" s="5"/>
      <c r="L1681" s="4" t="s">
        <v>51</v>
      </c>
      <c r="M1681" s="8" t="s">
        <v>79</v>
      </c>
      <c r="N1681" s="9" t="s">
        <v>5773</v>
      </c>
      <c r="O1681" s="5"/>
      <c r="P1681" s="5"/>
      <c r="Q1681" s="6" t="s">
        <v>30</v>
      </c>
      <c r="R1681" s="4" t="s">
        <v>31</v>
      </c>
      <c r="S1681" s="7" t="s">
        <v>32</v>
      </c>
      <c r="T1681" s="5"/>
    </row>
    <row r="1682" customFormat="false" ht="29.25" hidden="false" customHeight="true" outlineLevel="0" collapsed="false">
      <c r="A1682" s="4" t="n">
        <v>1681</v>
      </c>
      <c r="B1682" s="6" t="s">
        <v>1787</v>
      </c>
      <c r="C1682" s="6" t="s">
        <v>5766</v>
      </c>
      <c r="D1682" s="6" t="s">
        <v>5767</v>
      </c>
      <c r="E1682" s="7" t="s">
        <v>21</v>
      </c>
      <c r="F1682" s="6" t="s">
        <v>6125</v>
      </c>
      <c r="G1682" s="5" t="s">
        <v>6116</v>
      </c>
      <c r="H1682" s="5" t="s">
        <v>6126</v>
      </c>
      <c r="I1682" s="5" t="s">
        <v>6127</v>
      </c>
      <c r="J1682" s="5" t="s">
        <v>6128</v>
      </c>
      <c r="K1682" s="5"/>
      <c r="L1682" s="4" t="s">
        <v>62</v>
      </c>
      <c r="M1682" s="8" t="s">
        <v>79</v>
      </c>
      <c r="N1682" s="9" t="s">
        <v>5773</v>
      </c>
      <c r="O1682" s="5"/>
      <c r="P1682" s="5"/>
      <c r="Q1682" s="6" t="s">
        <v>30</v>
      </c>
      <c r="R1682" s="4" t="s">
        <v>31</v>
      </c>
      <c r="S1682" s="7" t="s">
        <v>32</v>
      </c>
      <c r="T1682" s="5"/>
    </row>
    <row r="1683" customFormat="false" ht="29.25" hidden="false" customHeight="true" outlineLevel="0" collapsed="false">
      <c r="A1683" s="4" t="n">
        <v>1682</v>
      </c>
      <c r="B1683" s="6" t="s">
        <v>1787</v>
      </c>
      <c r="C1683" s="6" t="s">
        <v>5766</v>
      </c>
      <c r="D1683" s="6" t="s">
        <v>5767</v>
      </c>
      <c r="E1683" s="7" t="s">
        <v>21</v>
      </c>
      <c r="F1683" s="6" t="s">
        <v>6129</v>
      </c>
      <c r="G1683" s="5" t="s">
        <v>6130</v>
      </c>
      <c r="H1683" s="5" t="s">
        <v>6131</v>
      </c>
      <c r="I1683" s="5" t="s">
        <v>6132</v>
      </c>
      <c r="J1683" s="5" t="s">
        <v>6133</v>
      </c>
      <c r="K1683" s="5"/>
      <c r="L1683" s="4" t="s">
        <v>27</v>
      </c>
      <c r="M1683" s="8" t="s">
        <v>129</v>
      </c>
      <c r="N1683" s="9" t="s">
        <v>5773</v>
      </c>
      <c r="O1683" s="5"/>
      <c r="P1683" s="5"/>
      <c r="Q1683" s="6" t="s">
        <v>30</v>
      </c>
      <c r="R1683" s="4" t="s">
        <v>31</v>
      </c>
      <c r="S1683" s="7" t="s">
        <v>32</v>
      </c>
      <c r="T1683" s="5"/>
    </row>
    <row r="1684" customFormat="false" ht="43.5" hidden="false" customHeight="true" outlineLevel="0" collapsed="false">
      <c r="A1684" s="4" t="n">
        <v>1683</v>
      </c>
      <c r="B1684" s="6" t="s">
        <v>1787</v>
      </c>
      <c r="C1684" s="6" t="s">
        <v>5766</v>
      </c>
      <c r="D1684" s="6" t="s">
        <v>5767</v>
      </c>
      <c r="E1684" s="7" t="s">
        <v>21</v>
      </c>
      <c r="F1684" s="6" t="s">
        <v>6134</v>
      </c>
      <c r="G1684" s="5" t="s">
        <v>6083</v>
      </c>
      <c r="H1684" s="5" t="s">
        <v>6135</v>
      </c>
      <c r="I1684" s="5" t="s">
        <v>6136</v>
      </c>
      <c r="J1684" s="5" t="s">
        <v>6137</v>
      </c>
      <c r="K1684" s="5"/>
      <c r="L1684" s="4" t="s">
        <v>44</v>
      </c>
      <c r="M1684" s="8" t="s">
        <v>28</v>
      </c>
      <c r="N1684" s="9" t="s">
        <v>5773</v>
      </c>
      <c r="O1684" s="5"/>
      <c r="P1684" s="5"/>
      <c r="Q1684" s="6" t="s">
        <v>30</v>
      </c>
      <c r="R1684" s="4" t="s">
        <v>31</v>
      </c>
      <c r="S1684" s="7" t="s">
        <v>32</v>
      </c>
      <c r="T1684" s="5"/>
    </row>
    <row r="1685" customFormat="false" ht="29.25" hidden="false" customHeight="true" outlineLevel="0" collapsed="false">
      <c r="A1685" s="4" t="n">
        <v>1684</v>
      </c>
      <c r="B1685" s="6" t="s">
        <v>1787</v>
      </c>
      <c r="C1685" s="6" t="s">
        <v>5766</v>
      </c>
      <c r="D1685" s="6" t="s">
        <v>5767</v>
      </c>
      <c r="E1685" s="7" t="s">
        <v>21</v>
      </c>
      <c r="F1685" s="6" t="s">
        <v>6138</v>
      </c>
      <c r="G1685" s="5" t="s">
        <v>6139</v>
      </c>
      <c r="H1685" s="5" t="s">
        <v>6140</v>
      </c>
      <c r="I1685" s="5" t="s">
        <v>6043</v>
      </c>
      <c r="J1685" s="5" t="s">
        <v>6024</v>
      </c>
      <c r="K1685" s="5"/>
      <c r="L1685" s="4" t="s">
        <v>51</v>
      </c>
      <c r="M1685" s="8" t="s">
        <v>129</v>
      </c>
      <c r="N1685" s="9" t="s">
        <v>5773</v>
      </c>
      <c r="O1685" s="5"/>
      <c r="P1685" s="5"/>
      <c r="Q1685" s="6" t="s">
        <v>30</v>
      </c>
      <c r="R1685" s="4" t="s">
        <v>31</v>
      </c>
      <c r="S1685" s="7" t="s">
        <v>32</v>
      </c>
      <c r="T1685" s="5"/>
    </row>
    <row r="1686" customFormat="false" ht="29.25" hidden="false" customHeight="true" outlineLevel="0" collapsed="false">
      <c r="A1686" s="4" t="n">
        <v>1685</v>
      </c>
      <c r="B1686" s="6" t="s">
        <v>1787</v>
      </c>
      <c r="C1686" s="6" t="s">
        <v>5766</v>
      </c>
      <c r="D1686" s="6" t="s">
        <v>5767</v>
      </c>
      <c r="E1686" s="7" t="s">
        <v>21</v>
      </c>
      <c r="F1686" s="6" t="s">
        <v>6141</v>
      </c>
      <c r="G1686" s="5" t="s">
        <v>6142</v>
      </c>
      <c r="H1686" s="5" t="s">
        <v>6143</v>
      </c>
      <c r="I1686" s="5" t="s">
        <v>6139</v>
      </c>
      <c r="J1686" s="5" t="s">
        <v>6144</v>
      </c>
      <c r="K1686" s="5"/>
      <c r="L1686" s="4" t="s">
        <v>62</v>
      </c>
      <c r="M1686" s="8" t="s">
        <v>129</v>
      </c>
      <c r="N1686" s="9" t="s">
        <v>5773</v>
      </c>
      <c r="O1686" s="5"/>
      <c r="P1686" s="5"/>
      <c r="Q1686" s="6" t="s">
        <v>30</v>
      </c>
      <c r="R1686" s="4" t="s">
        <v>31</v>
      </c>
      <c r="S1686" s="7" t="s">
        <v>32</v>
      </c>
      <c r="T1686" s="5"/>
    </row>
    <row r="1687" customFormat="false" ht="29.25" hidden="false" customHeight="true" outlineLevel="0" collapsed="false">
      <c r="A1687" s="4" t="n">
        <v>1686</v>
      </c>
      <c r="B1687" s="6" t="s">
        <v>1787</v>
      </c>
      <c r="C1687" s="6" t="s">
        <v>5766</v>
      </c>
      <c r="D1687" s="6" t="s">
        <v>5767</v>
      </c>
      <c r="E1687" s="7" t="s">
        <v>21</v>
      </c>
      <c r="F1687" s="6" t="s">
        <v>6145</v>
      </c>
      <c r="G1687" s="6" t="s">
        <v>6146</v>
      </c>
      <c r="H1687" s="6" t="s">
        <v>6147</v>
      </c>
      <c r="I1687" s="6" t="s">
        <v>6148</v>
      </c>
      <c r="J1687" s="6" t="s">
        <v>6149</v>
      </c>
      <c r="K1687" s="5"/>
      <c r="L1687" s="4" t="s">
        <v>27</v>
      </c>
      <c r="M1687" s="8" t="s">
        <v>79</v>
      </c>
      <c r="N1687" s="9" t="s">
        <v>5789</v>
      </c>
      <c r="O1687" s="5"/>
      <c r="P1687" s="5"/>
      <c r="Q1687" s="6" t="s">
        <v>30</v>
      </c>
      <c r="R1687" s="4" t="s">
        <v>31</v>
      </c>
      <c r="S1687" s="7" t="s">
        <v>32</v>
      </c>
      <c r="T1687" s="5"/>
    </row>
    <row r="1688" customFormat="false" ht="29.25" hidden="false" customHeight="true" outlineLevel="0" collapsed="false">
      <c r="A1688" s="4" t="n">
        <v>1687</v>
      </c>
      <c r="B1688" s="6" t="s">
        <v>1787</v>
      </c>
      <c r="C1688" s="6" t="s">
        <v>5766</v>
      </c>
      <c r="D1688" s="6" t="s">
        <v>5767</v>
      </c>
      <c r="E1688" s="7" t="s">
        <v>21</v>
      </c>
      <c r="F1688" s="6" t="s">
        <v>6150</v>
      </c>
      <c r="G1688" s="5" t="s">
        <v>6151</v>
      </c>
      <c r="H1688" s="5" t="s">
        <v>6152</v>
      </c>
      <c r="I1688" s="5" t="s">
        <v>6153</v>
      </c>
      <c r="J1688" s="5" t="s">
        <v>6154</v>
      </c>
      <c r="K1688" s="5"/>
      <c r="L1688" s="4" t="s">
        <v>44</v>
      </c>
      <c r="M1688" s="8" t="s">
        <v>79</v>
      </c>
      <c r="N1688" s="9" t="s">
        <v>5773</v>
      </c>
      <c r="O1688" s="5"/>
      <c r="P1688" s="5"/>
      <c r="Q1688" s="6" t="s">
        <v>30</v>
      </c>
      <c r="R1688" s="4" t="s">
        <v>31</v>
      </c>
      <c r="S1688" s="7" t="s">
        <v>32</v>
      </c>
      <c r="T1688" s="5"/>
    </row>
    <row r="1689" customFormat="false" ht="29.25" hidden="false" customHeight="true" outlineLevel="0" collapsed="false">
      <c r="A1689" s="4" t="n">
        <v>1688</v>
      </c>
      <c r="B1689" s="6" t="s">
        <v>1787</v>
      </c>
      <c r="C1689" s="6" t="s">
        <v>5766</v>
      </c>
      <c r="D1689" s="6" t="s">
        <v>5767</v>
      </c>
      <c r="E1689" s="7" t="s">
        <v>21</v>
      </c>
      <c r="F1689" s="6" t="s">
        <v>6155</v>
      </c>
      <c r="G1689" s="5" t="s">
        <v>6099</v>
      </c>
      <c r="H1689" s="5" t="s">
        <v>6156</v>
      </c>
      <c r="I1689" s="5" t="s">
        <v>6157</v>
      </c>
      <c r="J1689" s="5" t="s">
        <v>6158</v>
      </c>
      <c r="K1689" s="5"/>
      <c r="L1689" s="4" t="s">
        <v>51</v>
      </c>
      <c r="M1689" s="8" t="s">
        <v>28</v>
      </c>
      <c r="N1689" s="9" t="s">
        <v>5773</v>
      </c>
      <c r="O1689" s="5"/>
      <c r="P1689" s="5"/>
      <c r="Q1689" s="6" t="s">
        <v>30</v>
      </c>
      <c r="R1689" s="4" t="s">
        <v>31</v>
      </c>
      <c r="S1689" s="7" t="s">
        <v>32</v>
      </c>
      <c r="T1689" s="5"/>
    </row>
    <row r="1690" customFormat="false" ht="29.25" hidden="false" customHeight="true" outlineLevel="0" collapsed="false">
      <c r="A1690" s="4" t="n">
        <v>1689</v>
      </c>
      <c r="B1690" s="6" t="s">
        <v>1787</v>
      </c>
      <c r="C1690" s="6" t="s">
        <v>5766</v>
      </c>
      <c r="D1690" s="6" t="s">
        <v>5767</v>
      </c>
      <c r="E1690" s="7" t="s">
        <v>21</v>
      </c>
      <c r="F1690" s="6" t="s">
        <v>6159</v>
      </c>
      <c r="G1690" s="6" t="s">
        <v>6160</v>
      </c>
      <c r="H1690" s="6" t="s">
        <v>6161</v>
      </c>
      <c r="I1690" s="6" t="s">
        <v>6162</v>
      </c>
      <c r="J1690" s="6" t="s">
        <v>6163</v>
      </c>
      <c r="K1690" s="5"/>
      <c r="L1690" s="4" t="s">
        <v>62</v>
      </c>
      <c r="M1690" s="8" t="s">
        <v>28</v>
      </c>
      <c r="N1690" s="9" t="s">
        <v>5773</v>
      </c>
      <c r="O1690" s="5"/>
      <c r="P1690" s="5"/>
      <c r="Q1690" s="6" t="s">
        <v>30</v>
      </c>
      <c r="R1690" s="4" t="s">
        <v>31</v>
      </c>
      <c r="S1690" s="7" t="s">
        <v>32</v>
      </c>
      <c r="T1690" s="5"/>
    </row>
    <row r="1691" customFormat="false" ht="29.25" hidden="false" customHeight="true" outlineLevel="0" collapsed="false">
      <c r="A1691" s="4" t="n">
        <v>1690</v>
      </c>
      <c r="B1691" s="6" t="s">
        <v>1787</v>
      </c>
      <c r="C1691" s="6" t="s">
        <v>5766</v>
      </c>
      <c r="D1691" s="6" t="s">
        <v>5767</v>
      </c>
      <c r="E1691" s="7" t="s">
        <v>21</v>
      </c>
      <c r="F1691" s="6" t="s">
        <v>6164</v>
      </c>
      <c r="G1691" s="5" t="s">
        <v>6165</v>
      </c>
      <c r="H1691" s="5" t="s">
        <v>6166</v>
      </c>
      <c r="I1691" s="5" t="s">
        <v>6167</v>
      </c>
      <c r="J1691" s="5" t="s">
        <v>6168</v>
      </c>
      <c r="K1691" s="5"/>
      <c r="L1691" s="4" t="s">
        <v>27</v>
      </c>
      <c r="M1691" s="8" t="s">
        <v>79</v>
      </c>
      <c r="N1691" s="9" t="s">
        <v>5773</v>
      </c>
      <c r="O1691" s="5"/>
      <c r="P1691" s="5"/>
      <c r="Q1691" s="6" t="s">
        <v>30</v>
      </c>
      <c r="R1691" s="4" t="s">
        <v>31</v>
      </c>
      <c r="S1691" s="7" t="s">
        <v>32</v>
      </c>
      <c r="T1691" s="5"/>
    </row>
    <row r="1692" customFormat="false" ht="29.25" hidden="false" customHeight="true" outlineLevel="0" collapsed="false">
      <c r="A1692" s="4" t="n">
        <v>1691</v>
      </c>
      <c r="B1692" s="6" t="s">
        <v>1787</v>
      </c>
      <c r="C1692" s="6" t="s">
        <v>5766</v>
      </c>
      <c r="D1692" s="6" t="s">
        <v>5767</v>
      </c>
      <c r="E1692" s="7" t="s">
        <v>21</v>
      </c>
      <c r="F1692" s="6" t="s">
        <v>6169</v>
      </c>
      <c r="G1692" s="6" t="s">
        <v>6170</v>
      </c>
      <c r="H1692" s="6" t="s">
        <v>6171</v>
      </c>
      <c r="I1692" s="6" t="s">
        <v>6172</v>
      </c>
      <c r="J1692" s="6" t="s">
        <v>6173</v>
      </c>
      <c r="K1692" s="5"/>
      <c r="L1692" s="4" t="s">
        <v>44</v>
      </c>
      <c r="M1692" s="8" t="s">
        <v>28</v>
      </c>
      <c r="N1692" s="9" t="s">
        <v>5773</v>
      </c>
      <c r="O1692" s="5"/>
      <c r="P1692" s="5"/>
      <c r="Q1692" s="6" t="s">
        <v>30</v>
      </c>
      <c r="R1692" s="4" t="s">
        <v>31</v>
      </c>
      <c r="S1692" s="7" t="s">
        <v>32</v>
      </c>
      <c r="T1692" s="5"/>
    </row>
    <row r="1693" customFormat="false" ht="29.25" hidden="false" customHeight="true" outlineLevel="0" collapsed="false">
      <c r="A1693" s="4" t="n">
        <v>1692</v>
      </c>
      <c r="B1693" s="6" t="s">
        <v>1787</v>
      </c>
      <c r="C1693" s="6" t="s">
        <v>5766</v>
      </c>
      <c r="D1693" s="6" t="s">
        <v>5767</v>
      </c>
      <c r="E1693" s="7" t="s">
        <v>21</v>
      </c>
      <c r="F1693" s="6" t="s">
        <v>6174</v>
      </c>
      <c r="G1693" s="5" t="s">
        <v>6175</v>
      </c>
      <c r="H1693" s="5" t="s">
        <v>6176</v>
      </c>
      <c r="I1693" s="5" t="s">
        <v>6177</v>
      </c>
      <c r="J1693" s="5" t="s">
        <v>6178</v>
      </c>
      <c r="K1693" s="5"/>
      <c r="L1693" s="4" t="s">
        <v>51</v>
      </c>
      <c r="M1693" s="8" t="s">
        <v>129</v>
      </c>
      <c r="N1693" s="9" t="s">
        <v>5773</v>
      </c>
      <c r="O1693" s="5"/>
      <c r="P1693" s="5"/>
      <c r="Q1693" s="6" t="s">
        <v>30</v>
      </c>
      <c r="R1693" s="4" t="s">
        <v>31</v>
      </c>
      <c r="S1693" s="7" t="s">
        <v>32</v>
      </c>
      <c r="T1693" s="5"/>
    </row>
    <row r="1694" customFormat="false" ht="29.25" hidden="false" customHeight="true" outlineLevel="0" collapsed="false">
      <c r="A1694" s="4" t="n">
        <v>1693</v>
      </c>
      <c r="B1694" s="6" t="s">
        <v>1787</v>
      </c>
      <c r="C1694" s="6" t="s">
        <v>5766</v>
      </c>
      <c r="D1694" s="6" t="s">
        <v>5767</v>
      </c>
      <c r="E1694" s="7" t="s">
        <v>21</v>
      </c>
      <c r="F1694" s="6" t="s">
        <v>6179</v>
      </c>
      <c r="G1694" s="5" t="s">
        <v>6175</v>
      </c>
      <c r="H1694" s="5" t="s">
        <v>6177</v>
      </c>
      <c r="I1694" s="5" t="s">
        <v>6176</v>
      </c>
      <c r="J1694" s="5" t="s">
        <v>6178</v>
      </c>
      <c r="K1694" s="5"/>
      <c r="L1694" s="4" t="s">
        <v>62</v>
      </c>
      <c r="M1694" s="8" t="s">
        <v>79</v>
      </c>
      <c r="N1694" s="9" t="s">
        <v>5773</v>
      </c>
      <c r="O1694" s="5"/>
      <c r="P1694" s="5"/>
      <c r="Q1694" s="6" t="s">
        <v>30</v>
      </c>
      <c r="R1694" s="4" t="s">
        <v>31</v>
      </c>
      <c r="S1694" s="7" t="s">
        <v>32</v>
      </c>
      <c r="T1694" s="5"/>
    </row>
    <row r="1695" customFormat="false" ht="29.25" hidden="false" customHeight="true" outlineLevel="0" collapsed="false">
      <c r="A1695" s="4" t="n">
        <v>1694</v>
      </c>
      <c r="B1695" s="6" t="s">
        <v>1787</v>
      </c>
      <c r="C1695" s="6" t="s">
        <v>5766</v>
      </c>
      <c r="D1695" s="6" t="s">
        <v>5767</v>
      </c>
      <c r="E1695" s="7" t="s">
        <v>21</v>
      </c>
      <c r="F1695" s="6" t="s">
        <v>6180</v>
      </c>
      <c r="G1695" s="5" t="s">
        <v>6181</v>
      </c>
      <c r="H1695" s="5" t="s">
        <v>6182</v>
      </c>
      <c r="I1695" s="5" t="s">
        <v>6183</v>
      </c>
      <c r="J1695" s="5" t="s">
        <v>6184</v>
      </c>
      <c r="K1695" s="5"/>
      <c r="L1695" s="4" t="s">
        <v>27</v>
      </c>
      <c r="M1695" s="8" t="s">
        <v>79</v>
      </c>
      <c r="N1695" s="9" t="s">
        <v>5773</v>
      </c>
      <c r="O1695" s="5"/>
      <c r="P1695" s="5"/>
      <c r="Q1695" s="6" t="s">
        <v>30</v>
      </c>
      <c r="R1695" s="4" t="s">
        <v>31</v>
      </c>
      <c r="S1695" s="7" t="s">
        <v>32</v>
      </c>
      <c r="T1695" s="5"/>
    </row>
    <row r="1696" customFormat="false" ht="29.25" hidden="false" customHeight="true" outlineLevel="0" collapsed="false">
      <c r="A1696" s="4" t="n">
        <v>1695</v>
      </c>
      <c r="B1696" s="6" t="s">
        <v>1787</v>
      </c>
      <c r="C1696" s="6" t="s">
        <v>5766</v>
      </c>
      <c r="D1696" s="6" t="s">
        <v>5767</v>
      </c>
      <c r="E1696" s="7" t="s">
        <v>21</v>
      </c>
      <c r="F1696" s="6" t="s">
        <v>6185</v>
      </c>
      <c r="G1696" s="6" t="s">
        <v>6186</v>
      </c>
      <c r="H1696" s="6" t="s">
        <v>6187</v>
      </c>
      <c r="I1696" s="6" t="s">
        <v>6188</v>
      </c>
      <c r="J1696" s="6" t="s">
        <v>6189</v>
      </c>
      <c r="K1696" s="5"/>
      <c r="L1696" s="4" t="s">
        <v>44</v>
      </c>
      <c r="M1696" s="8" t="s">
        <v>79</v>
      </c>
      <c r="N1696" s="9" t="s">
        <v>5773</v>
      </c>
      <c r="O1696" s="5"/>
      <c r="P1696" s="5"/>
      <c r="Q1696" s="6" t="s">
        <v>30</v>
      </c>
      <c r="R1696" s="4" t="s">
        <v>31</v>
      </c>
      <c r="S1696" s="7" t="s">
        <v>32</v>
      </c>
      <c r="T1696" s="5"/>
    </row>
    <row r="1697" customFormat="false" ht="29.25" hidden="false" customHeight="true" outlineLevel="0" collapsed="false">
      <c r="A1697" s="4" t="n">
        <v>1696</v>
      </c>
      <c r="B1697" s="6" t="s">
        <v>1787</v>
      </c>
      <c r="C1697" s="6" t="s">
        <v>5766</v>
      </c>
      <c r="D1697" s="6" t="s">
        <v>5767</v>
      </c>
      <c r="E1697" s="7" t="s">
        <v>21</v>
      </c>
      <c r="F1697" s="6" t="s">
        <v>6190</v>
      </c>
      <c r="G1697" s="6" t="s">
        <v>6191</v>
      </c>
      <c r="H1697" s="6" t="s">
        <v>6192</v>
      </c>
      <c r="I1697" s="6" t="s">
        <v>6193</v>
      </c>
      <c r="J1697" s="6" t="s">
        <v>6194</v>
      </c>
      <c r="K1697" s="5"/>
      <c r="L1697" s="4" t="s">
        <v>51</v>
      </c>
      <c r="M1697" s="8" t="s">
        <v>129</v>
      </c>
      <c r="N1697" s="9" t="s">
        <v>5773</v>
      </c>
      <c r="O1697" s="5"/>
      <c r="P1697" s="5"/>
      <c r="Q1697" s="6" t="s">
        <v>30</v>
      </c>
      <c r="R1697" s="4" t="s">
        <v>31</v>
      </c>
      <c r="S1697" s="7" t="s">
        <v>32</v>
      </c>
      <c r="T1697" s="5"/>
    </row>
    <row r="1698" customFormat="false" ht="29.25" hidden="false" customHeight="true" outlineLevel="0" collapsed="false">
      <c r="A1698" s="4" t="n">
        <v>1697</v>
      </c>
      <c r="B1698" s="6" t="s">
        <v>1787</v>
      </c>
      <c r="C1698" s="6" t="s">
        <v>5766</v>
      </c>
      <c r="D1698" s="6" t="s">
        <v>5767</v>
      </c>
      <c r="E1698" s="7" t="s">
        <v>21</v>
      </c>
      <c r="F1698" s="6" t="s">
        <v>6195</v>
      </c>
      <c r="G1698" s="5" t="s">
        <v>6196</v>
      </c>
      <c r="H1698" s="5" t="s">
        <v>6197</v>
      </c>
      <c r="I1698" s="5" t="s">
        <v>6198</v>
      </c>
      <c r="J1698" s="5" t="s">
        <v>6199</v>
      </c>
      <c r="K1698" s="5"/>
      <c r="L1698" s="4" t="s">
        <v>62</v>
      </c>
      <c r="M1698" s="8" t="s">
        <v>79</v>
      </c>
      <c r="N1698" s="9" t="s">
        <v>5773</v>
      </c>
      <c r="O1698" s="5"/>
      <c r="P1698" s="5"/>
      <c r="Q1698" s="6" t="s">
        <v>30</v>
      </c>
      <c r="R1698" s="4" t="s">
        <v>31</v>
      </c>
      <c r="S1698" s="7" t="s">
        <v>32</v>
      </c>
      <c r="T1698" s="5"/>
    </row>
    <row r="1699" customFormat="false" ht="29.25" hidden="false" customHeight="true" outlineLevel="0" collapsed="false">
      <c r="A1699" s="4" t="n">
        <v>1698</v>
      </c>
      <c r="B1699" s="6" t="s">
        <v>1787</v>
      </c>
      <c r="C1699" s="6" t="s">
        <v>5766</v>
      </c>
      <c r="D1699" s="6" t="s">
        <v>5767</v>
      </c>
      <c r="E1699" s="7" t="s">
        <v>21</v>
      </c>
      <c r="F1699" s="6" t="s">
        <v>6200</v>
      </c>
      <c r="G1699" s="5" t="s">
        <v>6201</v>
      </c>
      <c r="H1699" s="5" t="s">
        <v>6202</v>
      </c>
      <c r="I1699" s="5" t="s">
        <v>6203</v>
      </c>
      <c r="J1699" s="5" t="s">
        <v>6204</v>
      </c>
      <c r="K1699" s="5"/>
      <c r="L1699" s="4" t="s">
        <v>27</v>
      </c>
      <c r="M1699" s="8" t="s">
        <v>79</v>
      </c>
      <c r="N1699" s="9" t="s">
        <v>5773</v>
      </c>
      <c r="O1699" s="5"/>
      <c r="P1699" s="5"/>
      <c r="Q1699" s="6" t="s">
        <v>30</v>
      </c>
      <c r="R1699" s="4" t="s">
        <v>31</v>
      </c>
      <c r="S1699" s="7" t="s">
        <v>32</v>
      </c>
      <c r="T1699" s="5"/>
    </row>
    <row r="1700" customFormat="false" ht="29.25" hidden="false" customHeight="true" outlineLevel="0" collapsed="false">
      <c r="A1700" s="4" t="n">
        <v>1699</v>
      </c>
      <c r="B1700" s="6" t="s">
        <v>1787</v>
      </c>
      <c r="C1700" s="6" t="s">
        <v>5766</v>
      </c>
      <c r="D1700" s="6" t="s">
        <v>5767</v>
      </c>
      <c r="E1700" s="7" t="s">
        <v>21</v>
      </c>
      <c r="F1700" s="6" t="s">
        <v>6205</v>
      </c>
      <c r="G1700" s="6" t="s">
        <v>6206</v>
      </c>
      <c r="H1700" s="6" t="s">
        <v>6207</v>
      </c>
      <c r="I1700" s="6" t="s">
        <v>6208</v>
      </c>
      <c r="J1700" s="6" t="s">
        <v>6209</v>
      </c>
      <c r="K1700" s="5"/>
      <c r="L1700" s="4" t="s">
        <v>44</v>
      </c>
      <c r="M1700" s="8" t="s">
        <v>79</v>
      </c>
      <c r="N1700" s="9" t="s">
        <v>5773</v>
      </c>
      <c r="O1700" s="5"/>
      <c r="P1700" s="5"/>
      <c r="Q1700" s="6" t="s">
        <v>30</v>
      </c>
      <c r="R1700" s="4" t="s">
        <v>31</v>
      </c>
      <c r="S1700" s="7" t="s">
        <v>32</v>
      </c>
      <c r="T1700" s="5"/>
    </row>
    <row r="1701" customFormat="false" ht="29.25" hidden="false" customHeight="true" outlineLevel="0" collapsed="false">
      <c r="A1701" s="4" t="n">
        <v>1700</v>
      </c>
      <c r="B1701" s="6" t="s">
        <v>1787</v>
      </c>
      <c r="C1701" s="6" t="s">
        <v>5766</v>
      </c>
      <c r="D1701" s="6" t="s">
        <v>5767</v>
      </c>
      <c r="E1701" s="7" t="s">
        <v>21</v>
      </c>
      <c r="F1701" s="5" t="s">
        <v>6210</v>
      </c>
      <c r="G1701" s="6" t="s">
        <v>6211</v>
      </c>
      <c r="H1701" s="6" t="s">
        <v>6212</v>
      </c>
      <c r="I1701" s="6" t="s">
        <v>6213</v>
      </c>
      <c r="J1701" s="6" t="s">
        <v>6214</v>
      </c>
      <c r="K1701" s="5"/>
      <c r="L1701" s="4" t="s">
        <v>51</v>
      </c>
      <c r="M1701" s="8" t="s">
        <v>79</v>
      </c>
      <c r="N1701" s="9" t="s">
        <v>5789</v>
      </c>
      <c r="O1701" s="5"/>
      <c r="P1701" s="5"/>
      <c r="Q1701" s="6" t="s">
        <v>30</v>
      </c>
      <c r="R1701" s="4" t="s">
        <v>31</v>
      </c>
      <c r="S1701" s="7" t="s">
        <v>32</v>
      </c>
      <c r="T1701" s="5"/>
    </row>
    <row r="1702" customFormat="false" ht="29.25" hidden="false" customHeight="true" outlineLevel="0" collapsed="false">
      <c r="A1702" s="4" t="n">
        <v>1701</v>
      </c>
      <c r="B1702" s="6" t="s">
        <v>1787</v>
      </c>
      <c r="C1702" s="6" t="s">
        <v>5766</v>
      </c>
      <c r="D1702" s="6" t="s">
        <v>5767</v>
      </c>
      <c r="E1702" s="7" t="s">
        <v>21</v>
      </c>
      <c r="F1702" s="6" t="s">
        <v>6215</v>
      </c>
      <c r="G1702" s="6" t="s">
        <v>6216</v>
      </c>
      <c r="H1702" s="6" t="s">
        <v>6217</v>
      </c>
      <c r="I1702" s="6" t="s">
        <v>6218</v>
      </c>
      <c r="J1702" s="6" t="s">
        <v>6219</v>
      </c>
      <c r="K1702" s="5"/>
      <c r="L1702" s="4" t="s">
        <v>62</v>
      </c>
      <c r="M1702" s="8" t="s">
        <v>28</v>
      </c>
      <c r="N1702" s="9" t="s">
        <v>5773</v>
      </c>
      <c r="O1702" s="5"/>
      <c r="P1702" s="5"/>
      <c r="Q1702" s="6" t="s">
        <v>30</v>
      </c>
      <c r="R1702" s="4" t="s">
        <v>31</v>
      </c>
      <c r="S1702" s="7" t="s">
        <v>32</v>
      </c>
      <c r="T1702" s="5"/>
    </row>
    <row r="1703" customFormat="false" ht="29.25" hidden="false" customHeight="true" outlineLevel="0" collapsed="false">
      <c r="A1703" s="4" t="n">
        <v>1702</v>
      </c>
      <c r="B1703" s="6" t="s">
        <v>1787</v>
      </c>
      <c r="C1703" s="6" t="s">
        <v>5766</v>
      </c>
      <c r="D1703" s="6" t="s">
        <v>5767</v>
      </c>
      <c r="E1703" s="7" t="s">
        <v>21</v>
      </c>
      <c r="F1703" s="6" t="s">
        <v>6220</v>
      </c>
      <c r="G1703" s="6" t="s">
        <v>6221</v>
      </c>
      <c r="H1703" s="6" t="s">
        <v>4799</v>
      </c>
      <c r="I1703" s="6" t="s">
        <v>1874</v>
      </c>
      <c r="J1703" s="6" t="s">
        <v>6222</v>
      </c>
      <c r="K1703" s="5"/>
      <c r="L1703" s="4" t="s">
        <v>27</v>
      </c>
      <c r="M1703" s="8" t="s">
        <v>129</v>
      </c>
      <c r="N1703" s="9" t="s">
        <v>5773</v>
      </c>
      <c r="O1703" s="5"/>
      <c r="P1703" s="5"/>
      <c r="Q1703" s="6" t="s">
        <v>30</v>
      </c>
      <c r="R1703" s="4" t="s">
        <v>31</v>
      </c>
      <c r="S1703" s="7" t="s">
        <v>32</v>
      </c>
      <c r="T1703" s="5"/>
    </row>
    <row r="1704" customFormat="false" ht="29.25" hidden="false" customHeight="true" outlineLevel="0" collapsed="false">
      <c r="A1704" s="4" t="n">
        <v>1703</v>
      </c>
      <c r="B1704" s="6" t="s">
        <v>1787</v>
      </c>
      <c r="C1704" s="6" t="s">
        <v>5766</v>
      </c>
      <c r="D1704" s="6" t="s">
        <v>5767</v>
      </c>
      <c r="E1704" s="7" t="s">
        <v>21</v>
      </c>
      <c r="F1704" s="6" t="s">
        <v>6223</v>
      </c>
      <c r="G1704" s="5" t="s">
        <v>6224</v>
      </c>
      <c r="H1704" s="5" t="s">
        <v>6225</v>
      </c>
      <c r="I1704" s="5" t="s">
        <v>6226</v>
      </c>
      <c r="J1704" s="5" t="s">
        <v>6227</v>
      </c>
      <c r="K1704" s="5"/>
      <c r="L1704" s="4" t="s">
        <v>44</v>
      </c>
      <c r="M1704" s="8" t="s">
        <v>79</v>
      </c>
      <c r="N1704" s="9" t="s">
        <v>5773</v>
      </c>
      <c r="O1704" s="5"/>
      <c r="P1704" s="5"/>
      <c r="Q1704" s="6" t="s">
        <v>30</v>
      </c>
      <c r="R1704" s="4" t="s">
        <v>31</v>
      </c>
      <c r="S1704" s="7" t="s">
        <v>32</v>
      </c>
      <c r="T1704" s="5"/>
    </row>
    <row r="1705" customFormat="false" ht="29.25" hidden="false" customHeight="true" outlineLevel="0" collapsed="false">
      <c r="A1705" s="4" t="n">
        <v>1704</v>
      </c>
      <c r="B1705" s="6" t="s">
        <v>1787</v>
      </c>
      <c r="C1705" s="6" t="s">
        <v>5766</v>
      </c>
      <c r="D1705" s="6" t="s">
        <v>5767</v>
      </c>
      <c r="E1705" s="7" t="s">
        <v>21</v>
      </c>
      <c r="F1705" s="6" t="s">
        <v>6228</v>
      </c>
      <c r="G1705" s="6" t="s">
        <v>6229</v>
      </c>
      <c r="H1705" s="6" t="s">
        <v>6230</v>
      </c>
      <c r="I1705" s="6" t="s">
        <v>6231</v>
      </c>
      <c r="J1705" s="6" t="s">
        <v>6232</v>
      </c>
      <c r="K1705" s="5"/>
      <c r="L1705" s="4" t="s">
        <v>51</v>
      </c>
      <c r="M1705" s="8" t="s">
        <v>28</v>
      </c>
      <c r="N1705" s="9" t="s">
        <v>5773</v>
      </c>
      <c r="O1705" s="5"/>
      <c r="P1705" s="5"/>
      <c r="Q1705" s="6" t="s">
        <v>30</v>
      </c>
      <c r="R1705" s="4" t="s">
        <v>31</v>
      </c>
      <c r="S1705" s="7" t="s">
        <v>32</v>
      </c>
      <c r="T1705" s="5"/>
    </row>
    <row r="1706" customFormat="false" ht="29.25" hidden="false" customHeight="true" outlineLevel="0" collapsed="false">
      <c r="A1706" s="4" t="n">
        <v>1705</v>
      </c>
      <c r="B1706" s="6" t="s">
        <v>1787</v>
      </c>
      <c r="C1706" s="6" t="s">
        <v>5766</v>
      </c>
      <c r="D1706" s="6" t="s">
        <v>5767</v>
      </c>
      <c r="E1706" s="7" t="s">
        <v>21</v>
      </c>
      <c r="F1706" s="6" t="s">
        <v>6233</v>
      </c>
      <c r="G1706" s="6" t="s">
        <v>6234</v>
      </c>
      <c r="H1706" s="6" t="s">
        <v>6235</v>
      </c>
      <c r="I1706" s="6" t="s">
        <v>6236</v>
      </c>
      <c r="J1706" s="6" t="s">
        <v>6237</v>
      </c>
      <c r="K1706" s="5"/>
      <c r="L1706" s="4" t="s">
        <v>62</v>
      </c>
      <c r="M1706" s="8" t="s">
        <v>79</v>
      </c>
      <c r="N1706" s="9" t="s">
        <v>5773</v>
      </c>
      <c r="O1706" s="5"/>
      <c r="P1706" s="5"/>
      <c r="Q1706" s="6" t="s">
        <v>30</v>
      </c>
      <c r="R1706" s="4" t="s">
        <v>31</v>
      </c>
      <c r="S1706" s="7" t="s">
        <v>32</v>
      </c>
      <c r="T1706" s="5"/>
    </row>
    <row r="1707" customFormat="false" ht="29.25" hidden="false" customHeight="true" outlineLevel="0" collapsed="false">
      <c r="A1707" s="4" t="n">
        <v>1706</v>
      </c>
      <c r="B1707" s="6" t="s">
        <v>1787</v>
      </c>
      <c r="C1707" s="6" t="s">
        <v>5766</v>
      </c>
      <c r="D1707" s="6" t="s">
        <v>5767</v>
      </c>
      <c r="E1707" s="7" t="s">
        <v>21</v>
      </c>
      <c r="F1707" s="6" t="s">
        <v>6238</v>
      </c>
      <c r="G1707" s="6" t="s">
        <v>6239</v>
      </c>
      <c r="H1707" s="6" t="s">
        <v>6240</v>
      </c>
      <c r="I1707" s="6" t="s">
        <v>6241</v>
      </c>
      <c r="J1707" s="6" t="s">
        <v>6242</v>
      </c>
      <c r="K1707" s="5"/>
      <c r="L1707" s="4" t="s">
        <v>27</v>
      </c>
      <c r="M1707" s="8" t="s">
        <v>79</v>
      </c>
      <c r="N1707" s="9" t="s">
        <v>5773</v>
      </c>
      <c r="O1707" s="5"/>
      <c r="P1707" s="5"/>
      <c r="Q1707" s="6" t="s">
        <v>30</v>
      </c>
      <c r="R1707" s="4" t="s">
        <v>31</v>
      </c>
      <c r="S1707" s="7" t="s">
        <v>32</v>
      </c>
      <c r="T1707" s="5"/>
    </row>
    <row r="1708" customFormat="false" ht="29.25" hidden="false" customHeight="true" outlineLevel="0" collapsed="false">
      <c r="A1708" s="4" t="n">
        <v>1707</v>
      </c>
      <c r="B1708" s="6" t="s">
        <v>1787</v>
      </c>
      <c r="C1708" s="6" t="s">
        <v>5766</v>
      </c>
      <c r="D1708" s="6" t="s">
        <v>5767</v>
      </c>
      <c r="E1708" s="7" t="s">
        <v>21</v>
      </c>
      <c r="F1708" s="6" t="s">
        <v>6243</v>
      </c>
      <c r="G1708" s="5" t="s">
        <v>6244</v>
      </c>
      <c r="H1708" s="5" t="s">
        <v>6245</v>
      </c>
      <c r="I1708" s="5" t="s">
        <v>6246</v>
      </c>
      <c r="J1708" s="5" t="s">
        <v>6247</v>
      </c>
      <c r="K1708" s="5"/>
      <c r="L1708" s="4" t="s">
        <v>44</v>
      </c>
      <c r="M1708" s="8" t="s">
        <v>79</v>
      </c>
      <c r="N1708" s="9" t="s">
        <v>5773</v>
      </c>
      <c r="O1708" s="5"/>
      <c r="P1708" s="5"/>
      <c r="Q1708" s="6" t="s">
        <v>30</v>
      </c>
      <c r="R1708" s="4" t="s">
        <v>31</v>
      </c>
      <c r="S1708" s="7" t="s">
        <v>32</v>
      </c>
      <c r="T1708" s="5"/>
    </row>
    <row r="1709" customFormat="false" ht="29.25" hidden="false" customHeight="true" outlineLevel="0" collapsed="false">
      <c r="A1709" s="4" t="n">
        <v>1708</v>
      </c>
      <c r="B1709" s="6" t="s">
        <v>1787</v>
      </c>
      <c r="C1709" s="6" t="s">
        <v>5766</v>
      </c>
      <c r="D1709" s="6" t="s">
        <v>5767</v>
      </c>
      <c r="E1709" s="7" t="s">
        <v>21</v>
      </c>
      <c r="F1709" s="6" t="s">
        <v>6248</v>
      </c>
      <c r="G1709" s="6" t="s">
        <v>6249</v>
      </c>
      <c r="H1709" s="6" t="s">
        <v>6250</v>
      </c>
      <c r="I1709" s="6" t="s">
        <v>6251</v>
      </c>
      <c r="J1709" s="6" t="s">
        <v>6252</v>
      </c>
      <c r="K1709" s="5"/>
      <c r="L1709" s="4" t="s">
        <v>51</v>
      </c>
      <c r="M1709" s="8" t="s">
        <v>79</v>
      </c>
      <c r="N1709" s="9" t="s">
        <v>5773</v>
      </c>
      <c r="O1709" s="5"/>
      <c r="P1709" s="5"/>
      <c r="Q1709" s="6" t="s">
        <v>30</v>
      </c>
      <c r="R1709" s="4" t="s">
        <v>31</v>
      </c>
      <c r="S1709" s="7" t="s">
        <v>32</v>
      </c>
      <c r="T1709" s="5"/>
    </row>
    <row r="1710" customFormat="false" ht="29.25" hidden="false" customHeight="true" outlineLevel="0" collapsed="false">
      <c r="A1710" s="4" t="n">
        <v>1709</v>
      </c>
      <c r="B1710" s="6" t="s">
        <v>1787</v>
      </c>
      <c r="C1710" s="6" t="s">
        <v>5766</v>
      </c>
      <c r="D1710" s="6" t="s">
        <v>5767</v>
      </c>
      <c r="E1710" s="7" t="s">
        <v>21</v>
      </c>
      <c r="F1710" s="6" t="s">
        <v>6253</v>
      </c>
      <c r="G1710" s="6" t="s">
        <v>6254</v>
      </c>
      <c r="H1710" s="6" t="s">
        <v>6255</v>
      </c>
      <c r="I1710" s="6" t="s">
        <v>6256</v>
      </c>
      <c r="J1710" s="6" t="s">
        <v>6257</v>
      </c>
      <c r="K1710" s="5"/>
      <c r="L1710" s="4" t="s">
        <v>62</v>
      </c>
      <c r="M1710" s="8" t="s">
        <v>79</v>
      </c>
      <c r="N1710" s="9" t="s">
        <v>6258</v>
      </c>
      <c r="O1710" s="5"/>
      <c r="P1710" s="5"/>
      <c r="Q1710" s="6" t="s">
        <v>30</v>
      </c>
      <c r="R1710" s="4" t="s">
        <v>31</v>
      </c>
      <c r="S1710" s="7" t="s">
        <v>32</v>
      </c>
      <c r="T1710" s="5"/>
    </row>
    <row r="1711" customFormat="false" ht="43.5" hidden="false" customHeight="true" outlineLevel="0" collapsed="false">
      <c r="A1711" s="4" t="n">
        <v>1710</v>
      </c>
      <c r="B1711" s="6" t="s">
        <v>1787</v>
      </c>
      <c r="C1711" s="6" t="s">
        <v>5766</v>
      </c>
      <c r="D1711" s="6" t="s">
        <v>5767</v>
      </c>
      <c r="E1711" s="7" t="s">
        <v>21</v>
      </c>
      <c r="F1711" s="6" t="s">
        <v>6259</v>
      </c>
      <c r="G1711" s="6" t="s">
        <v>5776</v>
      </c>
      <c r="H1711" s="6" t="s">
        <v>6260</v>
      </c>
      <c r="I1711" s="6" t="s">
        <v>6261</v>
      </c>
      <c r="J1711" s="6" t="s">
        <v>6262</v>
      </c>
      <c r="K1711" s="5"/>
      <c r="L1711" s="4" t="s">
        <v>27</v>
      </c>
      <c r="M1711" s="8" t="s">
        <v>129</v>
      </c>
      <c r="N1711" s="9" t="s">
        <v>5773</v>
      </c>
      <c r="O1711" s="5"/>
      <c r="P1711" s="5"/>
      <c r="Q1711" s="6" t="s">
        <v>30</v>
      </c>
      <c r="R1711" s="4" t="s">
        <v>31</v>
      </c>
      <c r="S1711" s="7" t="s">
        <v>32</v>
      </c>
      <c r="T1711" s="5"/>
    </row>
    <row r="1712" customFormat="false" ht="29.25" hidden="false" customHeight="true" outlineLevel="0" collapsed="false">
      <c r="A1712" s="4" t="n">
        <v>1711</v>
      </c>
      <c r="B1712" s="6" t="s">
        <v>1787</v>
      </c>
      <c r="C1712" s="6" t="s">
        <v>5766</v>
      </c>
      <c r="D1712" s="6" t="s">
        <v>5767</v>
      </c>
      <c r="E1712" s="7" t="s">
        <v>21</v>
      </c>
      <c r="F1712" s="6" t="s">
        <v>6263</v>
      </c>
      <c r="G1712" s="5" t="s">
        <v>1255</v>
      </c>
      <c r="H1712" s="5" t="s">
        <v>1256</v>
      </c>
      <c r="I1712" s="5" t="s">
        <v>1902</v>
      </c>
      <c r="J1712" s="5" t="s">
        <v>6264</v>
      </c>
      <c r="K1712" s="5"/>
      <c r="L1712" s="4" t="s">
        <v>44</v>
      </c>
      <c r="M1712" s="8" t="s">
        <v>79</v>
      </c>
      <c r="N1712" s="9" t="s">
        <v>5773</v>
      </c>
      <c r="O1712" s="5"/>
      <c r="P1712" s="5"/>
      <c r="Q1712" s="6" t="s">
        <v>30</v>
      </c>
      <c r="R1712" s="4" t="s">
        <v>31</v>
      </c>
      <c r="S1712" s="7" t="s">
        <v>32</v>
      </c>
      <c r="T1712" s="5"/>
    </row>
    <row r="1713" customFormat="false" ht="29.25" hidden="false" customHeight="true" outlineLevel="0" collapsed="false">
      <c r="A1713" s="4" t="n">
        <v>1712</v>
      </c>
      <c r="B1713" s="6" t="s">
        <v>1787</v>
      </c>
      <c r="C1713" s="6" t="s">
        <v>5766</v>
      </c>
      <c r="D1713" s="6" t="s">
        <v>5767</v>
      </c>
      <c r="E1713" s="7" t="s">
        <v>21</v>
      </c>
      <c r="F1713" s="6" t="s">
        <v>6265</v>
      </c>
      <c r="G1713" s="5" t="s">
        <v>5970</v>
      </c>
      <c r="H1713" s="5" t="s">
        <v>6266</v>
      </c>
      <c r="I1713" s="5" t="s">
        <v>6267</v>
      </c>
      <c r="J1713" s="5" t="s">
        <v>6268</v>
      </c>
      <c r="K1713" s="5"/>
      <c r="L1713" s="4" t="s">
        <v>51</v>
      </c>
      <c r="M1713" s="8" t="s">
        <v>129</v>
      </c>
      <c r="N1713" s="9" t="s">
        <v>5773</v>
      </c>
      <c r="O1713" s="5"/>
      <c r="P1713" s="5"/>
      <c r="Q1713" s="6" t="s">
        <v>30</v>
      </c>
      <c r="R1713" s="4" t="s">
        <v>31</v>
      </c>
      <c r="S1713" s="7" t="s">
        <v>32</v>
      </c>
      <c r="T1713" s="5"/>
    </row>
    <row r="1714" customFormat="false" ht="29.25" hidden="false" customHeight="true" outlineLevel="0" collapsed="false">
      <c r="A1714" s="4" t="n">
        <v>1713</v>
      </c>
      <c r="B1714" s="6" t="s">
        <v>1787</v>
      </c>
      <c r="C1714" s="6" t="s">
        <v>5766</v>
      </c>
      <c r="D1714" s="6" t="s">
        <v>5767</v>
      </c>
      <c r="E1714" s="7" t="s">
        <v>21</v>
      </c>
      <c r="F1714" s="6" t="s">
        <v>6269</v>
      </c>
      <c r="G1714" s="6" t="s">
        <v>6270</v>
      </c>
      <c r="H1714" s="6" t="s">
        <v>6271</v>
      </c>
      <c r="I1714" s="6" t="s">
        <v>6272</v>
      </c>
      <c r="J1714" s="6" t="s">
        <v>6273</v>
      </c>
      <c r="K1714" s="5"/>
      <c r="L1714" s="4" t="s">
        <v>62</v>
      </c>
      <c r="M1714" s="8" t="s">
        <v>129</v>
      </c>
      <c r="N1714" s="9" t="s">
        <v>5773</v>
      </c>
      <c r="O1714" s="5"/>
      <c r="P1714" s="5"/>
      <c r="Q1714" s="6" t="s">
        <v>30</v>
      </c>
      <c r="R1714" s="4" t="s">
        <v>31</v>
      </c>
      <c r="S1714" s="7" t="s">
        <v>32</v>
      </c>
      <c r="T1714" s="5"/>
    </row>
    <row r="1715" customFormat="false" ht="43.5" hidden="false" customHeight="true" outlineLevel="0" collapsed="false">
      <c r="A1715" s="4" t="n">
        <v>1714</v>
      </c>
      <c r="B1715" s="6" t="s">
        <v>1787</v>
      </c>
      <c r="C1715" s="6" t="s">
        <v>5766</v>
      </c>
      <c r="D1715" s="6" t="s">
        <v>5767</v>
      </c>
      <c r="E1715" s="7" t="s">
        <v>21</v>
      </c>
      <c r="F1715" s="6" t="s">
        <v>6274</v>
      </c>
      <c r="G1715" s="6" t="s">
        <v>6275</v>
      </c>
      <c r="H1715" s="6" t="s">
        <v>6276</v>
      </c>
      <c r="I1715" s="6" t="s">
        <v>6277</v>
      </c>
      <c r="J1715" s="6" t="s">
        <v>6278</v>
      </c>
      <c r="K1715" s="5"/>
      <c r="L1715" s="4" t="s">
        <v>27</v>
      </c>
      <c r="M1715" s="8" t="s">
        <v>129</v>
      </c>
      <c r="N1715" s="9" t="s">
        <v>5773</v>
      </c>
      <c r="O1715" s="5"/>
      <c r="P1715" s="5"/>
      <c r="Q1715" s="6" t="s">
        <v>30</v>
      </c>
      <c r="R1715" s="4" t="s">
        <v>31</v>
      </c>
      <c r="S1715" s="7" t="s">
        <v>32</v>
      </c>
      <c r="T1715" s="5"/>
    </row>
    <row r="1716" customFormat="false" ht="29.25" hidden="false" customHeight="true" outlineLevel="0" collapsed="false">
      <c r="A1716" s="4" t="n">
        <v>1715</v>
      </c>
      <c r="B1716" s="6" t="s">
        <v>1787</v>
      </c>
      <c r="C1716" s="6" t="s">
        <v>5766</v>
      </c>
      <c r="D1716" s="6" t="s">
        <v>5767</v>
      </c>
      <c r="E1716" s="7" t="s">
        <v>21</v>
      </c>
      <c r="F1716" s="6" t="s">
        <v>6279</v>
      </c>
      <c r="G1716" s="6" t="s">
        <v>6280</v>
      </c>
      <c r="H1716" s="6" t="s">
        <v>6281</v>
      </c>
      <c r="I1716" s="6" t="s">
        <v>6282</v>
      </c>
      <c r="J1716" s="6" t="s">
        <v>6283</v>
      </c>
      <c r="K1716" s="5"/>
      <c r="L1716" s="4" t="s">
        <v>44</v>
      </c>
      <c r="M1716" s="8" t="s">
        <v>129</v>
      </c>
      <c r="N1716" s="9" t="s">
        <v>5773</v>
      </c>
      <c r="O1716" s="5"/>
      <c r="P1716" s="5"/>
      <c r="Q1716" s="6" t="s">
        <v>30</v>
      </c>
      <c r="R1716" s="4" t="s">
        <v>31</v>
      </c>
      <c r="S1716" s="7" t="s">
        <v>32</v>
      </c>
      <c r="T1716" s="5"/>
    </row>
    <row r="1717" customFormat="false" ht="29.25" hidden="false" customHeight="true" outlineLevel="0" collapsed="false">
      <c r="A1717" s="4" t="n">
        <v>1716</v>
      </c>
      <c r="B1717" s="6" t="s">
        <v>1787</v>
      </c>
      <c r="C1717" s="6" t="s">
        <v>5766</v>
      </c>
      <c r="D1717" s="6" t="s">
        <v>5767</v>
      </c>
      <c r="E1717" s="7" t="s">
        <v>21</v>
      </c>
      <c r="F1717" s="6" t="s">
        <v>6284</v>
      </c>
      <c r="G1717" s="5" t="s">
        <v>6285</v>
      </c>
      <c r="H1717" s="5" t="s">
        <v>6286</v>
      </c>
      <c r="I1717" s="5" t="s">
        <v>6287</v>
      </c>
      <c r="J1717" s="5" t="s">
        <v>6288</v>
      </c>
      <c r="K1717" s="5"/>
      <c r="L1717" s="4" t="s">
        <v>51</v>
      </c>
      <c r="M1717" s="8" t="s">
        <v>79</v>
      </c>
      <c r="N1717" s="9" t="s">
        <v>5773</v>
      </c>
      <c r="O1717" s="5"/>
      <c r="P1717" s="5"/>
      <c r="Q1717" s="6" t="s">
        <v>30</v>
      </c>
      <c r="R1717" s="4" t="s">
        <v>31</v>
      </c>
      <c r="S1717" s="7" t="s">
        <v>32</v>
      </c>
      <c r="T1717" s="5"/>
    </row>
    <row r="1718" customFormat="false" ht="29.25" hidden="false" customHeight="true" outlineLevel="0" collapsed="false">
      <c r="A1718" s="4" t="n">
        <v>1717</v>
      </c>
      <c r="B1718" s="6" t="s">
        <v>1787</v>
      </c>
      <c r="C1718" s="6" t="s">
        <v>5766</v>
      </c>
      <c r="D1718" s="6" t="s">
        <v>5767</v>
      </c>
      <c r="E1718" s="7" t="s">
        <v>21</v>
      </c>
      <c r="F1718" s="6" t="s">
        <v>6289</v>
      </c>
      <c r="G1718" s="6" t="s">
        <v>6290</v>
      </c>
      <c r="H1718" s="6" t="s">
        <v>6291</v>
      </c>
      <c r="I1718" s="6" t="s">
        <v>6292</v>
      </c>
      <c r="J1718" s="6" t="s">
        <v>6293</v>
      </c>
      <c r="K1718" s="5"/>
      <c r="L1718" s="4" t="s">
        <v>62</v>
      </c>
      <c r="M1718" s="8" t="s">
        <v>129</v>
      </c>
      <c r="N1718" s="9" t="s">
        <v>5773</v>
      </c>
      <c r="O1718" s="5"/>
      <c r="P1718" s="5"/>
      <c r="Q1718" s="6" t="s">
        <v>30</v>
      </c>
      <c r="R1718" s="4" t="s">
        <v>31</v>
      </c>
      <c r="S1718" s="7" t="s">
        <v>32</v>
      </c>
      <c r="T1718" s="5"/>
    </row>
    <row r="1719" customFormat="false" ht="29.25" hidden="false" customHeight="true" outlineLevel="0" collapsed="false">
      <c r="A1719" s="4" t="n">
        <v>1718</v>
      </c>
      <c r="B1719" s="6" t="s">
        <v>1787</v>
      </c>
      <c r="C1719" s="6" t="s">
        <v>5766</v>
      </c>
      <c r="D1719" s="6" t="s">
        <v>5767</v>
      </c>
      <c r="E1719" s="7" t="s">
        <v>21</v>
      </c>
      <c r="F1719" s="6" t="s">
        <v>6294</v>
      </c>
      <c r="G1719" s="5" t="s">
        <v>6295</v>
      </c>
      <c r="H1719" s="5" t="s">
        <v>6296</v>
      </c>
      <c r="I1719" s="5" t="s">
        <v>6297</v>
      </c>
      <c r="J1719" s="5" t="s">
        <v>6298</v>
      </c>
      <c r="K1719" s="5"/>
      <c r="L1719" s="4" t="s">
        <v>27</v>
      </c>
      <c r="M1719" s="8" t="s">
        <v>79</v>
      </c>
      <c r="N1719" s="9" t="s">
        <v>5789</v>
      </c>
      <c r="O1719" s="5"/>
      <c r="P1719" s="5"/>
      <c r="Q1719" s="6" t="s">
        <v>30</v>
      </c>
      <c r="R1719" s="4" t="s">
        <v>31</v>
      </c>
      <c r="S1719" s="7" t="s">
        <v>32</v>
      </c>
      <c r="T1719" s="5"/>
    </row>
    <row r="1720" customFormat="false" ht="29.25" hidden="false" customHeight="true" outlineLevel="0" collapsed="false">
      <c r="A1720" s="4" t="n">
        <v>1719</v>
      </c>
      <c r="B1720" s="6" t="s">
        <v>1787</v>
      </c>
      <c r="C1720" s="6" t="s">
        <v>5766</v>
      </c>
      <c r="D1720" s="6" t="s">
        <v>5767</v>
      </c>
      <c r="E1720" s="7" t="s">
        <v>21</v>
      </c>
      <c r="F1720" s="6" t="s">
        <v>6299</v>
      </c>
      <c r="G1720" s="5" t="s">
        <v>6295</v>
      </c>
      <c r="H1720" s="5" t="s">
        <v>6296</v>
      </c>
      <c r="I1720" s="5" t="s">
        <v>6298</v>
      </c>
      <c r="J1720" s="5" t="s">
        <v>6297</v>
      </c>
      <c r="K1720" s="5"/>
      <c r="L1720" s="4" t="s">
        <v>44</v>
      </c>
      <c r="M1720" s="8" t="s">
        <v>129</v>
      </c>
      <c r="N1720" s="9" t="s">
        <v>6300</v>
      </c>
      <c r="O1720" s="5"/>
      <c r="P1720" s="5"/>
      <c r="Q1720" s="6" t="s">
        <v>30</v>
      </c>
      <c r="R1720" s="4" t="s">
        <v>31</v>
      </c>
      <c r="S1720" s="7" t="s">
        <v>32</v>
      </c>
      <c r="T1720" s="5"/>
    </row>
    <row r="1721" customFormat="false" ht="29.25" hidden="false" customHeight="true" outlineLevel="0" collapsed="false">
      <c r="A1721" s="4" t="n">
        <v>1720</v>
      </c>
      <c r="B1721" s="6" t="s">
        <v>1787</v>
      </c>
      <c r="C1721" s="6" t="s">
        <v>5766</v>
      </c>
      <c r="D1721" s="6" t="s">
        <v>5767</v>
      </c>
      <c r="E1721" s="7" t="s">
        <v>21</v>
      </c>
      <c r="F1721" s="6" t="s">
        <v>6301</v>
      </c>
      <c r="G1721" s="5" t="s">
        <v>6302</v>
      </c>
      <c r="H1721" s="5" t="s">
        <v>6303</v>
      </c>
      <c r="I1721" s="5" t="s">
        <v>6304</v>
      </c>
      <c r="J1721" s="5" t="s">
        <v>6305</v>
      </c>
      <c r="K1721" s="5"/>
      <c r="L1721" s="4" t="s">
        <v>51</v>
      </c>
      <c r="M1721" s="8" t="s">
        <v>129</v>
      </c>
      <c r="N1721" s="9" t="s">
        <v>6306</v>
      </c>
      <c r="O1721" s="5"/>
      <c r="P1721" s="5"/>
      <c r="Q1721" s="6" t="s">
        <v>30</v>
      </c>
      <c r="R1721" s="4" t="s">
        <v>31</v>
      </c>
      <c r="S1721" s="7" t="s">
        <v>32</v>
      </c>
      <c r="T1721" s="5"/>
    </row>
    <row r="1722" customFormat="false" ht="29.25" hidden="false" customHeight="true" outlineLevel="0" collapsed="false">
      <c r="A1722" s="4" t="n">
        <v>1721</v>
      </c>
      <c r="B1722" s="6" t="s">
        <v>1787</v>
      </c>
      <c r="C1722" s="6" t="s">
        <v>5766</v>
      </c>
      <c r="D1722" s="6" t="s">
        <v>5767</v>
      </c>
      <c r="E1722" s="7" t="s">
        <v>21</v>
      </c>
      <c r="F1722" s="6" t="s">
        <v>6307</v>
      </c>
      <c r="G1722" s="5" t="s">
        <v>6308</v>
      </c>
      <c r="H1722" s="5" t="s">
        <v>6309</v>
      </c>
      <c r="I1722" s="5" t="s">
        <v>6310</v>
      </c>
      <c r="J1722" s="5" t="s">
        <v>6311</v>
      </c>
      <c r="K1722" s="5"/>
      <c r="L1722" s="4" t="s">
        <v>62</v>
      </c>
      <c r="M1722" s="8" t="s">
        <v>129</v>
      </c>
      <c r="N1722" s="9" t="s">
        <v>6306</v>
      </c>
      <c r="O1722" s="5"/>
      <c r="P1722" s="5"/>
      <c r="Q1722" s="6" t="s">
        <v>30</v>
      </c>
      <c r="R1722" s="4" t="s">
        <v>31</v>
      </c>
      <c r="S1722" s="7" t="s">
        <v>32</v>
      </c>
      <c r="T1722" s="5"/>
    </row>
    <row r="1723" customFormat="false" ht="29.25" hidden="false" customHeight="true" outlineLevel="0" collapsed="false">
      <c r="A1723" s="4" t="n">
        <v>1722</v>
      </c>
      <c r="B1723" s="6" t="s">
        <v>1787</v>
      </c>
      <c r="C1723" s="6" t="s">
        <v>5766</v>
      </c>
      <c r="D1723" s="6" t="s">
        <v>5767</v>
      </c>
      <c r="E1723" s="7" t="s">
        <v>21</v>
      </c>
      <c r="F1723" s="6" t="s">
        <v>6312</v>
      </c>
      <c r="G1723" s="5" t="s">
        <v>6313</v>
      </c>
      <c r="H1723" s="5" t="s">
        <v>6314</v>
      </c>
      <c r="I1723" s="5" t="s">
        <v>6315</v>
      </c>
      <c r="J1723" s="5" t="s">
        <v>6316</v>
      </c>
      <c r="K1723" s="5"/>
      <c r="L1723" s="4" t="s">
        <v>27</v>
      </c>
      <c r="M1723" s="8" t="s">
        <v>79</v>
      </c>
      <c r="N1723" s="9" t="s">
        <v>6306</v>
      </c>
      <c r="O1723" s="5"/>
      <c r="P1723" s="5"/>
      <c r="Q1723" s="6" t="s">
        <v>30</v>
      </c>
      <c r="R1723" s="4" t="s">
        <v>31</v>
      </c>
      <c r="S1723" s="7" t="s">
        <v>32</v>
      </c>
      <c r="T1723" s="5"/>
    </row>
    <row r="1724" customFormat="false" ht="29.25" hidden="false" customHeight="true" outlineLevel="0" collapsed="false">
      <c r="A1724" s="4" t="n">
        <v>1723</v>
      </c>
      <c r="B1724" s="6" t="s">
        <v>1787</v>
      </c>
      <c r="C1724" s="6" t="s">
        <v>5766</v>
      </c>
      <c r="D1724" s="6" t="s">
        <v>5767</v>
      </c>
      <c r="E1724" s="7" t="s">
        <v>21</v>
      </c>
      <c r="F1724" s="6" t="s">
        <v>6317</v>
      </c>
      <c r="G1724" s="5" t="s">
        <v>6318</v>
      </c>
      <c r="H1724" s="5" t="s">
        <v>6319</v>
      </c>
      <c r="I1724" s="5" t="s">
        <v>6320</v>
      </c>
      <c r="J1724" s="5" t="s">
        <v>6321</v>
      </c>
      <c r="K1724" s="5"/>
      <c r="L1724" s="4" t="s">
        <v>44</v>
      </c>
      <c r="M1724" s="8" t="s">
        <v>79</v>
      </c>
      <c r="N1724" s="9" t="s">
        <v>6306</v>
      </c>
      <c r="O1724" s="5"/>
      <c r="P1724" s="5"/>
      <c r="Q1724" s="6" t="s">
        <v>30</v>
      </c>
      <c r="R1724" s="4" t="s">
        <v>31</v>
      </c>
      <c r="S1724" s="7" t="s">
        <v>32</v>
      </c>
      <c r="T1724" s="5"/>
    </row>
    <row r="1725" customFormat="false" ht="29.25" hidden="false" customHeight="true" outlineLevel="0" collapsed="false">
      <c r="A1725" s="4" t="n">
        <v>1724</v>
      </c>
      <c r="B1725" s="6" t="s">
        <v>1787</v>
      </c>
      <c r="C1725" s="6" t="s">
        <v>5766</v>
      </c>
      <c r="D1725" s="6" t="s">
        <v>5767</v>
      </c>
      <c r="E1725" s="7" t="s">
        <v>21</v>
      </c>
      <c r="F1725" s="6" t="s">
        <v>6322</v>
      </c>
      <c r="G1725" s="5" t="s">
        <v>1253</v>
      </c>
      <c r="H1725" s="5" t="s">
        <v>1254</v>
      </c>
      <c r="I1725" s="5" t="s">
        <v>5969</v>
      </c>
      <c r="J1725" s="5" t="s">
        <v>6323</v>
      </c>
      <c r="K1725" s="5"/>
      <c r="L1725" s="4" t="s">
        <v>51</v>
      </c>
      <c r="M1725" s="8" t="s">
        <v>79</v>
      </c>
      <c r="N1725" s="9" t="s">
        <v>6306</v>
      </c>
      <c r="O1725" s="5"/>
      <c r="P1725" s="5"/>
      <c r="Q1725" s="6" t="s">
        <v>30</v>
      </c>
      <c r="R1725" s="4" t="s">
        <v>31</v>
      </c>
      <c r="S1725" s="7" t="s">
        <v>32</v>
      </c>
      <c r="T1725" s="5"/>
    </row>
    <row r="1726" customFormat="false" ht="29.25" hidden="false" customHeight="true" outlineLevel="0" collapsed="false">
      <c r="A1726" s="4" t="n">
        <v>1725</v>
      </c>
      <c r="B1726" s="6" t="s">
        <v>1787</v>
      </c>
      <c r="C1726" s="6" t="s">
        <v>5766</v>
      </c>
      <c r="D1726" s="6" t="s">
        <v>5767</v>
      </c>
      <c r="E1726" s="7" t="s">
        <v>21</v>
      </c>
      <c r="F1726" s="6" t="s">
        <v>6324</v>
      </c>
      <c r="G1726" s="5" t="s">
        <v>6325</v>
      </c>
      <c r="H1726" s="5" t="s">
        <v>6326</v>
      </c>
      <c r="I1726" s="5" t="s">
        <v>6327</v>
      </c>
      <c r="J1726" s="5" t="s">
        <v>6328</v>
      </c>
      <c r="K1726" s="5"/>
      <c r="L1726" s="4" t="s">
        <v>62</v>
      </c>
      <c r="M1726" s="8" t="s">
        <v>79</v>
      </c>
      <c r="N1726" s="9" t="s">
        <v>6306</v>
      </c>
      <c r="O1726" s="5"/>
      <c r="P1726" s="5"/>
      <c r="Q1726" s="6" t="s">
        <v>30</v>
      </c>
      <c r="R1726" s="4" t="s">
        <v>31</v>
      </c>
      <c r="S1726" s="7" t="s">
        <v>32</v>
      </c>
      <c r="T1726" s="5"/>
    </row>
    <row r="1727" customFormat="false" ht="43.5" hidden="false" customHeight="true" outlineLevel="0" collapsed="false">
      <c r="A1727" s="4" t="n">
        <v>1726</v>
      </c>
      <c r="B1727" s="6" t="s">
        <v>1787</v>
      </c>
      <c r="C1727" s="6" t="s">
        <v>5766</v>
      </c>
      <c r="D1727" s="6" t="s">
        <v>5767</v>
      </c>
      <c r="E1727" s="7" t="s">
        <v>21</v>
      </c>
      <c r="F1727" s="6" t="s">
        <v>6329</v>
      </c>
      <c r="G1727" s="5" t="s">
        <v>6325</v>
      </c>
      <c r="H1727" s="5" t="s">
        <v>6330</v>
      </c>
      <c r="I1727" s="5" t="s">
        <v>6327</v>
      </c>
      <c r="J1727" s="5" t="s">
        <v>6331</v>
      </c>
      <c r="K1727" s="5"/>
      <c r="L1727" s="4" t="s">
        <v>27</v>
      </c>
      <c r="M1727" s="8" t="s">
        <v>79</v>
      </c>
      <c r="N1727" s="9" t="s">
        <v>6306</v>
      </c>
      <c r="O1727" s="5"/>
      <c r="P1727" s="5"/>
      <c r="Q1727" s="6" t="s">
        <v>30</v>
      </c>
      <c r="R1727" s="4" t="s">
        <v>31</v>
      </c>
      <c r="S1727" s="7" t="s">
        <v>32</v>
      </c>
      <c r="T1727" s="5"/>
    </row>
    <row r="1728" customFormat="false" ht="29.25" hidden="false" customHeight="true" outlineLevel="0" collapsed="false">
      <c r="A1728" s="4" t="n">
        <v>1727</v>
      </c>
      <c r="B1728" s="6" t="s">
        <v>1787</v>
      </c>
      <c r="C1728" s="6" t="s">
        <v>5766</v>
      </c>
      <c r="D1728" s="6" t="s">
        <v>5767</v>
      </c>
      <c r="E1728" s="7" t="s">
        <v>21</v>
      </c>
      <c r="F1728" s="6" t="s">
        <v>6332</v>
      </c>
      <c r="G1728" s="5" t="s">
        <v>6333</v>
      </c>
      <c r="H1728" s="5" t="s">
        <v>6334</v>
      </c>
      <c r="I1728" s="5" t="s">
        <v>6335</v>
      </c>
      <c r="J1728" s="5" t="s">
        <v>6336</v>
      </c>
      <c r="K1728" s="5"/>
      <c r="L1728" s="4" t="s">
        <v>44</v>
      </c>
      <c r="M1728" s="8" t="s">
        <v>79</v>
      </c>
      <c r="N1728" s="9" t="s">
        <v>5773</v>
      </c>
      <c r="O1728" s="5"/>
      <c r="P1728" s="5"/>
      <c r="Q1728" s="6" t="s">
        <v>30</v>
      </c>
      <c r="R1728" s="4" t="s">
        <v>31</v>
      </c>
      <c r="S1728" s="7" t="s">
        <v>32</v>
      </c>
      <c r="T1728" s="5"/>
    </row>
    <row r="1729" customFormat="false" ht="29.25" hidden="false" customHeight="true" outlineLevel="0" collapsed="false">
      <c r="A1729" s="4" t="n">
        <v>1728</v>
      </c>
      <c r="B1729" s="6" t="s">
        <v>1787</v>
      </c>
      <c r="C1729" s="6" t="s">
        <v>5766</v>
      </c>
      <c r="D1729" s="6" t="s">
        <v>5767</v>
      </c>
      <c r="E1729" s="7" t="s">
        <v>21</v>
      </c>
      <c r="F1729" s="6" t="s">
        <v>6337</v>
      </c>
      <c r="G1729" s="5" t="s">
        <v>6338</v>
      </c>
      <c r="H1729" s="5" t="s">
        <v>6339</v>
      </c>
      <c r="I1729" s="5" t="s">
        <v>6336</v>
      </c>
      <c r="J1729" s="5" t="s">
        <v>6335</v>
      </c>
      <c r="K1729" s="5"/>
      <c r="L1729" s="4" t="s">
        <v>51</v>
      </c>
      <c r="M1729" s="8" t="s">
        <v>79</v>
      </c>
      <c r="N1729" s="9" t="s">
        <v>5773</v>
      </c>
      <c r="O1729" s="5"/>
      <c r="P1729" s="5"/>
      <c r="Q1729" s="6" t="s">
        <v>30</v>
      </c>
      <c r="R1729" s="4" t="s">
        <v>31</v>
      </c>
      <c r="S1729" s="7" t="s">
        <v>32</v>
      </c>
      <c r="T1729" s="5"/>
    </row>
    <row r="1730" customFormat="false" ht="29.25" hidden="false" customHeight="true" outlineLevel="0" collapsed="false">
      <c r="A1730" s="4" t="n">
        <v>1729</v>
      </c>
      <c r="B1730" s="6" t="s">
        <v>1787</v>
      </c>
      <c r="C1730" s="6" t="s">
        <v>5766</v>
      </c>
      <c r="D1730" s="6" t="s">
        <v>5767</v>
      </c>
      <c r="E1730" s="7" t="s">
        <v>21</v>
      </c>
      <c r="F1730" s="6" t="s">
        <v>6340</v>
      </c>
      <c r="G1730" s="5" t="s">
        <v>6338</v>
      </c>
      <c r="H1730" s="5" t="s">
        <v>6341</v>
      </c>
      <c r="I1730" s="5" t="s">
        <v>6336</v>
      </c>
      <c r="J1730" s="5" t="s">
        <v>6339</v>
      </c>
      <c r="K1730" s="5"/>
      <c r="L1730" s="4" t="s">
        <v>62</v>
      </c>
      <c r="M1730" s="8" t="s">
        <v>79</v>
      </c>
      <c r="N1730" s="9" t="s">
        <v>5773</v>
      </c>
      <c r="O1730" s="5"/>
      <c r="P1730" s="5"/>
      <c r="Q1730" s="6" t="s">
        <v>30</v>
      </c>
      <c r="R1730" s="4" t="s">
        <v>31</v>
      </c>
      <c r="S1730" s="7" t="s">
        <v>32</v>
      </c>
      <c r="T1730" s="5"/>
    </row>
    <row r="1731" customFormat="false" ht="29.25" hidden="false" customHeight="true" outlineLevel="0" collapsed="false">
      <c r="A1731" s="4" t="n">
        <v>1730</v>
      </c>
      <c r="B1731" s="6" t="s">
        <v>1787</v>
      </c>
      <c r="C1731" s="6" t="s">
        <v>5766</v>
      </c>
      <c r="D1731" s="6" t="s">
        <v>5767</v>
      </c>
      <c r="E1731" s="7" t="s">
        <v>21</v>
      </c>
      <c r="F1731" s="6" t="s">
        <v>6342</v>
      </c>
      <c r="G1731" s="5" t="s">
        <v>6343</v>
      </c>
      <c r="H1731" s="5" t="s">
        <v>6344</v>
      </c>
      <c r="I1731" s="5" t="s">
        <v>6345</v>
      </c>
      <c r="J1731" s="5" t="s">
        <v>6346</v>
      </c>
      <c r="K1731" s="5"/>
      <c r="L1731" s="4" t="s">
        <v>27</v>
      </c>
      <c r="M1731" s="8" t="s">
        <v>129</v>
      </c>
      <c r="N1731" s="9" t="s">
        <v>5773</v>
      </c>
      <c r="O1731" s="5"/>
      <c r="P1731" s="5"/>
      <c r="Q1731" s="6" t="s">
        <v>30</v>
      </c>
      <c r="R1731" s="4" t="s">
        <v>31</v>
      </c>
      <c r="S1731" s="7" t="s">
        <v>32</v>
      </c>
      <c r="T1731" s="5"/>
    </row>
    <row r="1732" customFormat="false" ht="29.25" hidden="false" customHeight="true" outlineLevel="0" collapsed="false">
      <c r="A1732" s="4" t="n">
        <v>1731</v>
      </c>
      <c r="B1732" s="6" t="s">
        <v>1787</v>
      </c>
      <c r="C1732" s="6" t="s">
        <v>5766</v>
      </c>
      <c r="D1732" s="6" t="s">
        <v>5767</v>
      </c>
      <c r="E1732" s="7" t="s">
        <v>21</v>
      </c>
      <c r="F1732" s="6" t="s">
        <v>6347</v>
      </c>
      <c r="G1732" s="6" t="s">
        <v>6348</v>
      </c>
      <c r="H1732" s="6" t="s">
        <v>6349</v>
      </c>
      <c r="I1732" s="6" t="s">
        <v>6350</v>
      </c>
      <c r="J1732" s="6" t="s">
        <v>6351</v>
      </c>
      <c r="K1732" s="5"/>
      <c r="L1732" s="4" t="s">
        <v>44</v>
      </c>
      <c r="M1732" s="8" t="s">
        <v>79</v>
      </c>
      <c r="N1732" s="9" t="s">
        <v>5773</v>
      </c>
      <c r="O1732" s="5"/>
      <c r="P1732" s="5"/>
      <c r="Q1732" s="6" t="s">
        <v>30</v>
      </c>
      <c r="R1732" s="4" t="s">
        <v>31</v>
      </c>
      <c r="S1732" s="7" t="s">
        <v>32</v>
      </c>
      <c r="T1732" s="5"/>
    </row>
    <row r="1733" customFormat="false" ht="29.25" hidden="false" customHeight="true" outlineLevel="0" collapsed="false">
      <c r="A1733" s="4" t="n">
        <v>1732</v>
      </c>
      <c r="B1733" s="6" t="s">
        <v>1787</v>
      </c>
      <c r="C1733" s="6" t="s">
        <v>5766</v>
      </c>
      <c r="D1733" s="6" t="s">
        <v>5767</v>
      </c>
      <c r="E1733" s="7" t="s">
        <v>21</v>
      </c>
      <c r="F1733" s="6" t="s">
        <v>6352</v>
      </c>
      <c r="G1733" s="6" t="s">
        <v>6353</v>
      </c>
      <c r="H1733" s="6" t="s">
        <v>6354</v>
      </c>
      <c r="I1733" s="6" t="s">
        <v>6355</v>
      </c>
      <c r="J1733" s="6" t="s">
        <v>6356</v>
      </c>
      <c r="K1733" s="5"/>
      <c r="L1733" s="4" t="s">
        <v>44</v>
      </c>
      <c r="M1733" s="8" t="s">
        <v>28</v>
      </c>
      <c r="N1733" s="9" t="s">
        <v>5773</v>
      </c>
      <c r="O1733" s="5"/>
      <c r="P1733" s="5"/>
      <c r="Q1733" s="6" t="s">
        <v>30</v>
      </c>
      <c r="R1733" s="4" t="s">
        <v>31</v>
      </c>
      <c r="S1733" s="7" t="s">
        <v>32</v>
      </c>
      <c r="T1733" s="5"/>
    </row>
    <row r="1734" customFormat="false" ht="29.25" hidden="false" customHeight="true" outlineLevel="0" collapsed="false">
      <c r="A1734" s="4" t="n">
        <v>1733</v>
      </c>
      <c r="B1734" s="6" t="s">
        <v>1787</v>
      </c>
      <c r="C1734" s="6" t="s">
        <v>5766</v>
      </c>
      <c r="D1734" s="6" t="s">
        <v>5767</v>
      </c>
      <c r="E1734" s="7" t="s">
        <v>21</v>
      </c>
      <c r="F1734" s="6" t="s">
        <v>6357</v>
      </c>
      <c r="G1734" s="6" t="s">
        <v>6216</v>
      </c>
      <c r="H1734" s="6" t="s">
        <v>6218</v>
      </c>
      <c r="I1734" s="6" t="s">
        <v>6217</v>
      </c>
      <c r="J1734" s="6" t="s">
        <v>6219</v>
      </c>
      <c r="K1734" s="5"/>
      <c r="L1734" s="4" t="s">
        <v>27</v>
      </c>
      <c r="M1734" s="8" t="s">
        <v>28</v>
      </c>
      <c r="N1734" s="9" t="s">
        <v>5773</v>
      </c>
      <c r="O1734" s="5"/>
      <c r="P1734" s="5"/>
      <c r="Q1734" s="6" t="s">
        <v>30</v>
      </c>
      <c r="R1734" s="4" t="s">
        <v>31</v>
      </c>
      <c r="S1734" s="7" t="s">
        <v>32</v>
      </c>
      <c r="T1734" s="5"/>
    </row>
    <row r="1735" customFormat="false" ht="29.25" hidden="false" customHeight="true" outlineLevel="0" collapsed="false">
      <c r="A1735" s="4" t="n">
        <v>1734</v>
      </c>
      <c r="B1735" s="6" t="s">
        <v>1787</v>
      </c>
      <c r="C1735" s="6" t="s">
        <v>5766</v>
      </c>
      <c r="D1735" s="6" t="s">
        <v>5767</v>
      </c>
      <c r="E1735" s="7" t="s">
        <v>21</v>
      </c>
      <c r="F1735" s="6" t="s">
        <v>6358</v>
      </c>
      <c r="G1735" s="6" t="s">
        <v>6359</v>
      </c>
      <c r="H1735" s="6" t="s">
        <v>6360</v>
      </c>
      <c r="I1735" s="6" t="s">
        <v>6361</v>
      </c>
      <c r="J1735" s="6" t="s">
        <v>6362</v>
      </c>
      <c r="K1735" s="5"/>
      <c r="L1735" s="4" t="s">
        <v>27</v>
      </c>
      <c r="M1735" s="8" t="s">
        <v>129</v>
      </c>
      <c r="N1735" s="9" t="s">
        <v>5773</v>
      </c>
      <c r="O1735" s="5"/>
      <c r="P1735" s="5"/>
      <c r="Q1735" s="6" t="s">
        <v>30</v>
      </c>
      <c r="R1735" s="4" t="s">
        <v>31</v>
      </c>
      <c r="S1735" s="7" t="s">
        <v>32</v>
      </c>
      <c r="T1735" s="5"/>
    </row>
    <row r="1736" customFormat="false" ht="86.25" hidden="false" customHeight="true" outlineLevel="0" collapsed="false">
      <c r="A1736" s="4" t="n">
        <v>1735</v>
      </c>
      <c r="B1736" s="6" t="s">
        <v>1787</v>
      </c>
      <c r="C1736" s="6" t="s">
        <v>5766</v>
      </c>
      <c r="D1736" s="6" t="s">
        <v>5767</v>
      </c>
      <c r="E1736" s="7" t="s">
        <v>21</v>
      </c>
      <c r="F1736" s="6" t="s">
        <v>6363</v>
      </c>
      <c r="G1736" s="6" t="s">
        <v>6364</v>
      </c>
      <c r="H1736" s="6" t="s">
        <v>6365</v>
      </c>
      <c r="I1736" s="6" t="s">
        <v>6366</v>
      </c>
      <c r="J1736" s="6" t="s">
        <v>6367</v>
      </c>
      <c r="K1736" s="5"/>
      <c r="L1736" s="4" t="s">
        <v>51</v>
      </c>
      <c r="M1736" s="8" t="s">
        <v>28</v>
      </c>
      <c r="N1736" s="9" t="s">
        <v>5789</v>
      </c>
      <c r="O1736" s="5"/>
      <c r="P1736" s="5"/>
      <c r="Q1736" s="6" t="s">
        <v>30</v>
      </c>
      <c r="R1736" s="4" t="s">
        <v>31</v>
      </c>
      <c r="S1736" s="7" t="s">
        <v>32</v>
      </c>
      <c r="T1736" s="5"/>
    </row>
    <row r="1737" customFormat="false" ht="57.75" hidden="false" customHeight="true" outlineLevel="0" collapsed="false">
      <c r="A1737" s="4" t="n">
        <v>1736</v>
      </c>
      <c r="B1737" s="6" t="s">
        <v>1787</v>
      </c>
      <c r="C1737" s="6" t="s">
        <v>5766</v>
      </c>
      <c r="D1737" s="6" t="s">
        <v>5767</v>
      </c>
      <c r="E1737" s="7" t="s">
        <v>21</v>
      </c>
      <c r="F1737" s="6" t="s">
        <v>6368</v>
      </c>
      <c r="G1737" s="5" t="s">
        <v>6369</v>
      </c>
      <c r="H1737" s="6" t="s">
        <v>6370</v>
      </c>
      <c r="I1737" s="6" t="s">
        <v>6371</v>
      </c>
      <c r="J1737" s="6" t="s">
        <v>6372</v>
      </c>
      <c r="K1737" s="5"/>
      <c r="L1737" s="4" t="s">
        <v>62</v>
      </c>
      <c r="M1737" s="8" t="s">
        <v>28</v>
      </c>
      <c r="N1737" s="9" t="s">
        <v>5773</v>
      </c>
      <c r="O1737" s="5"/>
      <c r="P1737" s="5"/>
      <c r="Q1737" s="6" t="s">
        <v>30</v>
      </c>
      <c r="R1737" s="4" t="s">
        <v>31</v>
      </c>
      <c r="S1737" s="7" t="s">
        <v>32</v>
      </c>
      <c r="T1737" s="5"/>
    </row>
    <row r="1738" customFormat="false" ht="43.5" hidden="false" customHeight="true" outlineLevel="0" collapsed="false">
      <c r="A1738" s="4" t="n">
        <v>1737</v>
      </c>
      <c r="B1738" s="6" t="s">
        <v>1787</v>
      </c>
      <c r="C1738" s="6" t="s">
        <v>5766</v>
      </c>
      <c r="D1738" s="6" t="s">
        <v>5767</v>
      </c>
      <c r="E1738" s="7" t="s">
        <v>21</v>
      </c>
      <c r="F1738" s="6" t="s">
        <v>6373</v>
      </c>
      <c r="G1738" s="6" t="s">
        <v>6374</v>
      </c>
      <c r="H1738" s="6" t="s">
        <v>6375</v>
      </c>
      <c r="I1738" s="6" t="s">
        <v>6376</v>
      </c>
      <c r="J1738" s="6" t="s">
        <v>6377</v>
      </c>
      <c r="K1738" s="5"/>
      <c r="L1738" s="4" t="s">
        <v>62</v>
      </c>
      <c r="M1738" s="8" t="s">
        <v>28</v>
      </c>
      <c r="N1738" s="9" t="s">
        <v>5789</v>
      </c>
      <c r="O1738" s="5"/>
      <c r="P1738" s="5"/>
      <c r="Q1738" s="6" t="s">
        <v>30</v>
      </c>
      <c r="R1738" s="4" t="s">
        <v>31</v>
      </c>
      <c r="S1738" s="7" t="s">
        <v>32</v>
      </c>
      <c r="T1738" s="5"/>
    </row>
    <row r="1739" customFormat="false" ht="29.25" hidden="false" customHeight="true" outlineLevel="0" collapsed="false">
      <c r="A1739" s="4" t="n">
        <v>1738</v>
      </c>
      <c r="B1739" s="6" t="s">
        <v>1787</v>
      </c>
      <c r="C1739" s="6" t="s">
        <v>5766</v>
      </c>
      <c r="D1739" s="6" t="s">
        <v>5767</v>
      </c>
      <c r="E1739" s="7" t="s">
        <v>21</v>
      </c>
      <c r="F1739" s="6" t="s">
        <v>6378</v>
      </c>
      <c r="G1739" s="6" t="s">
        <v>6379</v>
      </c>
      <c r="H1739" s="6" t="s">
        <v>6380</v>
      </c>
      <c r="I1739" s="6" t="s">
        <v>6381</v>
      </c>
      <c r="J1739" s="6" t="s">
        <v>6382</v>
      </c>
      <c r="K1739" s="5"/>
      <c r="L1739" s="4" t="s">
        <v>27</v>
      </c>
      <c r="M1739" s="8" t="s">
        <v>129</v>
      </c>
      <c r="N1739" s="9" t="s">
        <v>5773</v>
      </c>
      <c r="O1739" s="5"/>
      <c r="P1739" s="5"/>
      <c r="Q1739" s="6" t="s">
        <v>30</v>
      </c>
      <c r="R1739" s="4" t="s">
        <v>31</v>
      </c>
      <c r="S1739" s="7" t="s">
        <v>32</v>
      </c>
      <c r="T1739" s="5"/>
    </row>
    <row r="1740" customFormat="false" ht="29.25" hidden="false" customHeight="true" outlineLevel="0" collapsed="false">
      <c r="A1740" s="4" t="n">
        <v>1739</v>
      </c>
      <c r="B1740" s="6" t="s">
        <v>1787</v>
      </c>
      <c r="C1740" s="6" t="s">
        <v>6383</v>
      </c>
      <c r="D1740" s="6" t="s">
        <v>6384</v>
      </c>
      <c r="E1740" s="7" t="s">
        <v>21</v>
      </c>
      <c r="F1740" s="6" t="s">
        <v>6385</v>
      </c>
      <c r="G1740" s="5" t="s">
        <v>831</v>
      </c>
      <c r="H1740" s="5" t="s">
        <v>832</v>
      </c>
      <c r="I1740" s="5" t="s">
        <v>868</v>
      </c>
      <c r="J1740" s="5" t="s">
        <v>6386</v>
      </c>
      <c r="K1740" s="5"/>
      <c r="L1740" s="4" t="s">
        <v>44</v>
      </c>
      <c r="M1740" s="8" t="s">
        <v>79</v>
      </c>
      <c r="N1740" s="9" t="s">
        <v>6387</v>
      </c>
      <c r="O1740" s="5"/>
      <c r="P1740" s="5"/>
      <c r="Q1740" s="6" t="s">
        <v>30</v>
      </c>
      <c r="R1740" s="4" t="s">
        <v>31</v>
      </c>
      <c r="S1740" s="7" t="s">
        <v>32</v>
      </c>
      <c r="T1740" s="5"/>
    </row>
    <row r="1741" customFormat="false" ht="29.25" hidden="false" customHeight="true" outlineLevel="0" collapsed="false">
      <c r="A1741" s="4" t="n">
        <v>1740</v>
      </c>
      <c r="B1741" s="6" t="s">
        <v>1787</v>
      </c>
      <c r="C1741" s="6" t="s">
        <v>6383</v>
      </c>
      <c r="D1741" s="6" t="s">
        <v>6384</v>
      </c>
      <c r="E1741" s="7" t="s">
        <v>21</v>
      </c>
      <c r="F1741" s="6" t="s">
        <v>6388</v>
      </c>
      <c r="G1741" s="6" t="s">
        <v>6389</v>
      </c>
      <c r="H1741" s="6" t="s">
        <v>210</v>
      </c>
      <c r="I1741" s="5" t="s">
        <v>6390</v>
      </c>
      <c r="J1741" s="6" t="s">
        <v>6391</v>
      </c>
      <c r="K1741" s="5"/>
      <c r="L1741" s="4" t="s">
        <v>62</v>
      </c>
      <c r="M1741" s="8" t="s">
        <v>79</v>
      </c>
      <c r="N1741" s="9" t="s">
        <v>6387</v>
      </c>
      <c r="O1741" s="5"/>
      <c r="P1741" s="5"/>
      <c r="Q1741" s="6" t="s">
        <v>30</v>
      </c>
      <c r="R1741" s="4" t="s">
        <v>31</v>
      </c>
      <c r="S1741" s="7" t="s">
        <v>32</v>
      </c>
      <c r="T1741" s="5"/>
    </row>
    <row r="1742" customFormat="false" ht="29.25" hidden="false" customHeight="true" outlineLevel="0" collapsed="false">
      <c r="A1742" s="4" t="n">
        <v>1741</v>
      </c>
      <c r="B1742" s="6" t="s">
        <v>1787</v>
      </c>
      <c r="C1742" s="6" t="s">
        <v>6383</v>
      </c>
      <c r="D1742" s="6" t="s">
        <v>6384</v>
      </c>
      <c r="E1742" s="7" t="s">
        <v>21</v>
      </c>
      <c r="F1742" s="6" t="s">
        <v>6392</v>
      </c>
      <c r="G1742" s="6" t="s">
        <v>6393</v>
      </c>
      <c r="H1742" s="6" t="s">
        <v>6394</v>
      </c>
      <c r="I1742" s="6" t="s">
        <v>6395</v>
      </c>
      <c r="J1742" s="6" t="s">
        <v>6396</v>
      </c>
      <c r="K1742" s="5"/>
      <c r="L1742" s="4" t="s">
        <v>44</v>
      </c>
      <c r="M1742" s="8" t="s">
        <v>79</v>
      </c>
      <c r="N1742" s="9" t="s">
        <v>6387</v>
      </c>
      <c r="O1742" s="5"/>
      <c r="P1742" s="5"/>
      <c r="Q1742" s="6" t="s">
        <v>30</v>
      </c>
      <c r="R1742" s="4" t="s">
        <v>31</v>
      </c>
      <c r="S1742" s="7" t="s">
        <v>32</v>
      </c>
      <c r="T1742" s="5"/>
    </row>
    <row r="1743" customFormat="false" ht="29.25" hidden="false" customHeight="true" outlineLevel="0" collapsed="false">
      <c r="A1743" s="4" t="n">
        <v>1742</v>
      </c>
      <c r="B1743" s="6" t="s">
        <v>1787</v>
      </c>
      <c r="C1743" s="6" t="s">
        <v>6383</v>
      </c>
      <c r="D1743" s="6" t="s">
        <v>6384</v>
      </c>
      <c r="E1743" s="7" t="s">
        <v>21</v>
      </c>
      <c r="F1743" s="6" t="s">
        <v>6397</v>
      </c>
      <c r="G1743" s="6" t="s">
        <v>6398</v>
      </c>
      <c r="H1743" s="6" t="s">
        <v>6399</v>
      </c>
      <c r="I1743" s="6" t="s">
        <v>6400</v>
      </c>
      <c r="J1743" s="6" t="s">
        <v>6401</v>
      </c>
      <c r="K1743" s="5"/>
      <c r="L1743" s="4" t="s">
        <v>44</v>
      </c>
      <c r="M1743" s="8" t="s">
        <v>79</v>
      </c>
      <c r="N1743" s="9" t="s">
        <v>6387</v>
      </c>
      <c r="O1743" s="5"/>
      <c r="P1743" s="5"/>
      <c r="Q1743" s="6" t="s">
        <v>30</v>
      </c>
      <c r="R1743" s="4" t="s">
        <v>31</v>
      </c>
      <c r="S1743" s="7" t="s">
        <v>32</v>
      </c>
      <c r="T1743" s="5"/>
    </row>
    <row r="1744" customFormat="false" ht="29.25" hidden="false" customHeight="true" outlineLevel="0" collapsed="false">
      <c r="A1744" s="4" t="n">
        <v>1743</v>
      </c>
      <c r="B1744" s="6" t="s">
        <v>1787</v>
      </c>
      <c r="C1744" s="6" t="s">
        <v>6383</v>
      </c>
      <c r="D1744" s="6" t="s">
        <v>6384</v>
      </c>
      <c r="E1744" s="7" t="s">
        <v>21</v>
      </c>
      <c r="F1744" s="6" t="s">
        <v>6402</v>
      </c>
      <c r="G1744" s="6" t="s">
        <v>6403</v>
      </c>
      <c r="H1744" s="6" t="s">
        <v>6404</v>
      </c>
      <c r="I1744" s="6" t="s">
        <v>6405</v>
      </c>
      <c r="J1744" s="6" t="s">
        <v>6406</v>
      </c>
      <c r="K1744" s="5"/>
      <c r="L1744" s="4" t="s">
        <v>51</v>
      </c>
      <c r="M1744" s="8" t="s">
        <v>79</v>
      </c>
      <c r="N1744" s="9" t="s">
        <v>6387</v>
      </c>
      <c r="O1744" s="5"/>
      <c r="P1744" s="5"/>
      <c r="Q1744" s="6" t="s">
        <v>30</v>
      </c>
      <c r="R1744" s="4" t="s">
        <v>31</v>
      </c>
      <c r="S1744" s="7" t="s">
        <v>32</v>
      </c>
      <c r="T1744" s="5"/>
    </row>
    <row r="1745" customFormat="false" ht="29.25" hidden="false" customHeight="true" outlineLevel="0" collapsed="false">
      <c r="A1745" s="4" t="n">
        <v>1744</v>
      </c>
      <c r="B1745" s="6" t="s">
        <v>1787</v>
      </c>
      <c r="C1745" s="6" t="s">
        <v>6383</v>
      </c>
      <c r="D1745" s="6" t="s">
        <v>6384</v>
      </c>
      <c r="E1745" s="7" t="s">
        <v>21</v>
      </c>
      <c r="F1745" s="6" t="s">
        <v>6407</v>
      </c>
      <c r="G1745" s="6" t="s">
        <v>6403</v>
      </c>
      <c r="H1745" s="6" t="s">
        <v>6405</v>
      </c>
      <c r="I1745" s="6" t="s">
        <v>6406</v>
      </c>
      <c r="J1745" s="6" t="s">
        <v>6404</v>
      </c>
      <c r="K1745" s="5"/>
      <c r="L1745" s="4" t="s">
        <v>44</v>
      </c>
      <c r="M1745" s="8" t="s">
        <v>79</v>
      </c>
      <c r="N1745" s="9" t="s">
        <v>6387</v>
      </c>
      <c r="O1745" s="5"/>
      <c r="P1745" s="5"/>
      <c r="Q1745" s="6" t="s">
        <v>30</v>
      </c>
      <c r="R1745" s="4" t="s">
        <v>31</v>
      </c>
      <c r="S1745" s="7" t="s">
        <v>32</v>
      </c>
      <c r="T1745" s="5"/>
    </row>
    <row r="1746" customFormat="false" ht="29.25" hidden="false" customHeight="true" outlineLevel="0" collapsed="false">
      <c r="A1746" s="4" t="n">
        <v>1745</v>
      </c>
      <c r="B1746" s="6" t="s">
        <v>1787</v>
      </c>
      <c r="C1746" s="6" t="s">
        <v>6383</v>
      </c>
      <c r="D1746" s="6" t="s">
        <v>6384</v>
      </c>
      <c r="E1746" s="7" t="s">
        <v>21</v>
      </c>
      <c r="F1746" s="6" t="s">
        <v>6408</v>
      </c>
      <c r="G1746" s="6" t="s">
        <v>6406</v>
      </c>
      <c r="H1746" s="6" t="s">
        <v>6405</v>
      </c>
      <c r="I1746" s="6" t="s">
        <v>6404</v>
      </c>
      <c r="J1746" s="6" t="s">
        <v>6403</v>
      </c>
      <c r="K1746" s="5"/>
      <c r="L1746" s="4" t="s">
        <v>62</v>
      </c>
      <c r="M1746" s="8" t="s">
        <v>79</v>
      </c>
      <c r="N1746" s="9" t="s">
        <v>6387</v>
      </c>
      <c r="O1746" s="5"/>
      <c r="P1746" s="5"/>
      <c r="Q1746" s="6" t="s">
        <v>30</v>
      </c>
      <c r="R1746" s="4" t="s">
        <v>31</v>
      </c>
      <c r="S1746" s="7" t="s">
        <v>32</v>
      </c>
      <c r="T1746" s="5"/>
    </row>
    <row r="1747" customFormat="false" ht="29.25" hidden="false" customHeight="true" outlineLevel="0" collapsed="false">
      <c r="A1747" s="4" t="n">
        <v>1746</v>
      </c>
      <c r="B1747" s="6" t="s">
        <v>1787</v>
      </c>
      <c r="C1747" s="6" t="s">
        <v>6383</v>
      </c>
      <c r="D1747" s="6" t="s">
        <v>6384</v>
      </c>
      <c r="E1747" s="7" t="s">
        <v>21</v>
      </c>
      <c r="F1747" s="6" t="s">
        <v>6409</v>
      </c>
      <c r="G1747" s="6" t="s">
        <v>6410</v>
      </c>
      <c r="H1747" s="6" t="s">
        <v>6405</v>
      </c>
      <c r="I1747" s="6" t="s">
        <v>6411</v>
      </c>
      <c r="J1747" s="6" t="s">
        <v>6412</v>
      </c>
      <c r="K1747" s="5"/>
      <c r="L1747" s="4" t="s">
        <v>51</v>
      </c>
      <c r="M1747" s="8" t="s">
        <v>129</v>
      </c>
      <c r="N1747" s="9" t="s">
        <v>6387</v>
      </c>
      <c r="O1747" s="5"/>
      <c r="P1747" s="5"/>
      <c r="Q1747" s="6" t="s">
        <v>30</v>
      </c>
      <c r="R1747" s="4" t="s">
        <v>31</v>
      </c>
      <c r="S1747" s="7" t="s">
        <v>32</v>
      </c>
      <c r="T1747" s="5"/>
    </row>
    <row r="1748" customFormat="false" ht="57.75" hidden="false" customHeight="true" outlineLevel="0" collapsed="false">
      <c r="A1748" s="4" t="n">
        <v>1747</v>
      </c>
      <c r="B1748" s="6" t="s">
        <v>1787</v>
      </c>
      <c r="C1748" s="6" t="s">
        <v>6383</v>
      </c>
      <c r="D1748" s="6" t="s">
        <v>6384</v>
      </c>
      <c r="E1748" s="7" t="s">
        <v>21</v>
      </c>
      <c r="F1748" s="6" t="s">
        <v>6413</v>
      </c>
      <c r="G1748" s="6" t="s">
        <v>6414</v>
      </c>
      <c r="H1748" s="6" t="s">
        <v>4244</v>
      </c>
      <c r="I1748" s="6" t="s">
        <v>6415</v>
      </c>
      <c r="J1748" s="6" t="s">
        <v>6416</v>
      </c>
      <c r="K1748" s="5"/>
      <c r="L1748" s="4" t="s">
        <v>51</v>
      </c>
      <c r="M1748" s="8" t="s">
        <v>129</v>
      </c>
      <c r="N1748" s="9" t="s">
        <v>6387</v>
      </c>
      <c r="O1748" s="5"/>
      <c r="P1748" s="5"/>
      <c r="Q1748" s="6" t="s">
        <v>30</v>
      </c>
      <c r="R1748" s="4" t="s">
        <v>31</v>
      </c>
      <c r="S1748" s="7" t="s">
        <v>32</v>
      </c>
      <c r="T1748" s="5"/>
    </row>
    <row r="1749" customFormat="false" ht="29.25" hidden="false" customHeight="true" outlineLevel="0" collapsed="false">
      <c r="A1749" s="4" t="n">
        <v>1748</v>
      </c>
      <c r="B1749" s="6" t="s">
        <v>1787</v>
      </c>
      <c r="C1749" s="6" t="s">
        <v>6383</v>
      </c>
      <c r="D1749" s="6" t="s">
        <v>6384</v>
      </c>
      <c r="E1749" s="7" t="s">
        <v>21</v>
      </c>
      <c r="F1749" s="6" t="s">
        <v>6417</v>
      </c>
      <c r="G1749" s="6" t="s">
        <v>1400</v>
      </c>
      <c r="H1749" s="6" t="s">
        <v>6418</v>
      </c>
      <c r="I1749" s="6" t="s">
        <v>6419</v>
      </c>
      <c r="J1749" s="6" t="s">
        <v>6420</v>
      </c>
      <c r="K1749" s="5"/>
      <c r="L1749" s="4" t="s">
        <v>44</v>
      </c>
      <c r="M1749" s="8" t="s">
        <v>79</v>
      </c>
      <c r="N1749" s="9" t="s">
        <v>6421</v>
      </c>
      <c r="O1749" s="5"/>
      <c r="P1749" s="5"/>
      <c r="Q1749" s="6" t="s">
        <v>30</v>
      </c>
      <c r="R1749" s="4" t="s">
        <v>31</v>
      </c>
      <c r="S1749" s="7" t="s">
        <v>32</v>
      </c>
      <c r="T1749" s="5"/>
    </row>
    <row r="1750" customFormat="false" ht="29.25" hidden="false" customHeight="true" outlineLevel="0" collapsed="false">
      <c r="A1750" s="4" t="n">
        <v>1749</v>
      </c>
      <c r="B1750" s="6" t="s">
        <v>1787</v>
      </c>
      <c r="C1750" s="6" t="s">
        <v>6383</v>
      </c>
      <c r="D1750" s="6" t="s">
        <v>6384</v>
      </c>
      <c r="E1750" s="7" t="s">
        <v>21</v>
      </c>
      <c r="F1750" s="6" t="s">
        <v>6422</v>
      </c>
      <c r="G1750" s="6" t="s">
        <v>6423</v>
      </c>
      <c r="H1750" s="6" t="s">
        <v>6424</v>
      </c>
      <c r="I1750" s="6" t="s">
        <v>6425</v>
      </c>
      <c r="J1750" s="6" t="s">
        <v>6426</v>
      </c>
      <c r="K1750" s="5"/>
      <c r="L1750" s="4" t="s">
        <v>51</v>
      </c>
      <c r="M1750" s="8" t="s">
        <v>129</v>
      </c>
      <c r="N1750" s="9" t="s">
        <v>6387</v>
      </c>
      <c r="O1750" s="5"/>
      <c r="P1750" s="5"/>
      <c r="Q1750" s="6" t="s">
        <v>30</v>
      </c>
      <c r="R1750" s="4" t="s">
        <v>31</v>
      </c>
      <c r="S1750" s="7" t="s">
        <v>32</v>
      </c>
      <c r="T1750" s="5"/>
    </row>
    <row r="1751" customFormat="false" ht="29.25" hidden="false" customHeight="true" outlineLevel="0" collapsed="false">
      <c r="A1751" s="4" t="n">
        <v>1750</v>
      </c>
      <c r="B1751" s="6" t="s">
        <v>1787</v>
      </c>
      <c r="C1751" s="6" t="s">
        <v>6383</v>
      </c>
      <c r="D1751" s="6" t="s">
        <v>6384</v>
      </c>
      <c r="E1751" s="7" t="s">
        <v>21</v>
      </c>
      <c r="F1751" s="6" t="s">
        <v>6427</v>
      </c>
      <c r="G1751" s="6" t="s">
        <v>6428</v>
      </c>
      <c r="H1751" s="6" t="s">
        <v>6429</v>
      </c>
      <c r="I1751" s="6" t="s">
        <v>6430</v>
      </c>
      <c r="J1751" s="6" t="s">
        <v>6431</v>
      </c>
      <c r="K1751" s="5"/>
      <c r="L1751" s="4" t="s">
        <v>44</v>
      </c>
      <c r="M1751" s="8" t="s">
        <v>129</v>
      </c>
      <c r="N1751" s="9" t="s">
        <v>6387</v>
      </c>
      <c r="O1751" s="5"/>
      <c r="P1751" s="5"/>
      <c r="Q1751" s="6" t="s">
        <v>30</v>
      </c>
      <c r="R1751" s="4" t="s">
        <v>31</v>
      </c>
      <c r="S1751" s="7" t="s">
        <v>32</v>
      </c>
      <c r="T1751" s="5"/>
    </row>
    <row r="1752" customFormat="false" ht="29.25" hidden="false" customHeight="true" outlineLevel="0" collapsed="false">
      <c r="A1752" s="4" t="n">
        <v>1751</v>
      </c>
      <c r="B1752" s="6" t="s">
        <v>1787</v>
      </c>
      <c r="C1752" s="6" t="s">
        <v>6383</v>
      </c>
      <c r="D1752" s="6" t="s">
        <v>6384</v>
      </c>
      <c r="E1752" s="7" t="s">
        <v>21</v>
      </c>
      <c r="F1752" s="6" t="s">
        <v>6432</v>
      </c>
      <c r="G1752" s="6" t="s">
        <v>6433</v>
      </c>
      <c r="H1752" s="5" t="s">
        <v>6434</v>
      </c>
      <c r="I1752" s="6" t="s">
        <v>6435</v>
      </c>
      <c r="J1752" s="6" t="s">
        <v>6436</v>
      </c>
      <c r="K1752" s="5"/>
      <c r="L1752" s="4" t="s">
        <v>44</v>
      </c>
      <c r="M1752" s="8" t="s">
        <v>79</v>
      </c>
      <c r="N1752" s="9" t="s">
        <v>6387</v>
      </c>
      <c r="O1752" s="5"/>
      <c r="P1752" s="5"/>
      <c r="Q1752" s="6" t="s">
        <v>30</v>
      </c>
      <c r="R1752" s="4" t="s">
        <v>31</v>
      </c>
      <c r="S1752" s="7" t="s">
        <v>32</v>
      </c>
      <c r="T1752" s="5"/>
    </row>
    <row r="1753" customFormat="false" ht="57.75" hidden="false" customHeight="true" outlineLevel="0" collapsed="false">
      <c r="A1753" s="4" t="n">
        <v>1752</v>
      </c>
      <c r="B1753" s="6" t="s">
        <v>1787</v>
      </c>
      <c r="C1753" s="6" t="s">
        <v>6383</v>
      </c>
      <c r="D1753" s="6" t="s">
        <v>6384</v>
      </c>
      <c r="E1753" s="7" t="s">
        <v>21</v>
      </c>
      <c r="F1753" s="6" t="s">
        <v>6437</v>
      </c>
      <c r="G1753" s="6" t="s">
        <v>6438</v>
      </c>
      <c r="H1753" s="6" t="s">
        <v>6439</v>
      </c>
      <c r="I1753" s="6" t="s">
        <v>6440</v>
      </c>
      <c r="J1753" s="6" t="s">
        <v>6441</v>
      </c>
      <c r="K1753" s="5"/>
      <c r="L1753" s="4" t="s">
        <v>51</v>
      </c>
      <c r="M1753" s="8" t="s">
        <v>79</v>
      </c>
      <c r="N1753" s="9" t="s">
        <v>6387</v>
      </c>
      <c r="O1753" s="5"/>
      <c r="P1753" s="5"/>
      <c r="Q1753" s="6" t="s">
        <v>30</v>
      </c>
      <c r="R1753" s="4" t="s">
        <v>31</v>
      </c>
      <c r="S1753" s="7" t="s">
        <v>32</v>
      </c>
      <c r="T1753" s="5"/>
    </row>
    <row r="1754" customFormat="false" ht="29.25" hidden="false" customHeight="true" outlineLevel="0" collapsed="false">
      <c r="A1754" s="4" t="n">
        <v>1753</v>
      </c>
      <c r="B1754" s="6" t="s">
        <v>1787</v>
      </c>
      <c r="C1754" s="6" t="s">
        <v>6383</v>
      </c>
      <c r="D1754" s="6" t="s">
        <v>6384</v>
      </c>
      <c r="E1754" s="7" t="s">
        <v>21</v>
      </c>
      <c r="F1754" s="6" t="s">
        <v>6442</v>
      </c>
      <c r="G1754" s="6" t="s">
        <v>6443</v>
      </c>
      <c r="H1754" s="6" t="s">
        <v>6444</v>
      </c>
      <c r="I1754" s="6" t="s">
        <v>6445</v>
      </c>
      <c r="J1754" s="6" t="s">
        <v>6446</v>
      </c>
      <c r="K1754" s="5"/>
      <c r="L1754" s="4" t="s">
        <v>44</v>
      </c>
      <c r="M1754" s="8" t="s">
        <v>79</v>
      </c>
      <c r="N1754" s="9" t="s">
        <v>6387</v>
      </c>
      <c r="O1754" s="5"/>
      <c r="P1754" s="5"/>
      <c r="Q1754" s="6" t="s">
        <v>30</v>
      </c>
      <c r="R1754" s="4" t="s">
        <v>31</v>
      </c>
      <c r="S1754" s="7" t="s">
        <v>32</v>
      </c>
      <c r="T1754" s="5"/>
    </row>
    <row r="1755" customFormat="false" ht="57.75" hidden="false" customHeight="true" outlineLevel="0" collapsed="false">
      <c r="A1755" s="4" t="n">
        <v>1754</v>
      </c>
      <c r="B1755" s="6" t="s">
        <v>1787</v>
      </c>
      <c r="C1755" s="6" t="s">
        <v>6383</v>
      </c>
      <c r="D1755" s="6" t="s">
        <v>6384</v>
      </c>
      <c r="E1755" s="7" t="s">
        <v>21</v>
      </c>
      <c r="F1755" s="6" t="s">
        <v>6447</v>
      </c>
      <c r="G1755" s="6" t="s">
        <v>6448</v>
      </c>
      <c r="H1755" s="6" t="s">
        <v>6449</v>
      </c>
      <c r="I1755" s="6" t="s">
        <v>3697</v>
      </c>
      <c r="J1755" s="6" t="s">
        <v>6450</v>
      </c>
      <c r="K1755" s="5"/>
      <c r="L1755" s="4" t="s">
        <v>44</v>
      </c>
      <c r="M1755" s="8" t="s">
        <v>28</v>
      </c>
      <c r="N1755" s="9" t="s">
        <v>6387</v>
      </c>
      <c r="O1755" s="5"/>
      <c r="P1755" s="5"/>
      <c r="Q1755" s="6" t="s">
        <v>30</v>
      </c>
      <c r="R1755" s="4" t="s">
        <v>31</v>
      </c>
      <c r="S1755" s="7" t="s">
        <v>32</v>
      </c>
      <c r="T1755" s="5"/>
    </row>
    <row r="1756" customFormat="false" ht="29.25" hidden="false" customHeight="true" outlineLevel="0" collapsed="false">
      <c r="A1756" s="4" t="n">
        <v>1755</v>
      </c>
      <c r="B1756" s="6" t="s">
        <v>1787</v>
      </c>
      <c r="C1756" s="6" t="s">
        <v>6383</v>
      </c>
      <c r="D1756" s="6" t="s">
        <v>6384</v>
      </c>
      <c r="E1756" s="7" t="s">
        <v>21</v>
      </c>
      <c r="F1756" s="6" t="s">
        <v>6451</v>
      </c>
      <c r="G1756" s="6" t="s">
        <v>6452</v>
      </c>
      <c r="H1756" s="6" t="s">
        <v>6453</v>
      </c>
      <c r="I1756" s="6" t="s">
        <v>3994</v>
      </c>
      <c r="J1756" s="6" t="s">
        <v>6405</v>
      </c>
      <c r="K1756" s="5"/>
      <c r="L1756" s="4" t="s">
        <v>51</v>
      </c>
      <c r="M1756" s="8" t="s">
        <v>79</v>
      </c>
      <c r="N1756" s="9" t="s">
        <v>6454</v>
      </c>
      <c r="O1756" s="5"/>
      <c r="P1756" s="5"/>
      <c r="Q1756" s="6" t="s">
        <v>30</v>
      </c>
      <c r="R1756" s="4" t="s">
        <v>31</v>
      </c>
      <c r="S1756" s="7" t="s">
        <v>32</v>
      </c>
      <c r="T1756" s="5"/>
    </row>
    <row r="1757" customFormat="false" ht="29.25" hidden="false" customHeight="true" outlineLevel="0" collapsed="false">
      <c r="A1757" s="4" t="n">
        <v>1756</v>
      </c>
      <c r="B1757" s="6" t="s">
        <v>1787</v>
      </c>
      <c r="C1757" s="6" t="s">
        <v>6383</v>
      </c>
      <c r="D1757" s="6" t="s">
        <v>6384</v>
      </c>
      <c r="E1757" s="7" t="s">
        <v>21</v>
      </c>
      <c r="F1757" s="6" t="s">
        <v>6455</v>
      </c>
      <c r="G1757" s="6" t="s">
        <v>6456</v>
      </c>
      <c r="H1757" s="6" t="s">
        <v>6412</v>
      </c>
      <c r="I1757" s="6" t="s">
        <v>6457</v>
      </c>
      <c r="J1757" s="6" t="s">
        <v>6458</v>
      </c>
      <c r="K1757" s="5"/>
      <c r="L1757" s="4" t="s">
        <v>51</v>
      </c>
      <c r="M1757" s="8" t="s">
        <v>129</v>
      </c>
      <c r="N1757" s="9" t="s">
        <v>6387</v>
      </c>
      <c r="O1757" s="5"/>
      <c r="P1757" s="5"/>
      <c r="Q1757" s="6" t="s">
        <v>30</v>
      </c>
      <c r="R1757" s="4" t="s">
        <v>31</v>
      </c>
      <c r="S1757" s="7" t="s">
        <v>32</v>
      </c>
      <c r="T1757" s="5"/>
    </row>
    <row r="1758" customFormat="false" ht="29.25" hidden="false" customHeight="true" outlineLevel="0" collapsed="false">
      <c r="A1758" s="4" t="n">
        <v>1757</v>
      </c>
      <c r="B1758" s="6" t="s">
        <v>1787</v>
      </c>
      <c r="C1758" s="6" t="s">
        <v>6383</v>
      </c>
      <c r="D1758" s="6" t="s">
        <v>6384</v>
      </c>
      <c r="E1758" s="7" t="s">
        <v>21</v>
      </c>
      <c r="F1758" s="6" t="s">
        <v>6459</v>
      </c>
      <c r="G1758" s="6" t="s">
        <v>6460</v>
      </c>
      <c r="H1758" s="6" t="s">
        <v>6461</v>
      </c>
      <c r="I1758" s="6" t="s">
        <v>6462</v>
      </c>
      <c r="J1758" s="6" t="s">
        <v>78</v>
      </c>
      <c r="K1758" s="5"/>
      <c r="L1758" s="4" t="s">
        <v>44</v>
      </c>
      <c r="M1758" s="8" t="s">
        <v>79</v>
      </c>
      <c r="N1758" s="9" t="s">
        <v>6463</v>
      </c>
      <c r="O1758" s="5"/>
      <c r="P1758" s="5"/>
      <c r="Q1758" s="6" t="s">
        <v>30</v>
      </c>
      <c r="R1758" s="4" t="s">
        <v>31</v>
      </c>
      <c r="S1758" s="7" t="s">
        <v>32</v>
      </c>
      <c r="T1758" s="5"/>
    </row>
    <row r="1759" customFormat="false" ht="29.25" hidden="false" customHeight="true" outlineLevel="0" collapsed="false">
      <c r="A1759" s="4" t="n">
        <v>1758</v>
      </c>
      <c r="B1759" s="6" t="s">
        <v>1787</v>
      </c>
      <c r="C1759" s="6" t="s">
        <v>6383</v>
      </c>
      <c r="D1759" s="6" t="s">
        <v>6384</v>
      </c>
      <c r="E1759" s="7" t="s">
        <v>21</v>
      </c>
      <c r="F1759" s="6" t="s">
        <v>6464</v>
      </c>
      <c r="G1759" s="5" t="s">
        <v>2547</v>
      </c>
      <c r="H1759" s="5" t="s">
        <v>1321</v>
      </c>
      <c r="I1759" s="5" t="s">
        <v>1226</v>
      </c>
      <c r="J1759" s="5" t="s">
        <v>6465</v>
      </c>
      <c r="K1759" s="5"/>
      <c r="L1759" s="4" t="s">
        <v>27</v>
      </c>
      <c r="M1759" s="8" t="s">
        <v>129</v>
      </c>
      <c r="N1759" s="9" t="s">
        <v>6387</v>
      </c>
      <c r="O1759" s="5"/>
      <c r="P1759" s="5"/>
      <c r="Q1759" s="6" t="s">
        <v>30</v>
      </c>
      <c r="R1759" s="4" t="s">
        <v>31</v>
      </c>
      <c r="S1759" s="7" t="s">
        <v>32</v>
      </c>
      <c r="T1759" s="5"/>
    </row>
    <row r="1760" customFormat="false" ht="29.25" hidden="false" customHeight="true" outlineLevel="0" collapsed="false">
      <c r="A1760" s="4" t="n">
        <v>1759</v>
      </c>
      <c r="B1760" s="6" t="s">
        <v>1787</v>
      </c>
      <c r="C1760" s="6" t="s">
        <v>6383</v>
      </c>
      <c r="D1760" s="6" t="s">
        <v>6384</v>
      </c>
      <c r="E1760" s="7" t="s">
        <v>21</v>
      </c>
      <c r="F1760" s="6" t="s">
        <v>6466</v>
      </c>
      <c r="G1760" s="6" t="s">
        <v>6467</v>
      </c>
      <c r="H1760" s="6" t="s">
        <v>6468</v>
      </c>
      <c r="I1760" s="6" t="s">
        <v>6452</v>
      </c>
      <c r="J1760" s="6" t="s">
        <v>78</v>
      </c>
      <c r="K1760" s="5"/>
      <c r="L1760" s="4" t="s">
        <v>44</v>
      </c>
      <c r="M1760" s="8" t="s">
        <v>129</v>
      </c>
      <c r="N1760" s="9" t="s">
        <v>6387</v>
      </c>
      <c r="O1760" s="5"/>
      <c r="P1760" s="5"/>
      <c r="Q1760" s="6" t="s">
        <v>30</v>
      </c>
      <c r="R1760" s="4" t="s">
        <v>31</v>
      </c>
      <c r="S1760" s="7" t="s">
        <v>32</v>
      </c>
      <c r="T1760" s="5"/>
    </row>
    <row r="1761" customFormat="false" ht="29.25" hidden="false" customHeight="true" outlineLevel="0" collapsed="false">
      <c r="A1761" s="4" t="n">
        <v>1760</v>
      </c>
      <c r="B1761" s="6" t="s">
        <v>1787</v>
      </c>
      <c r="C1761" s="6" t="s">
        <v>6383</v>
      </c>
      <c r="D1761" s="6" t="s">
        <v>6384</v>
      </c>
      <c r="E1761" s="7" t="s">
        <v>21</v>
      </c>
      <c r="F1761" s="6" t="s">
        <v>6469</v>
      </c>
      <c r="G1761" s="6" t="s">
        <v>6470</v>
      </c>
      <c r="H1761" s="6" t="s">
        <v>2245</v>
      </c>
      <c r="I1761" s="6" t="s">
        <v>6471</v>
      </c>
      <c r="J1761" s="6" t="s">
        <v>78</v>
      </c>
      <c r="K1761" s="5"/>
      <c r="L1761" s="4" t="s">
        <v>44</v>
      </c>
      <c r="M1761" s="8" t="s">
        <v>79</v>
      </c>
      <c r="N1761" s="9" t="s">
        <v>6387</v>
      </c>
      <c r="O1761" s="5"/>
      <c r="P1761" s="5"/>
      <c r="Q1761" s="6" t="s">
        <v>30</v>
      </c>
      <c r="R1761" s="4" t="s">
        <v>31</v>
      </c>
      <c r="S1761" s="7" t="s">
        <v>32</v>
      </c>
      <c r="T1761" s="5"/>
    </row>
    <row r="1762" customFormat="false" ht="29.25" hidden="false" customHeight="true" outlineLevel="0" collapsed="false">
      <c r="A1762" s="4" t="n">
        <v>1761</v>
      </c>
      <c r="B1762" s="6" t="s">
        <v>1787</v>
      </c>
      <c r="C1762" s="6" t="s">
        <v>6383</v>
      </c>
      <c r="D1762" s="6" t="s">
        <v>6384</v>
      </c>
      <c r="E1762" s="7" t="s">
        <v>21</v>
      </c>
      <c r="F1762" s="6" t="s">
        <v>6472</v>
      </c>
      <c r="G1762" s="6" t="s">
        <v>6473</v>
      </c>
      <c r="H1762" s="6" t="s">
        <v>3654</v>
      </c>
      <c r="I1762" s="6" t="s">
        <v>6474</v>
      </c>
      <c r="J1762" s="6" t="s">
        <v>6475</v>
      </c>
      <c r="K1762" s="5"/>
      <c r="L1762" s="4" t="s">
        <v>44</v>
      </c>
      <c r="M1762" s="8" t="s">
        <v>129</v>
      </c>
      <c r="N1762" s="9" t="s">
        <v>6387</v>
      </c>
      <c r="O1762" s="5"/>
      <c r="P1762" s="5"/>
      <c r="Q1762" s="6" t="s">
        <v>30</v>
      </c>
      <c r="R1762" s="4" t="s">
        <v>31</v>
      </c>
      <c r="S1762" s="7" t="s">
        <v>32</v>
      </c>
      <c r="T1762" s="5"/>
    </row>
    <row r="1763" customFormat="false" ht="43.5" hidden="false" customHeight="true" outlineLevel="0" collapsed="false">
      <c r="A1763" s="4" t="n">
        <v>1762</v>
      </c>
      <c r="B1763" s="6" t="s">
        <v>1787</v>
      </c>
      <c r="C1763" s="6" t="s">
        <v>6383</v>
      </c>
      <c r="D1763" s="6" t="s">
        <v>6384</v>
      </c>
      <c r="E1763" s="7" t="s">
        <v>21</v>
      </c>
      <c r="F1763" s="6" t="s">
        <v>6476</v>
      </c>
      <c r="G1763" s="6" t="s">
        <v>6477</v>
      </c>
      <c r="H1763" s="6" t="s">
        <v>6478</v>
      </c>
      <c r="I1763" s="6" t="s">
        <v>6479</v>
      </c>
      <c r="J1763" s="6" t="s">
        <v>6480</v>
      </c>
      <c r="K1763" s="5"/>
      <c r="L1763" s="4" t="s">
        <v>27</v>
      </c>
      <c r="M1763" s="8" t="s">
        <v>79</v>
      </c>
      <c r="N1763" s="9" t="s">
        <v>6387</v>
      </c>
      <c r="O1763" s="5"/>
      <c r="P1763" s="5"/>
      <c r="Q1763" s="6" t="s">
        <v>30</v>
      </c>
      <c r="R1763" s="4" t="s">
        <v>31</v>
      </c>
      <c r="S1763" s="7" t="s">
        <v>32</v>
      </c>
      <c r="T1763" s="5"/>
    </row>
    <row r="1764" customFormat="false" ht="29.25" hidden="false" customHeight="true" outlineLevel="0" collapsed="false">
      <c r="A1764" s="4" t="n">
        <v>1763</v>
      </c>
      <c r="B1764" s="6" t="s">
        <v>1787</v>
      </c>
      <c r="C1764" s="6" t="s">
        <v>6383</v>
      </c>
      <c r="D1764" s="6" t="s">
        <v>6384</v>
      </c>
      <c r="E1764" s="7" t="s">
        <v>21</v>
      </c>
      <c r="F1764" s="6" t="s">
        <v>6481</v>
      </c>
      <c r="G1764" s="5" t="s">
        <v>1395</v>
      </c>
      <c r="H1764" s="5" t="s">
        <v>6482</v>
      </c>
      <c r="I1764" s="5" t="s">
        <v>1397</v>
      </c>
      <c r="J1764" s="5" t="s">
        <v>6483</v>
      </c>
      <c r="K1764" s="5"/>
      <c r="L1764" s="4" t="s">
        <v>27</v>
      </c>
      <c r="M1764" s="8" t="s">
        <v>129</v>
      </c>
      <c r="N1764" s="9" t="s">
        <v>6387</v>
      </c>
      <c r="O1764" s="5"/>
      <c r="P1764" s="5"/>
      <c r="Q1764" s="6" t="s">
        <v>30</v>
      </c>
      <c r="R1764" s="4" t="s">
        <v>31</v>
      </c>
      <c r="S1764" s="7" t="s">
        <v>32</v>
      </c>
      <c r="T1764" s="5"/>
    </row>
    <row r="1765" customFormat="false" ht="29.25" hidden="false" customHeight="true" outlineLevel="0" collapsed="false">
      <c r="A1765" s="4" t="n">
        <v>1764</v>
      </c>
      <c r="B1765" s="6" t="s">
        <v>1787</v>
      </c>
      <c r="C1765" s="6" t="s">
        <v>6383</v>
      </c>
      <c r="D1765" s="6" t="s">
        <v>6384</v>
      </c>
      <c r="E1765" s="7" t="s">
        <v>21</v>
      </c>
      <c r="F1765" s="6" t="s">
        <v>6484</v>
      </c>
      <c r="G1765" s="6" t="s">
        <v>6485</v>
      </c>
      <c r="H1765" s="6" t="s">
        <v>6486</v>
      </c>
      <c r="I1765" s="6" t="s">
        <v>6487</v>
      </c>
      <c r="J1765" s="6" t="s">
        <v>78</v>
      </c>
      <c r="K1765" s="5"/>
      <c r="L1765" s="4" t="s">
        <v>44</v>
      </c>
      <c r="M1765" s="8" t="s">
        <v>79</v>
      </c>
      <c r="N1765" s="9" t="s">
        <v>6488</v>
      </c>
      <c r="O1765" s="5"/>
      <c r="P1765" s="5"/>
      <c r="Q1765" s="6" t="s">
        <v>30</v>
      </c>
      <c r="R1765" s="4" t="s">
        <v>31</v>
      </c>
      <c r="S1765" s="7" t="s">
        <v>32</v>
      </c>
      <c r="T1765" s="5"/>
    </row>
    <row r="1766" customFormat="false" ht="29.25" hidden="false" customHeight="true" outlineLevel="0" collapsed="false">
      <c r="A1766" s="4" t="n">
        <v>1765</v>
      </c>
      <c r="B1766" s="6" t="s">
        <v>1787</v>
      </c>
      <c r="C1766" s="6" t="s">
        <v>6383</v>
      </c>
      <c r="D1766" s="6" t="s">
        <v>6384</v>
      </c>
      <c r="E1766" s="7" t="s">
        <v>21</v>
      </c>
      <c r="F1766" s="6" t="s">
        <v>6489</v>
      </c>
      <c r="G1766" s="6" t="s">
        <v>6490</v>
      </c>
      <c r="H1766" s="6" t="s">
        <v>6491</v>
      </c>
      <c r="I1766" s="6" t="s">
        <v>6492</v>
      </c>
      <c r="J1766" s="6" t="s">
        <v>6493</v>
      </c>
      <c r="K1766" s="5"/>
      <c r="L1766" s="4" t="s">
        <v>51</v>
      </c>
      <c r="M1766" s="8" t="s">
        <v>79</v>
      </c>
      <c r="N1766" s="9" t="s">
        <v>6387</v>
      </c>
      <c r="O1766" s="5"/>
      <c r="P1766" s="5"/>
      <c r="Q1766" s="6" t="s">
        <v>30</v>
      </c>
      <c r="R1766" s="4" t="s">
        <v>31</v>
      </c>
      <c r="S1766" s="7" t="s">
        <v>32</v>
      </c>
      <c r="T1766" s="5"/>
    </row>
    <row r="1767" customFormat="false" ht="100.5" hidden="false" customHeight="true" outlineLevel="0" collapsed="false">
      <c r="A1767" s="4" t="n">
        <v>1766</v>
      </c>
      <c r="B1767" s="6" t="s">
        <v>1787</v>
      </c>
      <c r="C1767" s="6" t="s">
        <v>6383</v>
      </c>
      <c r="D1767" s="6" t="s">
        <v>6384</v>
      </c>
      <c r="E1767" s="7" t="s">
        <v>21</v>
      </c>
      <c r="F1767" s="6" t="s">
        <v>6494</v>
      </c>
      <c r="G1767" s="5" t="s">
        <v>6495</v>
      </c>
      <c r="H1767" s="5" t="s">
        <v>6496</v>
      </c>
      <c r="I1767" s="5" t="s">
        <v>6497</v>
      </c>
      <c r="J1767" s="5" t="s">
        <v>6498</v>
      </c>
      <c r="K1767" s="5"/>
      <c r="L1767" s="4" t="s">
        <v>51</v>
      </c>
      <c r="M1767" s="8" t="s">
        <v>79</v>
      </c>
      <c r="N1767" s="9" t="s">
        <v>6387</v>
      </c>
      <c r="O1767" s="5"/>
      <c r="P1767" s="5"/>
      <c r="Q1767" s="6" t="s">
        <v>30</v>
      </c>
      <c r="R1767" s="4" t="s">
        <v>31</v>
      </c>
      <c r="S1767" s="7" t="s">
        <v>32</v>
      </c>
      <c r="T1767" s="5"/>
    </row>
    <row r="1768" customFormat="false" ht="29.25" hidden="false" customHeight="true" outlineLevel="0" collapsed="false">
      <c r="A1768" s="4" t="n">
        <v>1767</v>
      </c>
      <c r="B1768" s="6" t="s">
        <v>1787</v>
      </c>
      <c r="C1768" s="6" t="s">
        <v>6383</v>
      </c>
      <c r="D1768" s="6" t="s">
        <v>6384</v>
      </c>
      <c r="E1768" s="7" t="s">
        <v>21</v>
      </c>
      <c r="F1768" s="6" t="s">
        <v>6499</v>
      </c>
      <c r="G1768" s="6" t="s">
        <v>6500</v>
      </c>
      <c r="H1768" s="6" t="s">
        <v>6501</v>
      </c>
      <c r="I1768" s="6" t="s">
        <v>6502</v>
      </c>
      <c r="J1768" s="6" t="s">
        <v>6503</v>
      </c>
      <c r="K1768" s="5"/>
      <c r="L1768" s="4" t="s">
        <v>27</v>
      </c>
      <c r="M1768" s="8" t="s">
        <v>79</v>
      </c>
      <c r="N1768" s="9" t="s">
        <v>6387</v>
      </c>
      <c r="O1768" s="5"/>
      <c r="P1768" s="5"/>
      <c r="Q1768" s="6" t="s">
        <v>30</v>
      </c>
      <c r="R1768" s="4" t="s">
        <v>31</v>
      </c>
      <c r="S1768" s="7" t="s">
        <v>32</v>
      </c>
      <c r="T1768" s="5"/>
    </row>
    <row r="1769" customFormat="false" ht="29.25" hidden="false" customHeight="true" outlineLevel="0" collapsed="false">
      <c r="A1769" s="4" t="n">
        <v>1768</v>
      </c>
      <c r="B1769" s="6" t="s">
        <v>1787</v>
      </c>
      <c r="C1769" s="6" t="s">
        <v>6383</v>
      </c>
      <c r="D1769" s="6" t="s">
        <v>6384</v>
      </c>
      <c r="E1769" s="7" t="s">
        <v>21</v>
      </c>
      <c r="F1769" s="6" t="s">
        <v>6504</v>
      </c>
      <c r="G1769" s="6" t="s">
        <v>6500</v>
      </c>
      <c r="H1769" s="6" t="s">
        <v>6501</v>
      </c>
      <c r="I1769" s="6" t="s">
        <v>6502</v>
      </c>
      <c r="J1769" s="6" t="s">
        <v>6505</v>
      </c>
      <c r="K1769" s="5"/>
      <c r="L1769" s="4" t="s">
        <v>51</v>
      </c>
      <c r="M1769" s="8" t="s">
        <v>79</v>
      </c>
      <c r="N1769" s="9" t="s">
        <v>6387</v>
      </c>
      <c r="O1769" s="5"/>
      <c r="P1769" s="5"/>
      <c r="Q1769" s="6" t="s">
        <v>30</v>
      </c>
      <c r="R1769" s="4" t="s">
        <v>31</v>
      </c>
      <c r="S1769" s="7" t="s">
        <v>32</v>
      </c>
      <c r="T1769" s="5"/>
    </row>
    <row r="1770" customFormat="false" ht="29.25" hidden="false" customHeight="true" outlineLevel="0" collapsed="false">
      <c r="A1770" s="4" t="n">
        <v>1769</v>
      </c>
      <c r="B1770" s="6" t="s">
        <v>1787</v>
      </c>
      <c r="C1770" s="6" t="s">
        <v>6383</v>
      </c>
      <c r="D1770" s="6" t="s">
        <v>6384</v>
      </c>
      <c r="E1770" s="7" t="s">
        <v>21</v>
      </c>
      <c r="F1770" s="6" t="s">
        <v>6506</v>
      </c>
      <c r="G1770" s="5" t="s">
        <v>176</v>
      </c>
      <c r="H1770" s="5" t="s">
        <v>1235</v>
      </c>
      <c r="I1770" s="5" t="s">
        <v>1224</v>
      </c>
      <c r="J1770" s="5" t="s">
        <v>164</v>
      </c>
      <c r="K1770" s="5"/>
      <c r="L1770" s="4" t="s">
        <v>27</v>
      </c>
      <c r="M1770" s="8" t="s">
        <v>129</v>
      </c>
      <c r="N1770" s="9" t="s">
        <v>6387</v>
      </c>
      <c r="O1770" s="5"/>
      <c r="P1770" s="5"/>
      <c r="Q1770" s="6" t="s">
        <v>30</v>
      </c>
      <c r="R1770" s="4" t="s">
        <v>31</v>
      </c>
      <c r="S1770" s="7" t="s">
        <v>32</v>
      </c>
      <c r="T1770" s="5"/>
    </row>
    <row r="1771" customFormat="false" ht="29.25" hidden="false" customHeight="true" outlineLevel="0" collapsed="false">
      <c r="A1771" s="4" t="n">
        <v>1770</v>
      </c>
      <c r="B1771" s="6" t="s">
        <v>1787</v>
      </c>
      <c r="C1771" s="6" t="s">
        <v>6383</v>
      </c>
      <c r="D1771" s="6" t="s">
        <v>6384</v>
      </c>
      <c r="E1771" s="7" t="s">
        <v>21</v>
      </c>
      <c r="F1771" s="6" t="s">
        <v>6507</v>
      </c>
      <c r="G1771" s="5" t="s">
        <v>176</v>
      </c>
      <c r="H1771" s="5" t="s">
        <v>1235</v>
      </c>
      <c r="I1771" s="5" t="s">
        <v>1224</v>
      </c>
      <c r="J1771" s="5" t="s">
        <v>6508</v>
      </c>
      <c r="K1771" s="5"/>
      <c r="L1771" s="4" t="s">
        <v>44</v>
      </c>
      <c r="M1771" s="8" t="s">
        <v>79</v>
      </c>
      <c r="N1771" s="9" t="s">
        <v>6387</v>
      </c>
      <c r="O1771" s="5"/>
      <c r="P1771" s="5"/>
      <c r="Q1771" s="6" t="s">
        <v>30</v>
      </c>
      <c r="R1771" s="4" t="s">
        <v>31</v>
      </c>
      <c r="S1771" s="7" t="s">
        <v>32</v>
      </c>
      <c r="T1771" s="5"/>
    </row>
    <row r="1772" customFormat="false" ht="29.25" hidden="false" customHeight="true" outlineLevel="0" collapsed="false">
      <c r="A1772" s="4" t="n">
        <v>1771</v>
      </c>
      <c r="B1772" s="6" t="s">
        <v>1787</v>
      </c>
      <c r="C1772" s="6" t="s">
        <v>6383</v>
      </c>
      <c r="D1772" s="6" t="s">
        <v>6384</v>
      </c>
      <c r="E1772" s="7" t="s">
        <v>21</v>
      </c>
      <c r="F1772" s="6" t="s">
        <v>6509</v>
      </c>
      <c r="G1772" s="6" t="s">
        <v>6510</v>
      </c>
      <c r="H1772" s="6" t="s">
        <v>6490</v>
      </c>
      <c r="I1772" s="6" t="s">
        <v>6511</v>
      </c>
      <c r="J1772" s="6" t="s">
        <v>6512</v>
      </c>
      <c r="K1772" s="5"/>
      <c r="L1772" s="4" t="s">
        <v>44</v>
      </c>
      <c r="M1772" s="8" t="s">
        <v>79</v>
      </c>
      <c r="N1772" s="9" t="s">
        <v>6387</v>
      </c>
      <c r="O1772" s="5"/>
      <c r="P1772" s="5"/>
      <c r="Q1772" s="6" t="s">
        <v>30</v>
      </c>
      <c r="R1772" s="4" t="s">
        <v>31</v>
      </c>
      <c r="S1772" s="7" t="s">
        <v>32</v>
      </c>
      <c r="T1772" s="5"/>
    </row>
    <row r="1773" customFormat="false" ht="29.25" hidden="false" customHeight="true" outlineLevel="0" collapsed="false">
      <c r="A1773" s="4" t="n">
        <v>1772</v>
      </c>
      <c r="B1773" s="6" t="s">
        <v>1787</v>
      </c>
      <c r="C1773" s="6" t="s">
        <v>6383</v>
      </c>
      <c r="D1773" s="6" t="s">
        <v>6384</v>
      </c>
      <c r="E1773" s="7" t="s">
        <v>21</v>
      </c>
      <c r="F1773" s="6" t="s">
        <v>6513</v>
      </c>
      <c r="G1773" s="6" t="s">
        <v>6514</v>
      </c>
      <c r="H1773" s="6" t="s">
        <v>6515</v>
      </c>
      <c r="I1773" s="6" t="s">
        <v>6516</v>
      </c>
      <c r="J1773" s="6" t="s">
        <v>6517</v>
      </c>
      <c r="K1773" s="5"/>
      <c r="L1773" s="4" t="s">
        <v>51</v>
      </c>
      <c r="M1773" s="8" t="s">
        <v>28</v>
      </c>
      <c r="N1773" s="9" t="s">
        <v>6387</v>
      </c>
      <c r="O1773" s="5"/>
      <c r="P1773" s="5"/>
      <c r="Q1773" s="6" t="s">
        <v>30</v>
      </c>
      <c r="R1773" s="4" t="s">
        <v>31</v>
      </c>
      <c r="S1773" s="7" t="s">
        <v>32</v>
      </c>
      <c r="T1773" s="5"/>
    </row>
    <row r="1774" customFormat="false" ht="72" hidden="false" customHeight="true" outlineLevel="0" collapsed="false">
      <c r="A1774" s="4" t="n">
        <v>1773</v>
      </c>
      <c r="B1774" s="6" t="s">
        <v>1787</v>
      </c>
      <c r="C1774" s="6" t="s">
        <v>6383</v>
      </c>
      <c r="D1774" s="6" t="s">
        <v>6384</v>
      </c>
      <c r="E1774" s="7" t="s">
        <v>21</v>
      </c>
      <c r="F1774" s="6" t="s">
        <v>6518</v>
      </c>
      <c r="G1774" s="6" t="s">
        <v>6519</v>
      </c>
      <c r="H1774" s="6" t="s">
        <v>6520</v>
      </c>
      <c r="I1774" s="6" t="s">
        <v>6521</v>
      </c>
      <c r="J1774" s="6" t="s">
        <v>6522</v>
      </c>
      <c r="K1774" s="5"/>
      <c r="L1774" s="4" t="s">
        <v>51</v>
      </c>
      <c r="M1774" s="8" t="s">
        <v>79</v>
      </c>
      <c r="N1774" s="9" t="s">
        <v>6387</v>
      </c>
      <c r="O1774" s="5"/>
      <c r="P1774" s="5"/>
      <c r="Q1774" s="6" t="s">
        <v>30</v>
      </c>
      <c r="R1774" s="4" t="s">
        <v>31</v>
      </c>
      <c r="S1774" s="7" t="s">
        <v>32</v>
      </c>
      <c r="T1774" s="5"/>
    </row>
    <row r="1775" customFormat="false" ht="29.25" hidden="false" customHeight="true" outlineLevel="0" collapsed="false">
      <c r="A1775" s="4" t="n">
        <v>1774</v>
      </c>
      <c r="B1775" s="6" t="s">
        <v>1787</v>
      </c>
      <c r="C1775" s="6" t="s">
        <v>6383</v>
      </c>
      <c r="D1775" s="6" t="s">
        <v>6384</v>
      </c>
      <c r="E1775" s="7" t="s">
        <v>21</v>
      </c>
      <c r="F1775" s="6" t="s">
        <v>6523</v>
      </c>
      <c r="G1775" s="5" t="s">
        <v>6524</v>
      </c>
      <c r="H1775" s="5" t="s">
        <v>6497</v>
      </c>
      <c r="I1775" s="5" t="s">
        <v>6496</v>
      </c>
      <c r="J1775" s="5" t="s">
        <v>6525</v>
      </c>
      <c r="K1775" s="5"/>
      <c r="L1775" s="4" t="s">
        <v>44</v>
      </c>
      <c r="M1775" s="8" t="s">
        <v>79</v>
      </c>
      <c r="N1775" s="9" t="s">
        <v>6387</v>
      </c>
      <c r="O1775" s="5"/>
      <c r="P1775" s="5"/>
      <c r="Q1775" s="6" t="s">
        <v>30</v>
      </c>
      <c r="R1775" s="4" t="s">
        <v>31</v>
      </c>
      <c r="S1775" s="7" t="s">
        <v>32</v>
      </c>
      <c r="T1775" s="5"/>
    </row>
    <row r="1776" customFormat="false" ht="29.25" hidden="false" customHeight="true" outlineLevel="0" collapsed="false">
      <c r="A1776" s="4" t="n">
        <v>1775</v>
      </c>
      <c r="B1776" s="6" t="s">
        <v>1787</v>
      </c>
      <c r="C1776" s="6" t="s">
        <v>6383</v>
      </c>
      <c r="D1776" s="6" t="s">
        <v>6384</v>
      </c>
      <c r="E1776" s="7" t="s">
        <v>21</v>
      </c>
      <c r="F1776" s="6" t="s">
        <v>6526</v>
      </c>
      <c r="G1776" s="6" t="s">
        <v>6527</v>
      </c>
      <c r="H1776" s="6" t="s">
        <v>6528</v>
      </c>
      <c r="I1776" s="6" t="s">
        <v>6529</v>
      </c>
      <c r="J1776" s="6" t="s">
        <v>6530</v>
      </c>
      <c r="K1776" s="5"/>
      <c r="L1776" s="4" t="s">
        <v>51</v>
      </c>
      <c r="M1776" s="8" t="s">
        <v>79</v>
      </c>
      <c r="N1776" s="9" t="s">
        <v>6387</v>
      </c>
      <c r="O1776" s="5"/>
      <c r="P1776" s="5"/>
      <c r="Q1776" s="6" t="s">
        <v>30</v>
      </c>
      <c r="R1776" s="4" t="s">
        <v>31</v>
      </c>
      <c r="S1776" s="7" t="s">
        <v>32</v>
      </c>
      <c r="T1776" s="5"/>
    </row>
    <row r="1777" customFormat="false" ht="29.25" hidden="false" customHeight="true" outlineLevel="0" collapsed="false">
      <c r="A1777" s="4" t="n">
        <v>1776</v>
      </c>
      <c r="B1777" s="6" t="s">
        <v>1787</v>
      </c>
      <c r="C1777" s="6" t="s">
        <v>6383</v>
      </c>
      <c r="D1777" s="6" t="s">
        <v>6384</v>
      </c>
      <c r="E1777" s="7" t="s">
        <v>21</v>
      </c>
      <c r="F1777" s="6" t="s">
        <v>6531</v>
      </c>
      <c r="G1777" s="5" t="s">
        <v>6532</v>
      </c>
      <c r="H1777" s="5" t="s">
        <v>6533</v>
      </c>
      <c r="I1777" s="5" t="s">
        <v>6534</v>
      </c>
      <c r="J1777" s="5" t="s">
        <v>6535</v>
      </c>
      <c r="K1777" s="5"/>
      <c r="L1777" s="4" t="s">
        <v>27</v>
      </c>
      <c r="M1777" s="8" t="s">
        <v>79</v>
      </c>
      <c r="N1777" s="9" t="s">
        <v>6387</v>
      </c>
      <c r="O1777" s="5"/>
      <c r="P1777" s="5"/>
      <c r="Q1777" s="6" t="s">
        <v>30</v>
      </c>
      <c r="R1777" s="4" t="s">
        <v>31</v>
      </c>
      <c r="S1777" s="7" t="s">
        <v>32</v>
      </c>
      <c r="T1777" s="5"/>
    </row>
    <row r="1778" customFormat="false" ht="29.25" hidden="false" customHeight="true" outlineLevel="0" collapsed="false">
      <c r="A1778" s="4" t="n">
        <v>1777</v>
      </c>
      <c r="B1778" s="6" t="s">
        <v>1787</v>
      </c>
      <c r="C1778" s="6" t="s">
        <v>6383</v>
      </c>
      <c r="D1778" s="6" t="s">
        <v>6384</v>
      </c>
      <c r="E1778" s="7" t="s">
        <v>21</v>
      </c>
      <c r="F1778" s="6" t="s">
        <v>6536</v>
      </c>
      <c r="G1778" s="6" t="s">
        <v>6515</v>
      </c>
      <c r="H1778" s="6" t="s">
        <v>6537</v>
      </c>
      <c r="I1778" s="6" t="s">
        <v>6517</v>
      </c>
      <c r="J1778" s="6" t="s">
        <v>6537</v>
      </c>
      <c r="K1778" s="5"/>
      <c r="L1778" s="4" t="s">
        <v>51</v>
      </c>
      <c r="M1778" s="8" t="s">
        <v>79</v>
      </c>
      <c r="N1778" s="9" t="s">
        <v>6387</v>
      </c>
      <c r="O1778" s="5"/>
      <c r="P1778" s="5"/>
      <c r="Q1778" s="6" t="s">
        <v>30</v>
      </c>
      <c r="R1778" s="4" t="s">
        <v>31</v>
      </c>
      <c r="S1778" s="7" t="s">
        <v>32</v>
      </c>
      <c r="T1778" s="5"/>
    </row>
    <row r="1779" customFormat="false" ht="29.25" hidden="false" customHeight="true" outlineLevel="0" collapsed="false">
      <c r="A1779" s="4" t="n">
        <v>1778</v>
      </c>
      <c r="B1779" s="6" t="s">
        <v>1787</v>
      </c>
      <c r="C1779" s="6" t="s">
        <v>6383</v>
      </c>
      <c r="D1779" s="6" t="s">
        <v>6384</v>
      </c>
      <c r="E1779" s="7" t="s">
        <v>21</v>
      </c>
      <c r="F1779" s="6" t="s">
        <v>6538</v>
      </c>
      <c r="G1779" s="6" t="s">
        <v>6515</v>
      </c>
      <c r="H1779" s="6" t="s">
        <v>6537</v>
      </c>
      <c r="I1779" s="6" t="s">
        <v>6517</v>
      </c>
      <c r="J1779" s="6" t="s">
        <v>6515</v>
      </c>
      <c r="K1779" s="5"/>
      <c r="L1779" s="4" t="s">
        <v>27</v>
      </c>
      <c r="M1779" s="8" t="s">
        <v>79</v>
      </c>
      <c r="N1779" s="9" t="s">
        <v>6387</v>
      </c>
      <c r="O1779" s="5"/>
      <c r="P1779" s="5"/>
      <c r="Q1779" s="6" t="s">
        <v>30</v>
      </c>
      <c r="R1779" s="4" t="s">
        <v>31</v>
      </c>
      <c r="S1779" s="7" t="s">
        <v>32</v>
      </c>
      <c r="T1779" s="5"/>
    </row>
    <row r="1780" customFormat="false" ht="29.25" hidden="false" customHeight="true" outlineLevel="0" collapsed="false">
      <c r="A1780" s="4" t="n">
        <v>1779</v>
      </c>
      <c r="B1780" s="6" t="s">
        <v>1787</v>
      </c>
      <c r="C1780" s="6" t="s">
        <v>6383</v>
      </c>
      <c r="D1780" s="6" t="s">
        <v>6384</v>
      </c>
      <c r="E1780" s="7" t="s">
        <v>21</v>
      </c>
      <c r="F1780" s="6" t="s">
        <v>6539</v>
      </c>
      <c r="G1780" s="6" t="s">
        <v>6540</v>
      </c>
      <c r="H1780" s="6" t="s">
        <v>6492</v>
      </c>
      <c r="I1780" s="6" t="s">
        <v>6491</v>
      </c>
      <c r="J1780" s="6" t="s">
        <v>6490</v>
      </c>
      <c r="K1780" s="5"/>
      <c r="L1780" s="4" t="s">
        <v>44</v>
      </c>
      <c r="M1780" s="8" t="s">
        <v>79</v>
      </c>
      <c r="N1780" s="9" t="s">
        <v>6387</v>
      </c>
      <c r="O1780" s="5"/>
      <c r="P1780" s="5"/>
      <c r="Q1780" s="6" t="s">
        <v>30</v>
      </c>
      <c r="R1780" s="4" t="s">
        <v>31</v>
      </c>
      <c r="S1780" s="7" t="s">
        <v>32</v>
      </c>
      <c r="T1780" s="5"/>
    </row>
    <row r="1781" customFormat="false" ht="29.25" hidden="false" customHeight="true" outlineLevel="0" collapsed="false">
      <c r="A1781" s="4" t="n">
        <v>1780</v>
      </c>
      <c r="B1781" s="6" t="s">
        <v>1787</v>
      </c>
      <c r="C1781" s="6" t="s">
        <v>6383</v>
      </c>
      <c r="D1781" s="6" t="s">
        <v>6384</v>
      </c>
      <c r="E1781" s="7" t="s">
        <v>21</v>
      </c>
      <c r="F1781" s="6" t="s">
        <v>6541</v>
      </c>
      <c r="G1781" s="6" t="s">
        <v>6491</v>
      </c>
      <c r="H1781" s="6" t="s">
        <v>6492</v>
      </c>
      <c r="I1781" s="6" t="s">
        <v>6490</v>
      </c>
      <c r="J1781" s="6" t="s">
        <v>6540</v>
      </c>
      <c r="K1781" s="5"/>
      <c r="L1781" s="4" t="s">
        <v>51</v>
      </c>
      <c r="M1781" s="8" t="s">
        <v>129</v>
      </c>
      <c r="N1781" s="9" t="s">
        <v>6387</v>
      </c>
      <c r="O1781" s="5"/>
      <c r="P1781" s="5"/>
      <c r="Q1781" s="6" t="s">
        <v>30</v>
      </c>
      <c r="R1781" s="4" t="s">
        <v>31</v>
      </c>
      <c r="S1781" s="7" t="s">
        <v>32</v>
      </c>
      <c r="T1781" s="5"/>
    </row>
    <row r="1782" customFormat="false" ht="29.25" hidden="false" customHeight="true" outlineLevel="0" collapsed="false">
      <c r="A1782" s="4" t="n">
        <v>1781</v>
      </c>
      <c r="B1782" s="6" t="s">
        <v>1787</v>
      </c>
      <c r="C1782" s="6" t="s">
        <v>6383</v>
      </c>
      <c r="D1782" s="6" t="s">
        <v>6384</v>
      </c>
      <c r="E1782" s="7" t="s">
        <v>21</v>
      </c>
      <c r="F1782" s="6" t="s">
        <v>6542</v>
      </c>
      <c r="G1782" s="6" t="s">
        <v>6490</v>
      </c>
      <c r="H1782" s="6" t="s">
        <v>6492</v>
      </c>
      <c r="I1782" s="6" t="s">
        <v>6540</v>
      </c>
      <c r="J1782" s="6" t="s">
        <v>6490</v>
      </c>
      <c r="K1782" s="5"/>
      <c r="L1782" s="4" t="s">
        <v>27</v>
      </c>
      <c r="M1782" s="8" t="s">
        <v>129</v>
      </c>
      <c r="N1782" s="9" t="s">
        <v>6387</v>
      </c>
      <c r="O1782" s="5"/>
      <c r="P1782" s="5"/>
      <c r="Q1782" s="6" t="s">
        <v>30</v>
      </c>
      <c r="R1782" s="4" t="s">
        <v>31</v>
      </c>
      <c r="S1782" s="7" t="s">
        <v>32</v>
      </c>
      <c r="T1782" s="5"/>
    </row>
    <row r="1783" customFormat="false" ht="29.25" hidden="false" customHeight="true" outlineLevel="0" collapsed="false">
      <c r="A1783" s="4" t="n">
        <v>1782</v>
      </c>
      <c r="B1783" s="6" t="s">
        <v>1787</v>
      </c>
      <c r="C1783" s="6" t="s">
        <v>6383</v>
      </c>
      <c r="D1783" s="6" t="s">
        <v>6384</v>
      </c>
      <c r="E1783" s="7" t="s">
        <v>21</v>
      </c>
      <c r="F1783" s="6" t="s">
        <v>6543</v>
      </c>
      <c r="G1783" s="6" t="s">
        <v>6492</v>
      </c>
      <c r="H1783" s="6" t="s">
        <v>6490</v>
      </c>
      <c r="I1783" s="6" t="s">
        <v>6540</v>
      </c>
      <c r="J1783" s="6" t="s">
        <v>6491</v>
      </c>
      <c r="K1783" s="5"/>
      <c r="L1783" s="4" t="s">
        <v>51</v>
      </c>
      <c r="M1783" s="8" t="s">
        <v>129</v>
      </c>
      <c r="N1783" s="9" t="s">
        <v>6387</v>
      </c>
      <c r="O1783" s="5"/>
      <c r="P1783" s="5"/>
      <c r="Q1783" s="6" t="s">
        <v>30</v>
      </c>
      <c r="R1783" s="4" t="s">
        <v>31</v>
      </c>
      <c r="S1783" s="7" t="s">
        <v>32</v>
      </c>
      <c r="T1783" s="5"/>
    </row>
    <row r="1784" customFormat="false" ht="29.25" hidden="false" customHeight="true" outlineLevel="0" collapsed="false">
      <c r="A1784" s="4" t="n">
        <v>1783</v>
      </c>
      <c r="B1784" s="6" t="s">
        <v>1787</v>
      </c>
      <c r="C1784" s="6" t="s">
        <v>6383</v>
      </c>
      <c r="D1784" s="6" t="s">
        <v>6384</v>
      </c>
      <c r="E1784" s="7" t="s">
        <v>21</v>
      </c>
      <c r="F1784" s="6" t="s">
        <v>6544</v>
      </c>
      <c r="G1784" s="6" t="s">
        <v>6492</v>
      </c>
      <c r="H1784" s="6" t="s">
        <v>6490</v>
      </c>
      <c r="I1784" s="6" t="s">
        <v>6491</v>
      </c>
      <c r="J1784" s="6" t="s">
        <v>6545</v>
      </c>
      <c r="K1784" s="5"/>
      <c r="L1784" s="4" t="s">
        <v>44</v>
      </c>
      <c r="M1784" s="8" t="s">
        <v>129</v>
      </c>
      <c r="N1784" s="9" t="s">
        <v>6387</v>
      </c>
      <c r="O1784" s="5"/>
      <c r="P1784" s="5"/>
      <c r="Q1784" s="6" t="s">
        <v>30</v>
      </c>
      <c r="R1784" s="4" t="s">
        <v>31</v>
      </c>
      <c r="S1784" s="7" t="s">
        <v>32</v>
      </c>
      <c r="T1784" s="5"/>
    </row>
    <row r="1785" customFormat="false" ht="29.25" hidden="false" customHeight="true" outlineLevel="0" collapsed="false">
      <c r="A1785" s="4" t="n">
        <v>1784</v>
      </c>
      <c r="B1785" s="6" t="s">
        <v>1787</v>
      </c>
      <c r="C1785" s="6" t="s">
        <v>6383</v>
      </c>
      <c r="D1785" s="6" t="s">
        <v>6384</v>
      </c>
      <c r="E1785" s="7" t="s">
        <v>21</v>
      </c>
      <c r="F1785" s="6" t="s">
        <v>6546</v>
      </c>
      <c r="G1785" s="6" t="s">
        <v>6545</v>
      </c>
      <c r="H1785" s="6" t="s">
        <v>6492</v>
      </c>
      <c r="I1785" s="6" t="s">
        <v>6547</v>
      </c>
      <c r="J1785" s="6" t="s">
        <v>6548</v>
      </c>
      <c r="K1785" s="5"/>
      <c r="L1785" s="4" t="s">
        <v>27</v>
      </c>
      <c r="M1785" s="8" t="s">
        <v>129</v>
      </c>
      <c r="N1785" s="9" t="s">
        <v>6387</v>
      </c>
      <c r="O1785" s="5"/>
      <c r="P1785" s="5"/>
      <c r="Q1785" s="6" t="s">
        <v>30</v>
      </c>
      <c r="R1785" s="4" t="s">
        <v>31</v>
      </c>
      <c r="S1785" s="7" t="s">
        <v>32</v>
      </c>
      <c r="T1785" s="5"/>
    </row>
    <row r="1786" customFormat="false" ht="29.25" hidden="false" customHeight="true" outlineLevel="0" collapsed="false">
      <c r="A1786" s="4" t="n">
        <v>1785</v>
      </c>
      <c r="B1786" s="6" t="s">
        <v>1787</v>
      </c>
      <c r="C1786" s="6" t="s">
        <v>6383</v>
      </c>
      <c r="D1786" s="6" t="s">
        <v>6384</v>
      </c>
      <c r="E1786" s="7" t="s">
        <v>21</v>
      </c>
      <c r="F1786" s="6" t="s">
        <v>6549</v>
      </c>
      <c r="G1786" s="6" t="s">
        <v>6550</v>
      </c>
      <c r="H1786" s="6" t="s">
        <v>6551</v>
      </c>
      <c r="I1786" s="6" t="s">
        <v>6552</v>
      </c>
      <c r="J1786" s="6" t="s">
        <v>6553</v>
      </c>
      <c r="K1786" s="5"/>
      <c r="L1786" s="4" t="s">
        <v>51</v>
      </c>
      <c r="M1786" s="8" t="s">
        <v>129</v>
      </c>
      <c r="N1786" s="9" t="s">
        <v>6387</v>
      </c>
      <c r="O1786" s="5"/>
      <c r="P1786" s="5"/>
      <c r="Q1786" s="6" t="s">
        <v>30</v>
      </c>
      <c r="R1786" s="4" t="s">
        <v>31</v>
      </c>
      <c r="S1786" s="7" t="s">
        <v>32</v>
      </c>
      <c r="T1786" s="5"/>
    </row>
    <row r="1787" customFormat="false" ht="29.25" hidden="false" customHeight="true" outlineLevel="0" collapsed="false">
      <c r="A1787" s="4" t="n">
        <v>1786</v>
      </c>
      <c r="B1787" s="6" t="s">
        <v>1787</v>
      </c>
      <c r="C1787" s="6" t="s">
        <v>6383</v>
      </c>
      <c r="D1787" s="6" t="s">
        <v>6384</v>
      </c>
      <c r="E1787" s="7" t="s">
        <v>21</v>
      </c>
      <c r="F1787" s="6" t="s">
        <v>6554</v>
      </c>
      <c r="G1787" s="6" t="s">
        <v>6552</v>
      </c>
      <c r="H1787" s="6" t="s">
        <v>6550</v>
      </c>
      <c r="I1787" s="6" t="s">
        <v>6551</v>
      </c>
      <c r="J1787" s="6" t="s">
        <v>6553</v>
      </c>
      <c r="K1787" s="5"/>
      <c r="L1787" s="4" t="s">
        <v>27</v>
      </c>
      <c r="M1787" s="8" t="s">
        <v>129</v>
      </c>
      <c r="N1787" s="9" t="s">
        <v>6387</v>
      </c>
      <c r="O1787" s="5"/>
      <c r="P1787" s="5"/>
      <c r="Q1787" s="6" t="s">
        <v>30</v>
      </c>
      <c r="R1787" s="4" t="s">
        <v>31</v>
      </c>
      <c r="S1787" s="7" t="s">
        <v>32</v>
      </c>
      <c r="T1787" s="5"/>
    </row>
    <row r="1788" customFormat="false" ht="29.25" hidden="false" customHeight="true" outlineLevel="0" collapsed="false">
      <c r="A1788" s="4" t="n">
        <v>1787</v>
      </c>
      <c r="B1788" s="6" t="s">
        <v>1787</v>
      </c>
      <c r="C1788" s="6" t="s">
        <v>6383</v>
      </c>
      <c r="D1788" s="6" t="s">
        <v>6384</v>
      </c>
      <c r="E1788" s="7" t="s">
        <v>21</v>
      </c>
      <c r="F1788" s="6" t="s">
        <v>6555</v>
      </c>
      <c r="G1788" s="6" t="s">
        <v>6556</v>
      </c>
      <c r="H1788" s="6" t="s">
        <v>6557</v>
      </c>
      <c r="I1788" s="6" t="s">
        <v>6558</v>
      </c>
      <c r="J1788" s="6" t="s">
        <v>6559</v>
      </c>
      <c r="K1788" s="5"/>
      <c r="L1788" s="4" t="s">
        <v>44</v>
      </c>
      <c r="M1788" s="8" t="s">
        <v>28</v>
      </c>
      <c r="N1788" s="9" t="s">
        <v>6387</v>
      </c>
      <c r="O1788" s="5"/>
      <c r="P1788" s="5"/>
      <c r="Q1788" s="6" t="s">
        <v>30</v>
      </c>
      <c r="R1788" s="4" t="s">
        <v>31</v>
      </c>
      <c r="S1788" s="7" t="s">
        <v>32</v>
      </c>
      <c r="T1788" s="5"/>
    </row>
    <row r="1789" customFormat="false" ht="29.25" hidden="false" customHeight="true" outlineLevel="0" collapsed="false">
      <c r="A1789" s="4" t="n">
        <v>1788</v>
      </c>
      <c r="B1789" s="6" t="s">
        <v>1787</v>
      </c>
      <c r="C1789" s="6" t="s">
        <v>6383</v>
      </c>
      <c r="D1789" s="6" t="s">
        <v>6384</v>
      </c>
      <c r="E1789" s="7" t="s">
        <v>21</v>
      </c>
      <c r="F1789" s="6" t="s">
        <v>6560</v>
      </c>
      <c r="G1789" s="6" t="s">
        <v>6515</v>
      </c>
      <c r="H1789" s="6" t="s">
        <v>6537</v>
      </c>
      <c r="I1789" s="6" t="s">
        <v>6540</v>
      </c>
      <c r="J1789" s="6" t="s">
        <v>6491</v>
      </c>
      <c r="K1789" s="5"/>
      <c r="L1789" s="4" t="s">
        <v>62</v>
      </c>
      <c r="M1789" s="8" t="s">
        <v>79</v>
      </c>
      <c r="N1789" s="9" t="s">
        <v>6387</v>
      </c>
      <c r="O1789" s="5"/>
      <c r="P1789" s="5"/>
      <c r="Q1789" s="6" t="s">
        <v>30</v>
      </c>
      <c r="R1789" s="4" t="s">
        <v>31</v>
      </c>
      <c r="S1789" s="7" t="s">
        <v>32</v>
      </c>
      <c r="T1789" s="5"/>
    </row>
    <row r="1790" customFormat="false" ht="29.25" hidden="false" customHeight="true" outlineLevel="0" collapsed="false">
      <c r="A1790" s="4" t="n">
        <v>1789</v>
      </c>
      <c r="B1790" s="6" t="s">
        <v>1787</v>
      </c>
      <c r="C1790" s="6" t="s">
        <v>6383</v>
      </c>
      <c r="D1790" s="6" t="s">
        <v>6384</v>
      </c>
      <c r="E1790" s="7" t="s">
        <v>21</v>
      </c>
      <c r="F1790" s="6" t="s">
        <v>6561</v>
      </c>
      <c r="G1790" s="6" t="s">
        <v>6552</v>
      </c>
      <c r="H1790" s="6" t="s">
        <v>6550</v>
      </c>
      <c r="I1790" s="6" t="s">
        <v>6551</v>
      </c>
      <c r="J1790" s="6" t="s">
        <v>6553</v>
      </c>
      <c r="K1790" s="5"/>
      <c r="L1790" s="4" t="s">
        <v>51</v>
      </c>
      <c r="M1790" s="8" t="s">
        <v>129</v>
      </c>
      <c r="N1790" s="9" t="s">
        <v>6387</v>
      </c>
      <c r="O1790" s="5"/>
      <c r="P1790" s="5"/>
      <c r="Q1790" s="6" t="s">
        <v>30</v>
      </c>
      <c r="R1790" s="4" t="s">
        <v>31</v>
      </c>
      <c r="S1790" s="7" t="s">
        <v>32</v>
      </c>
      <c r="T1790" s="5"/>
    </row>
    <row r="1791" customFormat="false" ht="29.25" hidden="false" customHeight="true" outlineLevel="0" collapsed="false">
      <c r="A1791" s="4" t="n">
        <v>1790</v>
      </c>
      <c r="B1791" s="6" t="s">
        <v>1787</v>
      </c>
      <c r="C1791" s="6" t="s">
        <v>6383</v>
      </c>
      <c r="D1791" s="6" t="s">
        <v>6384</v>
      </c>
      <c r="E1791" s="7" t="s">
        <v>21</v>
      </c>
      <c r="F1791" s="6" t="s">
        <v>6562</v>
      </c>
      <c r="G1791" s="6" t="s">
        <v>6563</v>
      </c>
      <c r="H1791" s="6" t="s">
        <v>6545</v>
      </c>
      <c r="I1791" s="6" t="s">
        <v>6492</v>
      </c>
      <c r="J1791" s="6" t="s">
        <v>6564</v>
      </c>
      <c r="K1791" s="5"/>
      <c r="L1791" s="4" t="s">
        <v>51</v>
      </c>
      <c r="M1791" s="8" t="s">
        <v>79</v>
      </c>
      <c r="N1791" s="9" t="s">
        <v>6488</v>
      </c>
      <c r="O1791" s="5"/>
      <c r="P1791" s="5"/>
      <c r="Q1791" s="6" t="s">
        <v>30</v>
      </c>
      <c r="R1791" s="4" t="s">
        <v>31</v>
      </c>
      <c r="S1791" s="7" t="s">
        <v>32</v>
      </c>
      <c r="T1791" s="5"/>
    </row>
    <row r="1792" customFormat="false" ht="29.25" hidden="false" customHeight="true" outlineLevel="0" collapsed="false">
      <c r="A1792" s="4" t="n">
        <v>1791</v>
      </c>
      <c r="B1792" s="6" t="s">
        <v>1787</v>
      </c>
      <c r="C1792" s="6" t="s">
        <v>6383</v>
      </c>
      <c r="D1792" s="6" t="s">
        <v>6384</v>
      </c>
      <c r="E1792" s="7" t="s">
        <v>21</v>
      </c>
      <c r="F1792" s="6" t="s">
        <v>6565</v>
      </c>
      <c r="G1792" s="6" t="s">
        <v>6566</v>
      </c>
      <c r="H1792" s="6" t="s">
        <v>6567</v>
      </c>
      <c r="I1792" s="6" t="s">
        <v>6568</v>
      </c>
      <c r="J1792" s="6" t="s">
        <v>6510</v>
      </c>
      <c r="K1792" s="5"/>
      <c r="L1792" s="4" t="s">
        <v>51</v>
      </c>
      <c r="M1792" s="8" t="s">
        <v>129</v>
      </c>
      <c r="N1792" s="9" t="s">
        <v>6387</v>
      </c>
      <c r="O1792" s="5"/>
      <c r="P1792" s="5"/>
      <c r="Q1792" s="6" t="s">
        <v>30</v>
      </c>
      <c r="R1792" s="4" t="s">
        <v>31</v>
      </c>
      <c r="S1792" s="7" t="s">
        <v>32</v>
      </c>
      <c r="T1792" s="5"/>
    </row>
    <row r="1793" customFormat="false" ht="29.25" hidden="false" customHeight="true" outlineLevel="0" collapsed="false">
      <c r="A1793" s="4" t="n">
        <v>1792</v>
      </c>
      <c r="B1793" s="6" t="s">
        <v>1787</v>
      </c>
      <c r="C1793" s="6" t="s">
        <v>6383</v>
      </c>
      <c r="D1793" s="6" t="s">
        <v>6384</v>
      </c>
      <c r="E1793" s="7" t="s">
        <v>21</v>
      </c>
      <c r="F1793" s="6" t="s">
        <v>6569</v>
      </c>
      <c r="G1793" s="6" t="s">
        <v>6570</v>
      </c>
      <c r="H1793" s="6" t="s">
        <v>6571</v>
      </c>
      <c r="I1793" s="6" t="s">
        <v>6572</v>
      </c>
      <c r="J1793" s="6" t="s">
        <v>6573</v>
      </c>
      <c r="K1793" s="5"/>
      <c r="L1793" s="4" t="s">
        <v>27</v>
      </c>
      <c r="M1793" s="8" t="s">
        <v>79</v>
      </c>
      <c r="N1793" s="9" t="s">
        <v>6387</v>
      </c>
      <c r="O1793" s="5"/>
      <c r="P1793" s="5"/>
      <c r="Q1793" s="6" t="s">
        <v>30</v>
      </c>
      <c r="R1793" s="4" t="s">
        <v>31</v>
      </c>
      <c r="S1793" s="7" t="s">
        <v>32</v>
      </c>
      <c r="T1793" s="5"/>
    </row>
    <row r="1794" customFormat="false" ht="29.25" hidden="false" customHeight="true" outlineLevel="0" collapsed="false">
      <c r="A1794" s="4" t="n">
        <v>1793</v>
      </c>
      <c r="B1794" s="6" t="s">
        <v>1787</v>
      </c>
      <c r="C1794" s="6" t="s">
        <v>6383</v>
      </c>
      <c r="D1794" s="6" t="s">
        <v>6384</v>
      </c>
      <c r="E1794" s="7" t="s">
        <v>21</v>
      </c>
      <c r="F1794" s="6" t="s">
        <v>6574</v>
      </c>
      <c r="G1794" s="6" t="s">
        <v>6572</v>
      </c>
      <c r="H1794" s="6" t="s">
        <v>6575</v>
      </c>
      <c r="I1794" s="6" t="s">
        <v>6570</v>
      </c>
      <c r="J1794" s="6" t="s">
        <v>6576</v>
      </c>
      <c r="K1794" s="5"/>
      <c r="L1794" s="4" t="s">
        <v>27</v>
      </c>
      <c r="M1794" s="8" t="s">
        <v>79</v>
      </c>
      <c r="N1794" s="9" t="s">
        <v>6387</v>
      </c>
      <c r="O1794" s="5"/>
      <c r="P1794" s="5"/>
      <c r="Q1794" s="6" t="s">
        <v>30</v>
      </c>
      <c r="R1794" s="4" t="s">
        <v>31</v>
      </c>
      <c r="S1794" s="7" t="s">
        <v>32</v>
      </c>
      <c r="T1794" s="5"/>
    </row>
    <row r="1795" customFormat="false" ht="29.25" hidden="false" customHeight="true" outlineLevel="0" collapsed="false">
      <c r="A1795" s="4" t="n">
        <v>1794</v>
      </c>
      <c r="B1795" s="6" t="s">
        <v>1787</v>
      </c>
      <c r="C1795" s="6" t="s">
        <v>6383</v>
      </c>
      <c r="D1795" s="6" t="s">
        <v>6384</v>
      </c>
      <c r="E1795" s="7" t="s">
        <v>21</v>
      </c>
      <c r="F1795" s="6" t="s">
        <v>6577</v>
      </c>
      <c r="G1795" s="6" t="s">
        <v>6578</v>
      </c>
      <c r="H1795" s="6" t="s">
        <v>6579</v>
      </c>
      <c r="I1795" s="6" t="s">
        <v>6580</v>
      </c>
      <c r="J1795" s="6" t="s">
        <v>6581</v>
      </c>
      <c r="K1795" s="5"/>
      <c r="L1795" s="4" t="s">
        <v>51</v>
      </c>
      <c r="M1795" s="8" t="s">
        <v>129</v>
      </c>
      <c r="N1795" s="9" t="s">
        <v>6488</v>
      </c>
      <c r="O1795" s="5"/>
      <c r="P1795" s="5"/>
      <c r="Q1795" s="6" t="s">
        <v>30</v>
      </c>
      <c r="R1795" s="4" t="s">
        <v>31</v>
      </c>
      <c r="S1795" s="7" t="s">
        <v>32</v>
      </c>
      <c r="T1795" s="5"/>
    </row>
    <row r="1796" customFormat="false" ht="29.25" hidden="false" customHeight="true" outlineLevel="0" collapsed="false">
      <c r="A1796" s="4" t="n">
        <v>1795</v>
      </c>
      <c r="B1796" s="6" t="s">
        <v>1787</v>
      </c>
      <c r="C1796" s="6" t="s">
        <v>6383</v>
      </c>
      <c r="D1796" s="6" t="s">
        <v>6384</v>
      </c>
      <c r="E1796" s="7" t="s">
        <v>21</v>
      </c>
      <c r="F1796" s="6" t="s">
        <v>6582</v>
      </c>
      <c r="G1796" s="6" t="s">
        <v>6583</v>
      </c>
      <c r="H1796" s="6" t="s">
        <v>6584</v>
      </c>
      <c r="I1796" s="6" t="s">
        <v>6585</v>
      </c>
      <c r="J1796" s="6" t="s">
        <v>6586</v>
      </c>
      <c r="K1796" s="5"/>
      <c r="L1796" s="4" t="s">
        <v>27</v>
      </c>
      <c r="M1796" s="8" t="s">
        <v>129</v>
      </c>
      <c r="N1796" s="9" t="s">
        <v>6488</v>
      </c>
      <c r="O1796" s="5"/>
      <c r="P1796" s="5"/>
      <c r="Q1796" s="6" t="s">
        <v>30</v>
      </c>
      <c r="R1796" s="4" t="s">
        <v>31</v>
      </c>
      <c r="S1796" s="7" t="s">
        <v>32</v>
      </c>
      <c r="T1796" s="5"/>
    </row>
    <row r="1797" customFormat="false" ht="29.25" hidden="false" customHeight="true" outlineLevel="0" collapsed="false">
      <c r="A1797" s="4" t="n">
        <v>1796</v>
      </c>
      <c r="B1797" s="6" t="s">
        <v>1787</v>
      </c>
      <c r="C1797" s="6" t="s">
        <v>6383</v>
      </c>
      <c r="D1797" s="6" t="s">
        <v>6384</v>
      </c>
      <c r="E1797" s="7" t="s">
        <v>21</v>
      </c>
      <c r="F1797" s="6" t="s">
        <v>6587</v>
      </c>
      <c r="G1797" s="6" t="s">
        <v>6588</v>
      </c>
      <c r="H1797" s="6" t="s">
        <v>6589</v>
      </c>
      <c r="I1797" s="6" t="s">
        <v>6590</v>
      </c>
      <c r="J1797" s="6" t="s">
        <v>6563</v>
      </c>
      <c r="K1797" s="5"/>
      <c r="L1797" s="4" t="s">
        <v>51</v>
      </c>
      <c r="M1797" s="8" t="s">
        <v>79</v>
      </c>
      <c r="N1797" s="9" t="s">
        <v>6387</v>
      </c>
      <c r="O1797" s="5"/>
      <c r="P1797" s="5"/>
      <c r="Q1797" s="6" t="s">
        <v>30</v>
      </c>
      <c r="R1797" s="4" t="s">
        <v>31</v>
      </c>
      <c r="S1797" s="7" t="s">
        <v>32</v>
      </c>
      <c r="T1797" s="5"/>
    </row>
    <row r="1798" customFormat="false" ht="29.25" hidden="false" customHeight="true" outlineLevel="0" collapsed="false">
      <c r="A1798" s="4" t="n">
        <v>1797</v>
      </c>
      <c r="B1798" s="6" t="s">
        <v>1787</v>
      </c>
      <c r="C1798" s="6" t="s">
        <v>6383</v>
      </c>
      <c r="D1798" s="6" t="s">
        <v>6384</v>
      </c>
      <c r="E1798" s="7" t="s">
        <v>21</v>
      </c>
      <c r="F1798" s="6" t="s">
        <v>6591</v>
      </c>
      <c r="G1798" s="6" t="s">
        <v>6592</v>
      </c>
      <c r="H1798" s="6" t="s">
        <v>6593</v>
      </c>
      <c r="I1798" s="6" t="s">
        <v>6510</v>
      </c>
      <c r="J1798" s="6" t="s">
        <v>6566</v>
      </c>
      <c r="K1798" s="5"/>
      <c r="L1798" s="4" t="s">
        <v>51</v>
      </c>
      <c r="M1798" s="8" t="s">
        <v>79</v>
      </c>
      <c r="N1798" s="9" t="s">
        <v>6387</v>
      </c>
      <c r="O1798" s="5"/>
      <c r="P1798" s="5"/>
      <c r="Q1798" s="6" t="s">
        <v>30</v>
      </c>
      <c r="R1798" s="4" t="s">
        <v>31</v>
      </c>
      <c r="S1798" s="7" t="s">
        <v>32</v>
      </c>
      <c r="T1798" s="5"/>
    </row>
    <row r="1799" customFormat="false" ht="29.25" hidden="false" customHeight="true" outlineLevel="0" collapsed="false">
      <c r="A1799" s="4" t="n">
        <v>1798</v>
      </c>
      <c r="B1799" s="6" t="s">
        <v>1787</v>
      </c>
      <c r="C1799" s="6" t="s">
        <v>6383</v>
      </c>
      <c r="D1799" s="6" t="s">
        <v>6384</v>
      </c>
      <c r="E1799" s="7" t="s">
        <v>21</v>
      </c>
      <c r="F1799" s="6" t="s">
        <v>6594</v>
      </c>
      <c r="G1799" s="6" t="s">
        <v>6590</v>
      </c>
      <c r="H1799" s="6" t="s">
        <v>6589</v>
      </c>
      <c r="I1799" s="6" t="s">
        <v>6595</v>
      </c>
      <c r="J1799" s="6" t="s">
        <v>6592</v>
      </c>
      <c r="K1799" s="5"/>
      <c r="L1799" s="4" t="s">
        <v>51</v>
      </c>
      <c r="M1799" s="8" t="s">
        <v>79</v>
      </c>
      <c r="N1799" s="9" t="s">
        <v>6387</v>
      </c>
      <c r="O1799" s="5"/>
      <c r="P1799" s="5"/>
      <c r="Q1799" s="6" t="s">
        <v>30</v>
      </c>
      <c r="R1799" s="4" t="s">
        <v>31</v>
      </c>
      <c r="S1799" s="7" t="s">
        <v>32</v>
      </c>
      <c r="T1799" s="5"/>
    </row>
    <row r="1800" customFormat="false" ht="29.25" hidden="false" customHeight="true" outlineLevel="0" collapsed="false">
      <c r="A1800" s="4" t="n">
        <v>1799</v>
      </c>
      <c r="B1800" s="6" t="s">
        <v>1787</v>
      </c>
      <c r="C1800" s="6" t="s">
        <v>6383</v>
      </c>
      <c r="D1800" s="6" t="s">
        <v>6384</v>
      </c>
      <c r="E1800" s="7" t="s">
        <v>21</v>
      </c>
      <c r="F1800" s="6" t="s">
        <v>6596</v>
      </c>
      <c r="G1800" s="6" t="s">
        <v>6590</v>
      </c>
      <c r="H1800" s="6" t="s">
        <v>6589</v>
      </c>
      <c r="I1800" s="6" t="s">
        <v>6592</v>
      </c>
      <c r="J1800" s="6" t="s">
        <v>6540</v>
      </c>
      <c r="K1800" s="5"/>
      <c r="L1800" s="4" t="s">
        <v>62</v>
      </c>
      <c r="M1800" s="8" t="s">
        <v>79</v>
      </c>
      <c r="N1800" s="9" t="s">
        <v>6387</v>
      </c>
      <c r="O1800" s="5"/>
      <c r="P1800" s="5"/>
      <c r="Q1800" s="6" t="s">
        <v>30</v>
      </c>
      <c r="R1800" s="4" t="s">
        <v>31</v>
      </c>
      <c r="S1800" s="7" t="s">
        <v>32</v>
      </c>
      <c r="T1800" s="5"/>
    </row>
    <row r="1801" customFormat="false" ht="29.25" hidden="false" customHeight="true" outlineLevel="0" collapsed="false">
      <c r="A1801" s="4" t="n">
        <v>1800</v>
      </c>
      <c r="B1801" s="6" t="s">
        <v>1787</v>
      </c>
      <c r="C1801" s="6" t="s">
        <v>6383</v>
      </c>
      <c r="D1801" s="6" t="s">
        <v>6384</v>
      </c>
      <c r="E1801" s="7" t="s">
        <v>21</v>
      </c>
      <c r="F1801" s="6" t="s">
        <v>6597</v>
      </c>
      <c r="G1801" s="6" t="s">
        <v>6598</v>
      </c>
      <c r="H1801" s="6" t="s">
        <v>6599</v>
      </c>
      <c r="I1801" s="6" t="s">
        <v>6600</v>
      </c>
      <c r="J1801" s="6" t="s">
        <v>6601</v>
      </c>
      <c r="K1801" s="5"/>
      <c r="L1801" s="4" t="s">
        <v>51</v>
      </c>
      <c r="M1801" s="8" t="s">
        <v>79</v>
      </c>
      <c r="N1801" s="9" t="s">
        <v>6387</v>
      </c>
      <c r="O1801" s="5"/>
      <c r="P1801" s="5"/>
      <c r="Q1801" s="6" t="s">
        <v>30</v>
      </c>
      <c r="R1801" s="4" t="s">
        <v>31</v>
      </c>
      <c r="S1801" s="7" t="s">
        <v>32</v>
      </c>
      <c r="T1801" s="5"/>
    </row>
    <row r="1802" customFormat="false" ht="29.25" hidden="false" customHeight="true" outlineLevel="0" collapsed="false">
      <c r="A1802" s="4" t="n">
        <v>1801</v>
      </c>
      <c r="B1802" s="6" t="s">
        <v>1787</v>
      </c>
      <c r="C1802" s="6" t="s">
        <v>6383</v>
      </c>
      <c r="D1802" s="6" t="s">
        <v>6384</v>
      </c>
      <c r="E1802" s="7" t="s">
        <v>21</v>
      </c>
      <c r="F1802" s="6" t="s">
        <v>6602</v>
      </c>
      <c r="G1802" s="5" t="s">
        <v>6603</v>
      </c>
      <c r="H1802" s="5" t="s">
        <v>6604</v>
      </c>
      <c r="I1802" s="5" t="s">
        <v>6605</v>
      </c>
      <c r="J1802" s="5" t="s">
        <v>6606</v>
      </c>
      <c r="K1802" s="5"/>
      <c r="L1802" s="4" t="s">
        <v>44</v>
      </c>
      <c r="M1802" s="8" t="s">
        <v>129</v>
      </c>
      <c r="N1802" s="9" t="s">
        <v>6488</v>
      </c>
      <c r="O1802" s="5"/>
      <c r="P1802" s="5"/>
      <c r="Q1802" s="6" t="s">
        <v>30</v>
      </c>
      <c r="R1802" s="4" t="s">
        <v>31</v>
      </c>
      <c r="S1802" s="7" t="s">
        <v>32</v>
      </c>
      <c r="T1802" s="5"/>
    </row>
    <row r="1803" customFormat="false" ht="43.5" hidden="false" customHeight="true" outlineLevel="0" collapsed="false">
      <c r="A1803" s="4" t="n">
        <v>1802</v>
      </c>
      <c r="B1803" s="6" t="s">
        <v>1787</v>
      </c>
      <c r="C1803" s="6" t="s">
        <v>6383</v>
      </c>
      <c r="D1803" s="6" t="s">
        <v>6384</v>
      </c>
      <c r="E1803" s="7" t="s">
        <v>21</v>
      </c>
      <c r="F1803" s="6" t="s">
        <v>6607</v>
      </c>
      <c r="G1803" s="5" t="s">
        <v>1235</v>
      </c>
      <c r="H1803" s="5" t="s">
        <v>1224</v>
      </c>
      <c r="I1803" s="5" t="s">
        <v>164</v>
      </c>
      <c r="J1803" s="5" t="s">
        <v>6608</v>
      </c>
      <c r="K1803" s="5"/>
      <c r="L1803" s="4" t="s">
        <v>44</v>
      </c>
      <c r="M1803" s="8" t="s">
        <v>129</v>
      </c>
      <c r="N1803" s="9" t="s">
        <v>6387</v>
      </c>
      <c r="O1803" s="5"/>
      <c r="P1803" s="5"/>
      <c r="Q1803" s="6" t="s">
        <v>30</v>
      </c>
      <c r="R1803" s="4" t="s">
        <v>31</v>
      </c>
      <c r="S1803" s="7" t="s">
        <v>32</v>
      </c>
      <c r="T1803" s="5"/>
    </row>
    <row r="1804" customFormat="false" ht="29.25" hidden="false" customHeight="true" outlineLevel="0" collapsed="false">
      <c r="A1804" s="4" t="n">
        <v>1803</v>
      </c>
      <c r="B1804" s="6" t="s">
        <v>1787</v>
      </c>
      <c r="C1804" s="6" t="s">
        <v>6383</v>
      </c>
      <c r="D1804" s="6" t="s">
        <v>6384</v>
      </c>
      <c r="E1804" s="7" t="s">
        <v>21</v>
      </c>
      <c r="F1804" s="6" t="s">
        <v>6609</v>
      </c>
      <c r="G1804" s="5" t="s">
        <v>6610</v>
      </c>
      <c r="H1804" s="5" t="s">
        <v>6611</v>
      </c>
      <c r="I1804" s="5" t="s">
        <v>6612</v>
      </c>
      <c r="J1804" s="5" t="s">
        <v>6613</v>
      </c>
      <c r="K1804" s="5"/>
      <c r="L1804" s="4" t="s">
        <v>62</v>
      </c>
      <c r="M1804" s="8" t="s">
        <v>129</v>
      </c>
      <c r="N1804" s="9" t="s">
        <v>6387</v>
      </c>
      <c r="O1804" s="5"/>
      <c r="P1804" s="5"/>
      <c r="Q1804" s="6" t="s">
        <v>30</v>
      </c>
      <c r="R1804" s="4" t="s">
        <v>31</v>
      </c>
      <c r="S1804" s="7" t="s">
        <v>32</v>
      </c>
      <c r="T1804" s="5"/>
    </row>
    <row r="1805" customFormat="false" ht="29.25" hidden="false" customHeight="true" outlineLevel="0" collapsed="false">
      <c r="A1805" s="4" t="n">
        <v>1804</v>
      </c>
      <c r="B1805" s="6" t="s">
        <v>1787</v>
      </c>
      <c r="C1805" s="6" t="s">
        <v>6383</v>
      </c>
      <c r="D1805" s="6" t="s">
        <v>6384</v>
      </c>
      <c r="E1805" s="7" t="s">
        <v>21</v>
      </c>
      <c r="F1805" s="6" t="s">
        <v>6614</v>
      </c>
      <c r="G1805" s="5" t="s">
        <v>6615</v>
      </c>
      <c r="H1805" s="5" t="s">
        <v>6245</v>
      </c>
      <c r="I1805" s="5" t="s">
        <v>6616</v>
      </c>
      <c r="J1805" s="5" t="s">
        <v>6617</v>
      </c>
      <c r="K1805" s="5"/>
      <c r="L1805" s="4" t="s">
        <v>44</v>
      </c>
      <c r="M1805" s="8" t="s">
        <v>129</v>
      </c>
      <c r="N1805" s="9" t="s">
        <v>6387</v>
      </c>
      <c r="O1805" s="5"/>
      <c r="P1805" s="5"/>
      <c r="Q1805" s="6" t="s">
        <v>30</v>
      </c>
      <c r="R1805" s="4" t="s">
        <v>31</v>
      </c>
      <c r="S1805" s="7" t="s">
        <v>32</v>
      </c>
      <c r="T1805" s="5"/>
    </row>
    <row r="1806" customFormat="false" ht="29.25" hidden="false" customHeight="true" outlineLevel="0" collapsed="false">
      <c r="A1806" s="4" t="n">
        <v>1805</v>
      </c>
      <c r="B1806" s="6" t="s">
        <v>1787</v>
      </c>
      <c r="C1806" s="6" t="s">
        <v>6383</v>
      </c>
      <c r="D1806" s="6" t="s">
        <v>6384</v>
      </c>
      <c r="E1806" s="7" t="s">
        <v>21</v>
      </c>
      <c r="F1806" s="6" t="s">
        <v>6618</v>
      </c>
      <c r="G1806" s="6" t="s">
        <v>6619</v>
      </c>
      <c r="H1806" s="6" t="s">
        <v>6620</v>
      </c>
      <c r="I1806" s="6" t="s">
        <v>6621</v>
      </c>
      <c r="J1806" s="6" t="s">
        <v>6622</v>
      </c>
      <c r="K1806" s="5"/>
      <c r="L1806" s="4" t="s">
        <v>27</v>
      </c>
      <c r="M1806" s="8" t="s">
        <v>28</v>
      </c>
      <c r="N1806" s="9" t="s">
        <v>6387</v>
      </c>
      <c r="O1806" s="5"/>
      <c r="P1806" s="5"/>
      <c r="Q1806" s="6" t="s">
        <v>30</v>
      </c>
      <c r="R1806" s="4" t="s">
        <v>31</v>
      </c>
      <c r="S1806" s="7" t="s">
        <v>32</v>
      </c>
      <c r="T1806" s="5"/>
    </row>
    <row r="1807" customFormat="false" ht="29.25" hidden="false" customHeight="true" outlineLevel="0" collapsed="false">
      <c r="A1807" s="4" t="n">
        <v>1806</v>
      </c>
      <c r="B1807" s="6" t="s">
        <v>1787</v>
      </c>
      <c r="C1807" s="6" t="s">
        <v>6383</v>
      </c>
      <c r="D1807" s="6" t="s">
        <v>6384</v>
      </c>
      <c r="E1807" s="7" t="s">
        <v>21</v>
      </c>
      <c r="F1807" s="6" t="s">
        <v>6623</v>
      </c>
      <c r="G1807" s="6" t="s">
        <v>1874</v>
      </c>
      <c r="H1807" s="6" t="s">
        <v>6624</v>
      </c>
      <c r="I1807" s="6" t="s">
        <v>6625</v>
      </c>
      <c r="J1807" s="6" t="s">
        <v>6626</v>
      </c>
      <c r="K1807" s="5"/>
      <c r="L1807" s="4" t="s">
        <v>27</v>
      </c>
      <c r="M1807" s="8" t="s">
        <v>129</v>
      </c>
      <c r="N1807" s="9" t="s">
        <v>6387</v>
      </c>
      <c r="O1807" s="5"/>
      <c r="P1807" s="5"/>
      <c r="Q1807" s="6" t="s">
        <v>30</v>
      </c>
      <c r="R1807" s="4" t="s">
        <v>31</v>
      </c>
      <c r="S1807" s="7" t="s">
        <v>32</v>
      </c>
      <c r="T1807" s="5"/>
    </row>
    <row r="1808" customFormat="false" ht="29.25" hidden="false" customHeight="true" outlineLevel="0" collapsed="false">
      <c r="A1808" s="4" t="n">
        <v>1807</v>
      </c>
      <c r="B1808" s="6" t="s">
        <v>1787</v>
      </c>
      <c r="C1808" s="6" t="s">
        <v>6383</v>
      </c>
      <c r="D1808" s="6" t="s">
        <v>6384</v>
      </c>
      <c r="E1808" s="7" t="s">
        <v>21</v>
      </c>
      <c r="F1808" s="6" t="s">
        <v>6627</v>
      </c>
      <c r="G1808" s="6" t="s">
        <v>6628</v>
      </c>
      <c r="H1808" s="6" t="s">
        <v>6629</v>
      </c>
      <c r="I1808" s="6" t="s">
        <v>6630</v>
      </c>
      <c r="J1808" s="6" t="s">
        <v>6631</v>
      </c>
      <c r="K1808" s="5"/>
      <c r="L1808" s="4" t="s">
        <v>44</v>
      </c>
      <c r="M1808" s="8" t="s">
        <v>28</v>
      </c>
      <c r="N1808" s="9" t="s">
        <v>6387</v>
      </c>
      <c r="O1808" s="5"/>
      <c r="P1808" s="5"/>
      <c r="Q1808" s="6" t="s">
        <v>30</v>
      </c>
      <c r="R1808" s="4" t="s">
        <v>31</v>
      </c>
      <c r="S1808" s="7" t="s">
        <v>32</v>
      </c>
      <c r="T1808" s="5"/>
    </row>
    <row r="1809" customFormat="false" ht="29.25" hidden="false" customHeight="true" outlineLevel="0" collapsed="false">
      <c r="A1809" s="4" t="n">
        <v>1808</v>
      </c>
      <c r="B1809" s="6" t="s">
        <v>1787</v>
      </c>
      <c r="C1809" s="6" t="s">
        <v>6383</v>
      </c>
      <c r="D1809" s="6" t="s">
        <v>6384</v>
      </c>
      <c r="E1809" s="7" t="s">
        <v>21</v>
      </c>
      <c r="F1809" s="6" t="s">
        <v>6632</v>
      </c>
      <c r="G1809" s="6" t="s">
        <v>6633</v>
      </c>
      <c r="H1809" s="6" t="s">
        <v>6634</v>
      </c>
      <c r="I1809" s="6" t="s">
        <v>6635</v>
      </c>
      <c r="J1809" s="6" t="s">
        <v>6636</v>
      </c>
      <c r="K1809" s="5"/>
      <c r="L1809" s="4" t="s">
        <v>44</v>
      </c>
      <c r="M1809" s="8" t="s">
        <v>79</v>
      </c>
      <c r="N1809" s="9" t="s">
        <v>6387</v>
      </c>
      <c r="O1809" s="5"/>
      <c r="P1809" s="5"/>
      <c r="Q1809" s="6" t="s">
        <v>30</v>
      </c>
      <c r="R1809" s="4" t="s">
        <v>31</v>
      </c>
      <c r="S1809" s="7" t="s">
        <v>32</v>
      </c>
      <c r="T1809" s="5"/>
    </row>
    <row r="1810" customFormat="false" ht="29.25" hidden="false" customHeight="true" outlineLevel="0" collapsed="false">
      <c r="A1810" s="4" t="n">
        <v>1809</v>
      </c>
      <c r="B1810" s="6" t="s">
        <v>1787</v>
      </c>
      <c r="C1810" s="6" t="s">
        <v>6383</v>
      </c>
      <c r="D1810" s="6" t="s">
        <v>6384</v>
      </c>
      <c r="E1810" s="7" t="s">
        <v>21</v>
      </c>
      <c r="F1810" s="6" t="s">
        <v>6637</v>
      </c>
      <c r="G1810" s="5" t="s">
        <v>6638</v>
      </c>
      <c r="H1810" s="5" t="s">
        <v>6639</v>
      </c>
      <c r="I1810" s="5" t="s">
        <v>2672</v>
      </c>
      <c r="J1810" s="5" t="s">
        <v>6640</v>
      </c>
      <c r="K1810" s="5"/>
      <c r="L1810" s="4" t="s">
        <v>51</v>
      </c>
      <c r="M1810" s="8" t="s">
        <v>129</v>
      </c>
      <c r="N1810" s="9" t="s">
        <v>6387</v>
      </c>
      <c r="O1810" s="5"/>
      <c r="P1810" s="5"/>
      <c r="Q1810" s="6" t="s">
        <v>30</v>
      </c>
      <c r="R1810" s="4" t="s">
        <v>31</v>
      </c>
      <c r="S1810" s="7" t="s">
        <v>32</v>
      </c>
      <c r="T1810" s="5"/>
    </row>
    <row r="1811" customFormat="false" ht="29.25" hidden="false" customHeight="true" outlineLevel="0" collapsed="false">
      <c r="A1811" s="4" t="n">
        <v>1810</v>
      </c>
      <c r="B1811" s="6" t="s">
        <v>1787</v>
      </c>
      <c r="C1811" s="6" t="s">
        <v>6383</v>
      </c>
      <c r="D1811" s="6" t="s">
        <v>6384</v>
      </c>
      <c r="E1811" s="7" t="s">
        <v>21</v>
      </c>
      <c r="F1811" s="6" t="s">
        <v>6641</v>
      </c>
      <c r="G1811" s="5" t="s">
        <v>6642</v>
      </c>
      <c r="H1811" s="5" t="s">
        <v>6643</v>
      </c>
      <c r="I1811" s="5" t="s">
        <v>6644</v>
      </c>
      <c r="J1811" s="5" t="s">
        <v>6645</v>
      </c>
      <c r="K1811" s="5"/>
      <c r="L1811" s="4" t="s">
        <v>51</v>
      </c>
      <c r="M1811" s="8" t="s">
        <v>129</v>
      </c>
      <c r="N1811" s="9" t="s">
        <v>6387</v>
      </c>
      <c r="O1811" s="5"/>
      <c r="P1811" s="5"/>
      <c r="Q1811" s="6" t="s">
        <v>30</v>
      </c>
      <c r="R1811" s="4" t="s">
        <v>31</v>
      </c>
      <c r="S1811" s="7" t="s">
        <v>32</v>
      </c>
      <c r="T1811" s="5"/>
    </row>
    <row r="1812" customFormat="false" ht="29.25" hidden="false" customHeight="true" outlineLevel="0" collapsed="false">
      <c r="A1812" s="4" t="n">
        <v>1811</v>
      </c>
      <c r="B1812" s="6" t="s">
        <v>1787</v>
      </c>
      <c r="C1812" s="6" t="s">
        <v>6383</v>
      </c>
      <c r="D1812" s="6" t="s">
        <v>6384</v>
      </c>
      <c r="E1812" s="7" t="s">
        <v>21</v>
      </c>
      <c r="F1812" s="6" t="s">
        <v>6646</v>
      </c>
      <c r="G1812" s="5" t="s">
        <v>1902</v>
      </c>
      <c r="H1812" s="5" t="s">
        <v>6647</v>
      </c>
      <c r="I1812" s="5" t="s">
        <v>6648</v>
      </c>
      <c r="J1812" s="5" t="s">
        <v>6649</v>
      </c>
      <c r="K1812" s="5"/>
      <c r="L1812" s="4" t="s">
        <v>27</v>
      </c>
      <c r="M1812" s="8" t="s">
        <v>79</v>
      </c>
      <c r="N1812" s="9" t="s">
        <v>6387</v>
      </c>
      <c r="O1812" s="5"/>
      <c r="P1812" s="5"/>
      <c r="Q1812" s="6" t="s">
        <v>30</v>
      </c>
      <c r="R1812" s="4" t="s">
        <v>31</v>
      </c>
      <c r="S1812" s="7" t="s">
        <v>32</v>
      </c>
      <c r="T1812" s="5"/>
    </row>
    <row r="1813" customFormat="false" ht="29.25" hidden="false" customHeight="true" outlineLevel="0" collapsed="false">
      <c r="A1813" s="4" t="n">
        <v>1812</v>
      </c>
      <c r="B1813" s="6" t="s">
        <v>1787</v>
      </c>
      <c r="C1813" s="6" t="s">
        <v>6383</v>
      </c>
      <c r="D1813" s="6" t="s">
        <v>6384</v>
      </c>
      <c r="E1813" s="7" t="s">
        <v>21</v>
      </c>
      <c r="F1813" s="6" t="s">
        <v>6650</v>
      </c>
      <c r="G1813" s="5" t="s">
        <v>6651</v>
      </c>
      <c r="H1813" s="5" t="s">
        <v>6652</v>
      </c>
      <c r="I1813" s="5" t="s">
        <v>6653</v>
      </c>
      <c r="J1813" s="5" t="s">
        <v>6654</v>
      </c>
      <c r="K1813" s="5"/>
      <c r="L1813" s="4" t="s">
        <v>44</v>
      </c>
      <c r="M1813" s="8" t="s">
        <v>129</v>
      </c>
      <c r="N1813" s="9" t="s">
        <v>6387</v>
      </c>
      <c r="O1813" s="5"/>
      <c r="P1813" s="5"/>
      <c r="Q1813" s="6" t="s">
        <v>30</v>
      </c>
      <c r="R1813" s="4" t="s">
        <v>31</v>
      </c>
      <c r="S1813" s="7" t="s">
        <v>32</v>
      </c>
      <c r="T1813" s="5"/>
    </row>
    <row r="1814" customFormat="false" ht="29.25" hidden="false" customHeight="true" outlineLevel="0" collapsed="false">
      <c r="A1814" s="4" t="n">
        <v>1813</v>
      </c>
      <c r="B1814" s="6" t="s">
        <v>1787</v>
      </c>
      <c r="C1814" s="6" t="s">
        <v>6383</v>
      </c>
      <c r="D1814" s="6" t="s">
        <v>6384</v>
      </c>
      <c r="E1814" s="7" t="s">
        <v>21</v>
      </c>
      <c r="F1814" s="6" t="s">
        <v>6655</v>
      </c>
      <c r="G1814" s="5" t="s">
        <v>1224</v>
      </c>
      <c r="H1814" s="5" t="s">
        <v>2547</v>
      </c>
      <c r="I1814" s="5" t="s">
        <v>3448</v>
      </c>
      <c r="J1814" s="5" t="s">
        <v>6656</v>
      </c>
      <c r="K1814" s="5"/>
      <c r="L1814" s="4" t="s">
        <v>44</v>
      </c>
      <c r="M1814" s="8" t="s">
        <v>79</v>
      </c>
      <c r="N1814" s="9" t="s">
        <v>6387</v>
      </c>
      <c r="O1814" s="5"/>
      <c r="P1814" s="5"/>
      <c r="Q1814" s="6" t="s">
        <v>30</v>
      </c>
      <c r="R1814" s="4" t="s">
        <v>31</v>
      </c>
      <c r="S1814" s="7" t="s">
        <v>32</v>
      </c>
      <c r="T1814" s="5"/>
    </row>
    <row r="1815" customFormat="false" ht="29.25" hidden="false" customHeight="true" outlineLevel="0" collapsed="false">
      <c r="A1815" s="4" t="n">
        <v>1814</v>
      </c>
      <c r="B1815" s="6" t="s">
        <v>1787</v>
      </c>
      <c r="C1815" s="6" t="s">
        <v>6383</v>
      </c>
      <c r="D1815" s="6" t="s">
        <v>6384</v>
      </c>
      <c r="E1815" s="7" t="s">
        <v>21</v>
      </c>
      <c r="F1815" s="6" t="s">
        <v>6657</v>
      </c>
      <c r="G1815" s="6" t="s">
        <v>6658</v>
      </c>
      <c r="H1815" s="6" t="s">
        <v>6659</v>
      </c>
      <c r="I1815" s="6" t="s">
        <v>6660</v>
      </c>
      <c r="J1815" s="6" t="s">
        <v>6661</v>
      </c>
      <c r="K1815" s="5"/>
      <c r="L1815" s="4" t="s">
        <v>51</v>
      </c>
      <c r="M1815" s="8" t="s">
        <v>79</v>
      </c>
      <c r="N1815" s="9" t="s">
        <v>6387</v>
      </c>
      <c r="O1815" s="5"/>
      <c r="P1815" s="5"/>
      <c r="Q1815" s="6" t="s">
        <v>30</v>
      </c>
      <c r="R1815" s="4" t="s">
        <v>31</v>
      </c>
      <c r="S1815" s="7" t="s">
        <v>32</v>
      </c>
      <c r="T1815" s="5"/>
    </row>
    <row r="1816" customFormat="false" ht="43.5" hidden="false" customHeight="true" outlineLevel="0" collapsed="false">
      <c r="A1816" s="4" t="n">
        <v>1815</v>
      </c>
      <c r="B1816" s="6" t="s">
        <v>1787</v>
      </c>
      <c r="C1816" s="6" t="s">
        <v>6383</v>
      </c>
      <c r="D1816" s="6" t="s">
        <v>6384</v>
      </c>
      <c r="E1816" s="7" t="s">
        <v>21</v>
      </c>
      <c r="F1816" s="6" t="s">
        <v>6662</v>
      </c>
      <c r="G1816" s="5" t="s">
        <v>6639</v>
      </c>
      <c r="H1816" s="5" t="s">
        <v>1324</v>
      </c>
      <c r="I1816" s="5" t="s">
        <v>6663</v>
      </c>
      <c r="J1816" s="5" t="s">
        <v>6664</v>
      </c>
      <c r="K1816" s="5"/>
      <c r="L1816" s="4" t="s">
        <v>44</v>
      </c>
      <c r="M1816" s="8" t="s">
        <v>129</v>
      </c>
      <c r="N1816" s="9" t="s">
        <v>6387</v>
      </c>
      <c r="O1816" s="5"/>
      <c r="P1816" s="5"/>
      <c r="Q1816" s="6" t="s">
        <v>30</v>
      </c>
      <c r="R1816" s="4" t="s">
        <v>31</v>
      </c>
      <c r="S1816" s="7" t="s">
        <v>32</v>
      </c>
      <c r="T1816" s="5"/>
    </row>
    <row r="1817" customFormat="false" ht="29.25" hidden="false" customHeight="true" outlineLevel="0" collapsed="false">
      <c r="A1817" s="4" t="n">
        <v>1816</v>
      </c>
      <c r="B1817" s="6" t="s">
        <v>1787</v>
      </c>
      <c r="C1817" s="6" t="s">
        <v>6383</v>
      </c>
      <c r="D1817" s="6" t="s">
        <v>6384</v>
      </c>
      <c r="E1817" s="7" t="s">
        <v>21</v>
      </c>
      <c r="F1817" s="6" t="s">
        <v>6665</v>
      </c>
      <c r="G1817" s="5" t="s">
        <v>6666</v>
      </c>
      <c r="H1817" s="5" t="s">
        <v>6667</v>
      </c>
      <c r="I1817" s="5" t="s">
        <v>6668</v>
      </c>
      <c r="J1817" s="5" t="s">
        <v>6669</v>
      </c>
      <c r="K1817" s="5"/>
      <c r="L1817" s="4" t="s">
        <v>51</v>
      </c>
      <c r="M1817" s="8" t="s">
        <v>79</v>
      </c>
      <c r="N1817" s="9" t="s">
        <v>6488</v>
      </c>
      <c r="O1817" s="5"/>
      <c r="P1817" s="5"/>
      <c r="Q1817" s="6" t="s">
        <v>30</v>
      </c>
      <c r="R1817" s="4" t="s">
        <v>31</v>
      </c>
      <c r="S1817" s="7" t="s">
        <v>32</v>
      </c>
      <c r="T1817" s="5"/>
    </row>
    <row r="1818" customFormat="false" ht="43.5" hidden="false" customHeight="true" outlineLevel="0" collapsed="false">
      <c r="A1818" s="4" t="n">
        <v>1817</v>
      </c>
      <c r="B1818" s="6" t="s">
        <v>1787</v>
      </c>
      <c r="C1818" s="6" t="s">
        <v>6383</v>
      </c>
      <c r="D1818" s="6" t="s">
        <v>6384</v>
      </c>
      <c r="E1818" s="7" t="s">
        <v>21</v>
      </c>
      <c r="F1818" s="6" t="s">
        <v>6670</v>
      </c>
      <c r="G1818" s="5" t="s">
        <v>2938</v>
      </c>
      <c r="H1818" s="5" t="s">
        <v>2906</v>
      </c>
      <c r="I1818" s="5" t="s">
        <v>6671</v>
      </c>
      <c r="J1818" s="5" t="s">
        <v>6672</v>
      </c>
      <c r="K1818" s="5"/>
      <c r="L1818" s="4" t="s">
        <v>62</v>
      </c>
      <c r="M1818" s="8" t="s">
        <v>129</v>
      </c>
      <c r="N1818" s="9" t="s">
        <v>6387</v>
      </c>
      <c r="O1818" s="5"/>
      <c r="P1818" s="5"/>
      <c r="Q1818" s="6" t="s">
        <v>30</v>
      </c>
      <c r="R1818" s="4" t="s">
        <v>31</v>
      </c>
      <c r="S1818" s="7" t="s">
        <v>32</v>
      </c>
      <c r="T1818" s="5"/>
    </row>
    <row r="1819" customFormat="false" ht="29.25" hidden="false" customHeight="true" outlineLevel="0" collapsed="false">
      <c r="A1819" s="4" t="n">
        <v>1818</v>
      </c>
      <c r="B1819" s="6" t="s">
        <v>1787</v>
      </c>
      <c r="C1819" s="6" t="s">
        <v>6383</v>
      </c>
      <c r="D1819" s="6" t="s">
        <v>6384</v>
      </c>
      <c r="E1819" s="7" t="s">
        <v>21</v>
      </c>
      <c r="F1819" s="6" t="s">
        <v>6673</v>
      </c>
      <c r="G1819" s="6" t="s">
        <v>6674</v>
      </c>
      <c r="H1819" s="6" t="s">
        <v>6675</v>
      </c>
      <c r="I1819" s="6" t="s">
        <v>6676</v>
      </c>
      <c r="J1819" s="6" t="s">
        <v>6677</v>
      </c>
      <c r="K1819" s="5"/>
      <c r="L1819" s="4" t="s">
        <v>44</v>
      </c>
      <c r="M1819" s="8" t="s">
        <v>28</v>
      </c>
      <c r="N1819" s="9" t="s">
        <v>6387</v>
      </c>
      <c r="O1819" s="5"/>
      <c r="P1819" s="5"/>
      <c r="Q1819" s="6" t="s">
        <v>30</v>
      </c>
      <c r="R1819" s="4" t="s">
        <v>31</v>
      </c>
      <c r="S1819" s="7" t="s">
        <v>32</v>
      </c>
      <c r="T1819" s="5"/>
    </row>
    <row r="1820" customFormat="false" ht="29.25" hidden="false" customHeight="true" outlineLevel="0" collapsed="false">
      <c r="A1820" s="4" t="n">
        <v>1819</v>
      </c>
      <c r="B1820" s="6" t="s">
        <v>1787</v>
      </c>
      <c r="C1820" s="6" t="s">
        <v>6383</v>
      </c>
      <c r="D1820" s="6" t="s">
        <v>6384</v>
      </c>
      <c r="E1820" s="7" t="s">
        <v>21</v>
      </c>
      <c r="F1820" s="6" t="s">
        <v>6678</v>
      </c>
      <c r="G1820" s="5" t="s">
        <v>5857</v>
      </c>
      <c r="H1820" s="5" t="s">
        <v>6679</v>
      </c>
      <c r="I1820" s="5" t="s">
        <v>5858</v>
      </c>
      <c r="J1820" s="5" t="s">
        <v>5856</v>
      </c>
      <c r="K1820" s="5"/>
      <c r="L1820" s="4" t="s">
        <v>51</v>
      </c>
      <c r="M1820" s="8" t="s">
        <v>129</v>
      </c>
      <c r="N1820" s="9" t="s">
        <v>6488</v>
      </c>
      <c r="O1820" s="5"/>
      <c r="P1820" s="5"/>
      <c r="Q1820" s="6" t="s">
        <v>30</v>
      </c>
      <c r="R1820" s="4" t="s">
        <v>31</v>
      </c>
      <c r="S1820" s="7" t="s">
        <v>32</v>
      </c>
      <c r="T1820" s="5"/>
    </row>
    <row r="1821" customFormat="false" ht="29.25" hidden="false" customHeight="true" outlineLevel="0" collapsed="false">
      <c r="A1821" s="4" t="n">
        <v>1820</v>
      </c>
      <c r="B1821" s="6" t="s">
        <v>1787</v>
      </c>
      <c r="C1821" s="6" t="s">
        <v>6383</v>
      </c>
      <c r="D1821" s="6" t="s">
        <v>6384</v>
      </c>
      <c r="E1821" s="7" t="s">
        <v>21</v>
      </c>
      <c r="F1821" s="6" t="s">
        <v>6680</v>
      </c>
      <c r="G1821" s="5" t="s">
        <v>6681</v>
      </c>
      <c r="H1821" s="5" t="s">
        <v>6682</v>
      </c>
      <c r="I1821" s="5" t="s">
        <v>6683</v>
      </c>
      <c r="J1821" s="5" t="s">
        <v>5856</v>
      </c>
      <c r="K1821" s="5"/>
      <c r="L1821" s="4" t="s">
        <v>62</v>
      </c>
      <c r="M1821" s="8" t="s">
        <v>129</v>
      </c>
      <c r="N1821" s="9" t="s">
        <v>6488</v>
      </c>
      <c r="O1821" s="5"/>
      <c r="P1821" s="5"/>
      <c r="Q1821" s="6" t="s">
        <v>30</v>
      </c>
      <c r="R1821" s="4" t="s">
        <v>31</v>
      </c>
      <c r="S1821" s="7" t="s">
        <v>32</v>
      </c>
      <c r="T1821" s="5"/>
    </row>
    <row r="1822" customFormat="false" ht="29.25" hidden="false" customHeight="true" outlineLevel="0" collapsed="false">
      <c r="A1822" s="4" t="n">
        <v>1821</v>
      </c>
      <c r="B1822" s="6" t="s">
        <v>1787</v>
      </c>
      <c r="C1822" s="6" t="s">
        <v>6383</v>
      </c>
      <c r="D1822" s="6" t="s">
        <v>6384</v>
      </c>
      <c r="E1822" s="7" t="s">
        <v>21</v>
      </c>
      <c r="F1822" s="6" t="s">
        <v>6684</v>
      </c>
      <c r="G1822" s="6" t="s">
        <v>6685</v>
      </c>
      <c r="H1822" s="6" t="s">
        <v>6686</v>
      </c>
      <c r="I1822" s="6" t="s">
        <v>6687</v>
      </c>
      <c r="J1822" s="6" t="s">
        <v>6688</v>
      </c>
      <c r="K1822" s="5"/>
      <c r="L1822" s="4" t="s">
        <v>27</v>
      </c>
      <c r="M1822" s="8" t="s">
        <v>28</v>
      </c>
      <c r="N1822" s="9" t="s">
        <v>6488</v>
      </c>
      <c r="O1822" s="5"/>
      <c r="P1822" s="5"/>
      <c r="Q1822" s="6" t="s">
        <v>30</v>
      </c>
      <c r="R1822" s="4" t="s">
        <v>31</v>
      </c>
      <c r="S1822" s="7" t="s">
        <v>32</v>
      </c>
      <c r="T1822" s="5"/>
    </row>
    <row r="1823" customFormat="false" ht="29.25" hidden="false" customHeight="true" outlineLevel="0" collapsed="false">
      <c r="A1823" s="4" t="n">
        <v>1822</v>
      </c>
      <c r="B1823" s="6" t="s">
        <v>1787</v>
      </c>
      <c r="C1823" s="6" t="s">
        <v>6383</v>
      </c>
      <c r="D1823" s="6" t="s">
        <v>6384</v>
      </c>
      <c r="E1823" s="7" t="s">
        <v>21</v>
      </c>
      <c r="F1823" s="6" t="s">
        <v>6689</v>
      </c>
      <c r="G1823" s="5" t="s">
        <v>6603</v>
      </c>
      <c r="H1823" s="5" t="s">
        <v>6690</v>
      </c>
      <c r="I1823" s="5" t="s">
        <v>6604</v>
      </c>
      <c r="J1823" s="5" t="s">
        <v>6691</v>
      </c>
      <c r="K1823" s="5"/>
      <c r="L1823" s="4" t="s">
        <v>27</v>
      </c>
      <c r="M1823" s="8" t="s">
        <v>79</v>
      </c>
      <c r="N1823" s="9" t="s">
        <v>6488</v>
      </c>
      <c r="O1823" s="5"/>
      <c r="P1823" s="5"/>
      <c r="Q1823" s="6" t="s">
        <v>30</v>
      </c>
      <c r="R1823" s="4" t="s">
        <v>31</v>
      </c>
      <c r="S1823" s="7" t="s">
        <v>32</v>
      </c>
      <c r="T1823" s="5"/>
    </row>
    <row r="1824" customFormat="false" ht="29.25" hidden="false" customHeight="true" outlineLevel="0" collapsed="false">
      <c r="A1824" s="4" t="n">
        <v>1823</v>
      </c>
      <c r="B1824" s="6" t="s">
        <v>1787</v>
      </c>
      <c r="C1824" s="6" t="s">
        <v>6383</v>
      </c>
      <c r="D1824" s="6" t="s">
        <v>6384</v>
      </c>
      <c r="E1824" s="7" t="s">
        <v>21</v>
      </c>
      <c r="F1824" s="6" t="s">
        <v>6692</v>
      </c>
      <c r="G1824" s="6" t="s">
        <v>6693</v>
      </c>
      <c r="H1824" s="6" t="s">
        <v>6694</v>
      </c>
      <c r="I1824" s="6" t="s">
        <v>6695</v>
      </c>
      <c r="J1824" s="6" t="s">
        <v>6696</v>
      </c>
      <c r="K1824" s="5"/>
      <c r="L1824" s="4" t="s">
        <v>51</v>
      </c>
      <c r="M1824" s="8" t="s">
        <v>129</v>
      </c>
      <c r="N1824" s="9" t="s">
        <v>6488</v>
      </c>
      <c r="O1824" s="5"/>
      <c r="P1824" s="5"/>
      <c r="Q1824" s="6" t="s">
        <v>30</v>
      </c>
      <c r="R1824" s="4" t="s">
        <v>31</v>
      </c>
      <c r="S1824" s="7" t="s">
        <v>32</v>
      </c>
      <c r="T1824" s="5"/>
    </row>
    <row r="1825" customFormat="false" ht="29.25" hidden="false" customHeight="true" outlineLevel="0" collapsed="false">
      <c r="A1825" s="4" t="n">
        <v>1824</v>
      </c>
      <c r="B1825" s="6" t="s">
        <v>1787</v>
      </c>
      <c r="C1825" s="6" t="s">
        <v>6383</v>
      </c>
      <c r="D1825" s="6" t="s">
        <v>6384</v>
      </c>
      <c r="E1825" s="7" t="s">
        <v>21</v>
      </c>
      <c r="F1825" s="6" t="s">
        <v>6697</v>
      </c>
      <c r="G1825" s="6" t="s">
        <v>6698</v>
      </c>
      <c r="H1825" s="6" t="s">
        <v>6699</v>
      </c>
      <c r="I1825" s="6" t="s">
        <v>6700</v>
      </c>
      <c r="J1825" s="6" t="s">
        <v>78</v>
      </c>
      <c r="K1825" s="5"/>
      <c r="L1825" s="4" t="s">
        <v>44</v>
      </c>
      <c r="M1825" s="8" t="s">
        <v>129</v>
      </c>
      <c r="N1825" s="9" t="s">
        <v>6488</v>
      </c>
      <c r="O1825" s="5"/>
      <c r="P1825" s="5"/>
      <c r="Q1825" s="6" t="s">
        <v>30</v>
      </c>
      <c r="R1825" s="4" t="s">
        <v>31</v>
      </c>
      <c r="S1825" s="7" t="s">
        <v>32</v>
      </c>
      <c r="T1825" s="5"/>
    </row>
    <row r="1826" customFormat="false" ht="29.25" hidden="false" customHeight="true" outlineLevel="0" collapsed="false">
      <c r="A1826" s="4" t="n">
        <v>1825</v>
      </c>
      <c r="B1826" s="6" t="s">
        <v>1787</v>
      </c>
      <c r="C1826" s="6" t="s">
        <v>6383</v>
      </c>
      <c r="D1826" s="6" t="s">
        <v>6384</v>
      </c>
      <c r="E1826" s="7" t="s">
        <v>21</v>
      </c>
      <c r="F1826" s="6" t="s">
        <v>6701</v>
      </c>
      <c r="G1826" s="5" t="s">
        <v>6604</v>
      </c>
      <c r="H1826" s="5" t="s">
        <v>6702</v>
      </c>
      <c r="I1826" s="5" t="s">
        <v>6703</v>
      </c>
      <c r="J1826" s="5" t="s">
        <v>6704</v>
      </c>
      <c r="K1826" s="5"/>
      <c r="L1826" s="4" t="s">
        <v>51</v>
      </c>
      <c r="M1826" s="8" t="s">
        <v>79</v>
      </c>
      <c r="N1826" s="9" t="s">
        <v>6387</v>
      </c>
      <c r="O1826" s="5"/>
      <c r="P1826" s="5"/>
      <c r="Q1826" s="6" t="s">
        <v>30</v>
      </c>
      <c r="R1826" s="4" t="s">
        <v>31</v>
      </c>
      <c r="S1826" s="7" t="s">
        <v>32</v>
      </c>
      <c r="T1826" s="5"/>
    </row>
    <row r="1827" customFormat="false" ht="29.25" hidden="false" customHeight="true" outlineLevel="0" collapsed="false">
      <c r="A1827" s="4" t="n">
        <v>1826</v>
      </c>
      <c r="B1827" s="6" t="s">
        <v>1787</v>
      </c>
      <c r="C1827" s="6" t="s">
        <v>6383</v>
      </c>
      <c r="D1827" s="6" t="s">
        <v>6384</v>
      </c>
      <c r="E1827" s="7" t="s">
        <v>21</v>
      </c>
      <c r="F1827" s="6" t="s">
        <v>6705</v>
      </c>
      <c r="G1827" s="5" t="s">
        <v>1226</v>
      </c>
      <c r="H1827" s="5" t="s">
        <v>1324</v>
      </c>
      <c r="I1827" s="5" t="s">
        <v>3643</v>
      </c>
      <c r="J1827" s="5" t="s">
        <v>6644</v>
      </c>
      <c r="K1827" s="5"/>
      <c r="L1827" s="4" t="s">
        <v>44</v>
      </c>
      <c r="M1827" s="8" t="s">
        <v>129</v>
      </c>
      <c r="N1827" s="9" t="s">
        <v>6488</v>
      </c>
      <c r="O1827" s="5"/>
      <c r="P1827" s="5"/>
      <c r="Q1827" s="6" t="s">
        <v>30</v>
      </c>
      <c r="R1827" s="4" t="s">
        <v>31</v>
      </c>
      <c r="S1827" s="7" t="s">
        <v>32</v>
      </c>
      <c r="T1827" s="5"/>
    </row>
    <row r="1828" customFormat="false" ht="29.25" hidden="false" customHeight="true" outlineLevel="0" collapsed="false">
      <c r="A1828" s="4" t="n">
        <v>1827</v>
      </c>
      <c r="B1828" s="6" t="s">
        <v>1787</v>
      </c>
      <c r="C1828" s="6" t="s">
        <v>6383</v>
      </c>
      <c r="D1828" s="6" t="s">
        <v>6384</v>
      </c>
      <c r="E1828" s="7" t="s">
        <v>21</v>
      </c>
      <c r="F1828" s="6" t="s">
        <v>6706</v>
      </c>
      <c r="G1828" s="5" t="s">
        <v>6707</v>
      </c>
      <c r="H1828" s="5" t="s">
        <v>6708</v>
      </c>
      <c r="I1828" s="5" t="s">
        <v>6709</v>
      </c>
      <c r="J1828" s="5" t="s">
        <v>6710</v>
      </c>
      <c r="K1828" s="5"/>
      <c r="L1828" s="4" t="s">
        <v>44</v>
      </c>
      <c r="M1828" s="8" t="s">
        <v>129</v>
      </c>
      <c r="N1828" s="9" t="s">
        <v>6488</v>
      </c>
      <c r="O1828" s="5"/>
      <c r="P1828" s="5"/>
      <c r="Q1828" s="6" t="s">
        <v>30</v>
      </c>
      <c r="R1828" s="4" t="s">
        <v>31</v>
      </c>
      <c r="S1828" s="7" t="s">
        <v>32</v>
      </c>
      <c r="T1828" s="5"/>
    </row>
    <row r="1829" customFormat="false" ht="29.25" hidden="false" customHeight="true" outlineLevel="0" collapsed="false">
      <c r="A1829" s="4" t="n">
        <v>1828</v>
      </c>
      <c r="B1829" s="6" t="s">
        <v>1787</v>
      </c>
      <c r="C1829" s="6" t="s">
        <v>6383</v>
      </c>
      <c r="D1829" s="6" t="s">
        <v>6384</v>
      </c>
      <c r="E1829" s="7" t="s">
        <v>21</v>
      </c>
      <c r="F1829" s="6" t="s">
        <v>6711</v>
      </c>
      <c r="G1829" s="5" t="s">
        <v>6712</v>
      </c>
      <c r="H1829" s="5" t="s">
        <v>6713</v>
      </c>
      <c r="I1829" s="5" t="s">
        <v>6714</v>
      </c>
      <c r="J1829" s="5" t="s">
        <v>6715</v>
      </c>
      <c r="K1829" s="5"/>
      <c r="L1829" s="4" t="s">
        <v>44</v>
      </c>
      <c r="M1829" s="8" t="s">
        <v>79</v>
      </c>
      <c r="N1829" s="9" t="s">
        <v>6488</v>
      </c>
      <c r="O1829" s="5"/>
      <c r="P1829" s="5"/>
      <c r="Q1829" s="6" t="s">
        <v>30</v>
      </c>
      <c r="R1829" s="4" t="s">
        <v>31</v>
      </c>
      <c r="S1829" s="7" t="s">
        <v>32</v>
      </c>
      <c r="T1829" s="5"/>
    </row>
    <row r="1830" customFormat="false" ht="29.25" hidden="false" customHeight="true" outlineLevel="0" collapsed="false">
      <c r="A1830" s="4" t="n">
        <v>1829</v>
      </c>
      <c r="B1830" s="6" t="s">
        <v>1787</v>
      </c>
      <c r="C1830" s="6" t="s">
        <v>6383</v>
      </c>
      <c r="D1830" s="6" t="s">
        <v>6384</v>
      </c>
      <c r="E1830" s="7" t="s">
        <v>21</v>
      </c>
      <c r="F1830" s="6" t="s">
        <v>6716</v>
      </c>
      <c r="G1830" s="6" t="s">
        <v>6234</v>
      </c>
      <c r="H1830" s="6" t="s">
        <v>6717</v>
      </c>
      <c r="I1830" s="6" t="s">
        <v>6236</v>
      </c>
      <c r="J1830" s="6" t="s">
        <v>6718</v>
      </c>
      <c r="K1830" s="5"/>
      <c r="L1830" s="4" t="s">
        <v>51</v>
      </c>
      <c r="M1830" s="8" t="s">
        <v>129</v>
      </c>
      <c r="N1830" s="9" t="s">
        <v>6488</v>
      </c>
      <c r="O1830" s="5"/>
      <c r="P1830" s="5"/>
      <c r="Q1830" s="6" t="s">
        <v>30</v>
      </c>
      <c r="R1830" s="4" t="s">
        <v>31</v>
      </c>
      <c r="S1830" s="7" t="s">
        <v>32</v>
      </c>
      <c r="T1830" s="5"/>
    </row>
    <row r="1831" customFormat="false" ht="29.25" hidden="false" customHeight="true" outlineLevel="0" collapsed="false">
      <c r="A1831" s="4" t="n">
        <v>1830</v>
      </c>
      <c r="B1831" s="6" t="s">
        <v>1787</v>
      </c>
      <c r="C1831" s="6" t="s">
        <v>6383</v>
      </c>
      <c r="D1831" s="6" t="s">
        <v>6384</v>
      </c>
      <c r="E1831" s="7" t="s">
        <v>21</v>
      </c>
      <c r="F1831" s="6" t="s">
        <v>6719</v>
      </c>
      <c r="G1831" s="5" t="s">
        <v>1226</v>
      </c>
      <c r="H1831" s="5" t="s">
        <v>1324</v>
      </c>
      <c r="I1831" s="5" t="s">
        <v>3643</v>
      </c>
      <c r="J1831" s="5" t="s">
        <v>6720</v>
      </c>
      <c r="K1831" s="5"/>
      <c r="L1831" s="4" t="s">
        <v>44</v>
      </c>
      <c r="M1831" s="8" t="s">
        <v>129</v>
      </c>
      <c r="N1831" s="9" t="s">
        <v>6387</v>
      </c>
      <c r="O1831" s="5"/>
      <c r="P1831" s="5"/>
      <c r="Q1831" s="6" t="s">
        <v>30</v>
      </c>
      <c r="R1831" s="4" t="s">
        <v>31</v>
      </c>
      <c r="S1831" s="7" t="s">
        <v>32</v>
      </c>
      <c r="T1831" s="5"/>
    </row>
    <row r="1832" customFormat="false" ht="29.25" hidden="false" customHeight="true" outlineLevel="0" collapsed="false">
      <c r="A1832" s="4" t="n">
        <v>1831</v>
      </c>
      <c r="B1832" s="6" t="s">
        <v>1787</v>
      </c>
      <c r="C1832" s="6" t="s">
        <v>6383</v>
      </c>
      <c r="D1832" s="6" t="s">
        <v>6384</v>
      </c>
      <c r="E1832" s="7" t="s">
        <v>21</v>
      </c>
      <c r="F1832" s="6" t="s">
        <v>6721</v>
      </c>
      <c r="G1832" s="5" t="s">
        <v>2938</v>
      </c>
      <c r="H1832" s="5" t="s">
        <v>2906</v>
      </c>
      <c r="I1832" s="5" t="s">
        <v>165</v>
      </c>
      <c r="J1832" s="5" t="s">
        <v>6671</v>
      </c>
      <c r="K1832" s="5"/>
      <c r="L1832" s="4" t="s">
        <v>44</v>
      </c>
      <c r="M1832" s="8" t="s">
        <v>79</v>
      </c>
      <c r="N1832" s="9" t="s">
        <v>6387</v>
      </c>
      <c r="O1832" s="5"/>
      <c r="P1832" s="5"/>
      <c r="Q1832" s="6" t="s">
        <v>30</v>
      </c>
      <c r="R1832" s="4" t="s">
        <v>31</v>
      </c>
      <c r="S1832" s="7" t="s">
        <v>32</v>
      </c>
      <c r="T1832" s="5"/>
    </row>
    <row r="1833" customFormat="false" ht="43.5" hidden="false" customHeight="true" outlineLevel="0" collapsed="false">
      <c r="A1833" s="4" t="n">
        <v>1832</v>
      </c>
      <c r="B1833" s="6" t="s">
        <v>1787</v>
      </c>
      <c r="C1833" s="6" t="s">
        <v>6383</v>
      </c>
      <c r="D1833" s="6" t="s">
        <v>6384</v>
      </c>
      <c r="E1833" s="7" t="s">
        <v>21</v>
      </c>
      <c r="F1833" s="6" t="s">
        <v>6722</v>
      </c>
      <c r="G1833" s="6" t="s">
        <v>6723</v>
      </c>
      <c r="H1833" s="6" t="s">
        <v>6724</v>
      </c>
      <c r="I1833" s="6" t="s">
        <v>6725</v>
      </c>
      <c r="J1833" s="6" t="s">
        <v>6726</v>
      </c>
      <c r="K1833" s="5"/>
      <c r="L1833" s="4" t="s">
        <v>62</v>
      </c>
      <c r="M1833" s="8" t="s">
        <v>79</v>
      </c>
      <c r="N1833" s="9" t="s">
        <v>6387</v>
      </c>
      <c r="O1833" s="5"/>
      <c r="P1833" s="5"/>
      <c r="Q1833" s="6" t="s">
        <v>30</v>
      </c>
      <c r="R1833" s="4" t="s">
        <v>31</v>
      </c>
      <c r="S1833" s="7" t="s">
        <v>32</v>
      </c>
      <c r="T1833" s="5"/>
    </row>
    <row r="1834" customFormat="false" ht="29.25" hidden="false" customHeight="true" outlineLevel="0" collapsed="false">
      <c r="A1834" s="4" t="n">
        <v>1833</v>
      </c>
      <c r="B1834" s="6" t="s">
        <v>1787</v>
      </c>
      <c r="C1834" s="6" t="s">
        <v>6383</v>
      </c>
      <c r="D1834" s="6" t="s">
        <v>6384</v>
      </c>
      <c r="E1834" s="7" t="s">
        <v>21</v>
      </c>
      <c r="F1834" s="5" t="s">
        <v>6727</v>
      </c>
      <c r="G1834" s="5" t="s">
        <v>6728</v>
      </c>
      <c r="H1834" s="5" t="s">
        <v>6714</v>
      </c>
      <c r="I1834" s="5" t="s">
        <v>6713</v>
      </c>
      <c r="J1834" s="5" t="s">
        <v>6712</v>
      </c>
      <c r="K1834" s="5"/>
      <c r="L1834" s="4" t="s">
        <v>51</v>
      </c>
      <c r="M1834" s="8" t="s">
        <v>129</v>
      </c>
      <c r="N1834" s="9" t="s">
        <v>6387</v>
      </c>
      <c r="O1834" s="5"/>
      <c r="P1834" s="5"/>
      <c r="Q1834" s="6" t="s">
        <v>30</v>
      </c>
      <c r="R1834" s="4" t="s">
        <v>31</v>
      </c>
      <c r="S1834" s="7" t="s">
        <v>32</v>
      </c>
      <c r="T1834" s="5"/>
    </row>
    <row r="1835" customFormat="false" ht="29.25" hidden="false" customHeight="true" outlineLevel="0" collapsed="false">
      <c r="A1835" s="4" t="n">
        <v>1834</v>
      </c>
      <c r="B1835" s="6" t="s">
        <v>1787</v>
      </c>
      <c r="C1835" s="6" t="s">
        <v>6383</v>
      </c>
      <c r="D1835" s="6" t="s">
        <v>6384</v>
      </c>
      <c r="E1835" s="7" t="s">
        <v>21</v>
      </c>
      <c r="F1835" s="6" t="s">
        <v>6729</v>
      </c>
      <c r="G1835" s="5" t="s">
        <v>2547</v>
      </c>
      <c r="H1835" s="5" t="s">
        <v>1321</v>
      </c>
      <c r="I1835" s="5" t="s">
        <v>1226</v>
      </c>
      <c r="J1835" s="5" t="s">
        <v>6644</v>
      </c>
      <c r="K1835" s="5"/>
      <c r="L1835" s="4" t="s">
        <v>44</v>
      </c>
      <c r="M1835" s="8" t="s">
        <v>79</v>
      </c>
      <c r="N1835" s="9" t="s">
        <v>6387</v>
      </c>
      <c r="O1835" s="5"/>
      <c r="P1835" s="5"/>
      <c r="Q1835" s="6" t="s">
        <v>30</v>
      </c>
      <c r="R1835" s="4" t="s">
        <v>31</v>
      </c>
      <c r="S1835" s="7" t="s">
        <v>32</v>
      </c>
      <c r="T1835" s="5"/>
    </row>
    <row r="1836" customFormat="false" ht="29.25" hidden="false" customHeight="true" outlineLevel="0" collapsed="false">
      <c r="A1836" s="4" t="n">
        <v>1835</v>
      </c>
      <c r="B1836" s="6" t="s">
        <v>1787</v>
      </c>
      <c r="C1836" s="6" t="s">
        <v>6383</v>
      </c>
      <c r="D1836" s="6" t="s">
        <v>6384</v>
      </c>
      <c r="E1836" s="7" t="s">
        <v>21</v>
      </c>
      <c r="F1836" s="6" t="s">
        <v>6730</v>
      </c>
      <c r="G1836" s="5" t="s">
        <v>2547</v>
      </c>
      <c r="H1836" s="5" t="s">
        <v>1321</v>
      </c>
      <c r="I1836" s="5" t="s">
        <v>1226</v>
      </c>
      <c r="J1836" s="5" t="s">
        <v>2672</v>
      </c>
      <c r="K1836" s="5"/>
      <c r="L1836" s="4" t="s">
        <v>27</v>
      </c>
      <c r="M1836" s="8" t="s">
        <v>129</v>
      </c>
      <c r="N1836" s="9" t="s">
        <v>6387</v>
      </c>
      <c r="O1836" s="5"/>
      <c r="P1836" s="5"/>
      <c r="Q1836" s="6" t="s">
        <v>30</v>
      </c>
      <c r="R1836" s="4" t="s">
        <v>31</v>
      </c>
      <c r="S1836" s="7" t="s">
        <v>32</v>
      </c>
      <c r="T1836" s="5"/>
    </row>
    <row r="1837" customFormat="false" ht="29.25" hidden="false" customHeight="true" outlineLevel="0" collapsed="false">
      <c r="A1837" s="4" t="n">
        <v>1836</v>
      </c>
      <c r="B1837" s="6" t="s">
        <v>1787</v>
      </c>
      <c r="C1837" s="6" t="s">
        <v>6383</v>
      </c>
      <c r="D1837" s="6" t="s">
        <v>6384</v>
      </c>
      <c r="E1837" s="7" t="s">
        <v>21</v>
      </c>
      <c r="F1837" s="6" t="s">
        <v>6731</v>
      </c>
      <c r="G1837" s="5" t="s">
        <v>1226</v>
      </c>
      <c r="H1837" s="5" t="s">
        <v>1324</v>
      </c>
      <c r="I1837" s="5" t="s">
        <v>3643</v>
      </c>
      <c r="J1837" s="5" t="s">
        <v>6644</v>
      </c>
      <c r="K1837" s="5"/>
      <c r="L1837" s="4" t="s">
        <v>44</v>
      </c>
      <c r="M1837" s="8" t="s">
        <v>129</v>
      </c>
      <c r="N1837" s="9" t="s">
        <v>6387</v>
      </c>
      <c r="O1837" s="5"/>
      <c r="P1837" s="5"/>
      <c r="Q1837" s="6" t="s">
        <v>30</v>
      </c>
      <c r="R1837" s="4" t="s">
        <v>31</v>
      </c>
      <c r="S1837" s="7" t="s">
        <v>32</v>
      </c>
      <c r="T1837" s="5"/>
    </row>
    <row r="1838" customFormat="false" ht="29.25" hidden="false" customHeight="true" outlineLevel="0" collapsed="false">
      <c r="A1838" s="4" t="n">
        <v>1837</v>
      </c>
      <c r="B1838" s="6" t="s">
        <v>1787</v>
      </c>
      <c r="C1838" s="6" t="s">
        <v>6383</v>
      </c>
      <c r="D1838" s="6" t="s">
        <v>6384</v>
      </c>
      <c r="E1838" s="7" t="s">
        <v>21</v>
      </c>
      <c r="F1838" s="6" t="s">
        <v>6732</v>
      </c>
      <c r="G1838" s="6" t="s">
        <v>6733</v>
      </c>
      <c r="H1838" s="6" t="s">
        <v>6734</v>
      </c>
      <c r="I1838" s="6" t="s">
        <v>6735</v>
      </c>
      <c r="J1838" s="6" t="s">
        <v>322</v>
      </c>
      <c r="K1838" s="5"/>
      <c r="L1838" s="4" t="s">
        <v>44</v>
      </c>
      <c r="M1838" s="8" t="s">
        <v>79</v>
      </c>
      <c r="N1838" s="9" t="s">
        <v>6387</v>
      </c>
      <c r="O1838" s="5"/>
      <c r="P1838" s="5"/>
      <c r="Q1838" s="6" t="s">
        <v>30</v>
      </c>
      <c r="R1838" s="4" t="s">
        <v>31</v>
      </c>
      <c r="S1838" s="7" t="s">
        <v>32</v>
      </c>
      <c r="T1838" s="5"/>
    </row>
    <row r="1839" customFormat="false" ht="29.25" hidden="false" customHeight="true" outlineLevel="0" collapsed="false">
      <c r="A1839" s="4" t="n">
        <v>1838</v>
      </c>
      <c r="B1839" s="6" t="s">
        <v>1787</v>
      </c>
      <c r="C1839" s="6" t="s">
        <v>6383</v>
      </c>
      <c r="D1839" s="6" t="s">
        <v>6384</v>
      </c>
      <c r="E1839" s="7" t="s">
        <v>21</v>
      </c>
      <c r="F1839" s="6" t="s">
        <v>6736</v>
      </c>
      <c r="G1839" s="6" t="s">
        <v>6737</v>
      </c>
      <c r="H1839" s="6" t="s">
        <v>6738</v>
      </c>
      <c r="I1839" s="6" t="s">
        <v>6739</v>
      </c>
      <c r="J1839" s="6" t="s">
        <v>6740</v>
      </c>
      <c r="K1839" s="5"/>
      <c r="L1839" s="4" t="s">
        <v>62</v>
      </c>
      <c r="M1839" s="8" t="s">
        <v>129</v>
      </c>
      <c r="N1839" s="9" t="s">
        <v>6387</v>
      </c>
      <c r="O1839" s="5"/>
      <c r="P1839" s="5"/>
      <c r="Q1839" s="6" t="s">
        <v>30</v>
      </c>
      <c r="R1839" s="4" t="s">
        <v>31</v>
      </c>
      <c r="S1839" s="7" t="s">
        <v>32</v>
      </c>
      <c r="T1839" s="5"/>
    </row>
    <row r="1840" customFormat="false" ht="29.25" hidden="false" customHeight="true" outlineLevel="0" collapsed="false">
      <c r="A1840" s="4" t="n">
        <v>1839</v>
      </c>
      <c r="B1840" s="6" t="s">
        <v>1787</v>
      </c>
      <c r="C1840" s="6" t="s">
        <v>6383</v>
      </c>
      <c r="D1840" s="6" t="s">
        <v>6384</v>
      </c>
      <c r="E1840" s="7" t="s">
        <v>21</v>
      </c>
      <c r="F1840" s="6" t="s">
        <v>6741</v>
      </c>
      <c r="G1840" s="5" t="s">
        <v>6742</v>
      </c>
      <c r="H1840" s="5" t="s">
        <v>6743</v>
      </c>
      <c r="I1840" s="5" t="s">
        <v>6744</v>
      </c>
      <c r="J1840" s="5" t="s">
        <v>6745</v>
      </c>
      <c r="K1840" s="5"/>
      <c r="L1840" s="4" t="s">
        <v>51</v>
      </c>
      <c r="M1840" s="8" t="s">
        <v>129</v>
      </c>
      <c r="N1840" s="9" t="s">
        <v>6387</v>
      </c>
      <c r="O1840" s="5"/>
      <c r="P1840" s="5"/>
      <c r="Q1840" s="6" t="s">
        <v>30</v>
      </c>
      <c r="R1840" s="4" t="s">
        <v>31</v>
      </c>
      <c r="S1840" s="7" t="s">
        <v>32</v>
      </c>
      <c r="T1840" s="5"/>
    </row>
    <row r="1841" customFormat="false" ht="29.25" hidden="false" customHeight="true" outlineLevel="0" collapsed="false">
      <c r="A1841" s="4" t="n">
        <v>1840</v>
      </c>
      <c r="B1841" s="6" t="s">
        <v>1787</v>
      </c>
      <c r="C1841" s="6" t="s">
        <v>6383</v>
      </c>
      <c r="D1841" s="6" t="s">
        <v>6384</v>
      </c>
      <c r="E1841" s="7" t="s">
        <v>21</v>
      </c>
      <c r="F1841" s="6" t="s">
        <v>6746</v>
      </c>
      <c r="G1841" s="6" t="s">
        <v>6540</v>
      </c>
      <c r="H1841" s="6" t="s">
        <v>6490</v>
      </c>
      <c r="I1841" s="6" t="s">
        <v>6492</v>
      </c>
      <c r="J1841" s="6" t="s">
        <v>6747</v>
      </c>
      <c r="K1841" s="5"/>
      <c r="L1841" s="4" t="s">
        <v>51</v>
      </c>
      <c r="M1841" s="8" t="s">
        <v>129</v>
      </c>
      <c r="N1841" s="9" t="s">
        <v>6387</v>
      </c>
      <c r="O1841" s="5"/>
      <c r="P1841" s="5"/>
      <c r="Q1841" s="6" t="s">
        <v>30</v>
      </c>
      <c r="R1841" s="4" t="s">
        <v>31</v>
      </c>
      <c r="S1841" s="7" t="s">
        <v>32</v>
      </c>
      <c r="T1841" s="5"/>
    </row>
    <row r="1842" customFormat="false" ht="43.5" hidden="false" customHeight="true" outlineLevel="0" collapsed="false">
      <c r="A1842" s="4" t="n">
        <v>1841</v>
      </c>
      <c r="B1842" s="6" t="s">
        <v>1787</v>
      </c>
      <c r="C1842" s="6" t="s">
        <v>6383</v>
      </c>
      <c r="D1842" s="6" t="s">
        <v>6384</v>
      </c>
      <c r="E1842" s="7" t="s">
        <v>21</v>
      </c>
      <c r="F1842" s="6" t="s">
        <v>6748</v>
      </c>
      <c r="G1842" s="6" t="s">
        <v>6491</v>
      </c>
      <c r="H1842" s="6" t="s">
        <v>6490</v>
      </c>
      <c r="I1842" s="6" t="s">
        <v>6492</v>
      </c>
      <c r="J1842" s="6" t="s">
        <v>6749</v>
      </c>
      <c r="K1842" s="5"/>
      <c r="L1842" s="4" t="s">
        <v>51</v>
      </c>
      <c r="M1842" s="8" t="s">
        <v>79</v>
      </c>
      <c r="N1842" s="9" t="s">
        <v>6387</v>
      </c>
      <c r="O1842" s="5"/>
      <c r="P1842" s="5"/>
      <c r="Q1842" s="6" t="s">
        <v>30</v>
      </c>
      <c r="R1842" s="4" t="s">
        <v>31</v>
      </c>
      <c r="S1842" s="7" t="s">
        <v>32</v>
      </c>
      <c r="T1842" s="5"/>
    </row>
    <row r="1843" customFormat="false" ht="29.25" hidden="false" customHeight="true" outlineLevel="0" collapsed="false">
      <c r="A1843" s="4" t="n">
        <v>1842</v>
      </c>
      <c r="B1843" s="6" t="s">
        <v>1787</v>
      </c>
      <c r="C1843" s="6" t="s">
        <v>6383</v>
      </c>
      <c r="D1843" s="6" t="s">
        <v>6384</v>
      </c>
      <c r="E1843" s="7" t="s">
        <v>21</v>
      </c>
      <c r="F1843" s="6" t="s">
        <v>6750</v>
      </c>
      <c r="G1843" s="5" t="s">
        <v>2672</v>
      </c>
      <c r="H1843" s="5" t="s">
        <v>6751</v>
      </c>
      <c r="I1843" s="5" t="s">
        <v>6752</v>
      </c>
      <c r="J1843" s="5" t="s">
        <v>6753</v>
      </c>
      <c r="K1843" s="5"/>
      <c r="L1843" s="4" t="s">
        <v>44</v>
      </c>
      <c r="M1843" s="8" t="s">
        <v>129</v>
      </c>
      <c r="N1843" s="9" t="s">
        <v>6387</v>
      </c>
      <c r="O1843" s="5"/>
      <c r="P1843" s="5"/>
      <c r="Q1843" s="6" t="s">
        <v>30</v>
      </c>
      <c r="R1843" s="4" t="s">
        <v>31</v>
      </c>
      <c r="S1843" s="7" t="s">
        <v>32</v>
      </c>
      <c r="T1843" s="5"/>
    </row>
    <row r="1844" customFormat="false" ht="29.25" hidden="false" customHeight="true" outlineLevel="0" collapsed="false">
      <c r="A1844" s="4" t="n">
        <v>1843</v>
      </c>
      <c r="B1844" s="6" t="s">
        <v>1787</v>
      </c>
      <c r="C1844" s="6" t="s">
        <v>6383</v>
      </c>
      <c r="D1844" s="6" t="s">
        <v>6384</v>
      </c>
      <c r="E1844" s="7" t="s">
        <v>21</v>
      </c>
      <c r="F1844" s="6" t="s">
        <v>6754</v>
      </c>
      <c r="G1844" s="5" t="s">
        <v>1321</v>
      </c>
      <c r="H1844" s="5" t="s">
        <v>1324</v>
      </c>
      <c r="I1844" s="5" t="s">
        <v>1327</v>
      </c>
      <c r="J1844" s="5" t="s">
        <v>6645</v>
      </c>
      <c r="K1844" s="5"/>
      <c r="L1844" s="4" t="s">
        <v>27</v>
      </c>
      <c r="M1844" s="8" t="s">
        <v>129</v>
      </c>
      <c r="N1844" s="9" t="s">
        <v>6387</v>
      </c>
      <c r="O1844" s="5"/>
      <c r="P1844" s="5"/>
      <c r="Q1844" s="6" t="s">
        <v>30</v>
      </c>
      <c r="R1844" s="4" t="s">
        <v>31</v>
      </c>
      <c r="S1844" s="7" t="s">
        <v>32</v>
      </c>
      <c r="T1844" s="5"/>
    </row>
    <row r="1845" customFormat="false" ht="29.25" hidden="false" customHeight="true" outlineLevel="0" collapsed="false">
      <c r="A1845" s="4" t="n">
        <v>1844</v>
      </c>
      <c r="B1845" s="6" t="s">
        <v>1787</v>
      </c>
      <c r="C1845" s="6" t="s">
        <v>6383</v>
      </c>
      <c r="D1845" s="6" t="s">
        <v>6384</v>
      </c>
      <c r="E1845" s="7" t="s">
        <v>21</v>
      </c>
      <c r="F1845" s="6" t="s">
        <v>6755</v>
      </c>
      <c r="G1845" s="5" t="s">
        <v>6756</v>
      </c>
      <c r="H1845" s="5" t="s">
        <v>1883</v>
      </c>
      <c r="I1845" s="5" t="s">
        <v>6757</v>
      </c>
      <c r="J1845" s="5" t="s">
        <v>6758</v>
      </c>
      <c r="K1845" s="5"/>
      <c r="L1845" s="4" t="s">
        <v>27</v>
      </c>
      <c r="M1845" s="8" t="s">
        <v>79</v>
      </c>
      <c r="N1845" s="9" t="s">
        <v>6387</v>
      </c>
      <c r="O1845" s="5"/>
      <c r="P1845" s="5"/>
      <c r="Q1845" s="6" t="s">
        <v>30</v>
      </c>
      <c r="R1845" s="4" t="s">
        <v>31</v>
      </c>
      <c r="S1845" s="7" t="s">
        <v>32</v>
      </c>
      <c r="T1845" s="5"/>
    </row>
    <row r="1846" customFormat="false" ht="57.75" hidden="false" customHeight="true" outlineLevel="0" collapsed="false">
      <c r="A1846" s="4" t="n">
        <v>1845</v>
      </c>
      <c r="B1846" s="6" t="s">
        <v>1787</v>
      </c>
      <c r="C1846" s="6" t="s">
        <v>6383</v>
      </c>
      <c r="D1846" s="6" t="s">
        <v>6384</v>
      </c>
      <c r="E1846" s="7" t="s">
        <v>21</v>
      </c>
      <c r="F1846" s="6" t="s">
        <v>6759</v>
      </c>
      <c r="G1846" s="6" t="s">
        <v>6760</v>
      </c>
      <c r="H1846" s="6" t="s">
        <v>6761</v>
      </c>
      <c r="I1846" s="6" t="s">
        <v>6762</v>
      </c>
      <c r="J1846" s="6" t="s">
        <v>6763</v>
      </c>
      <c r="K1846" s="5"/>
      <c r="L1846" s="4" t="s">
        <v>27</v>
      </c>
      <c r="M1846" s="8" t="s">
        <v>28</v>
      </c>
      <c r="N1846" s="9" t="s">
        <v>6387</v>
      </c>
      <c r="O1846" s="5"/>
      <c r="P1846" s="5"/>
      <c r="Q1846" s="6" t="s">
        <v>30</v>
      </c>
      <c r="R1846" s="4" t="s">
        <v>31</v>
      </c>
      <c r="S1846" s="7" t="s">
        <v>32</v>
      </c>
      <c r="T1846" s="5"/>
    </row>
    <row r="1847" customFormat="false" ht="29.25" hidden="false" customHeight="true" outlineLevel="0" collapsed="false">
      <c r="A1847" s="4" t="n">
        <v>1846</v>
      </c>
      <c r="B1847" s="6" t="s">
        <v>1787</v>
      </c>
      <c r="C1847" s="6" t="s">
        <v>6383</v>
      </c>
      <c r="D1847" s="6" t="s">
        <v>6384</v>
      </c>
      <c r="E1847" s="7" t="s">
        <v>21</v>
      </c>
      <c r="F1847" s="6" t="s">
        <v>6764</v>
      </c>
      <c r="G1847" s="5" t="s">
        <v>6041</v>
      </c>
      <c r="H1847" s="5" t="s">
        <v>6142</v>
      </c>
      <c r="I1847" s="5" t="s">
        <v>6765</v>
      </c>
      <c r="J1847" s="5" t="s">
        <v>6766</v>
      </c>
      <c r="K1847" s="5"/>
      <c r="L1847" s="4" t="s">
        <v>27</v>
      </c>
      <c r="M1847" s="8" t="s">
        <v>79</v>
      </c>
      <c r="N1847" s="9" t="s">
        <v>6387</v>
      </c>
      <c r="O1847" s="5"/>
      <c r="P1847" s="5"/>
      <c r="Q1847" s="6" t="s">
        <v>30</v>
      </c>
      <c r="R1847" s="4" t="s">
        <v>31</v>
      </c>
      <c r="S1847" s="7" t="s">
        <v>32</v>
      </c>
      <c r="T1847" s="5"/>
    </row>
    <row r="1848" customFormat="false" ht="29.25" hidden="false" customHeight="true" outlineLevel="0" collapsed="false">
      <c r="A1848" s="4" t="n">
        <v>1847</v>
      </c>
      <c r="B1848" s="6" t="s">
        <v>1787</v>
      </c>
      <c r="C1848" s="6" t="s">
        <v>6383</v>
      </c>
      <c r="D1848" s="6" t="s">
        <v>6384</v>
      </c>
      <c r="E1848" s="7" t="s">
        <v>21</v>
      </c>
      <c r="F1848" s="6" t="s">
        <v>6767</v>
      </c>
      <c r="G1848" s="5" t="s">
        <v>6768</v>
      </c>
      <c r="H1848" s="5" t="s">
        <v>6769</v>
      </c>
      <c r="I1848" s="5" t="s">
        <v>1324</v>
      </c>
      <c r="J1848" s="5" t="s">
        <v>6770</v>
      </c>
      <c r="K1848" s="5"/>
      <c r="L1848" s="4" t="s">
        <v>27</v>
      </c>
      <c r="M1848" s="8" t="s">
        <v>129</v>
      </c>
      <c r="N1848" s="9" t="s">
        <v>6387</v>
      </c>
      <c r="O1848" s="5"/>
      <c r="P1848" s="5"/>
      <c r="Q1848" s="6" t="s">
        <v>30</v>
      </c>
      <c r="R1848" s="4" t="s">
        <v>31</v>
      </c>
      <c r="S1848" s="7" t="s">
        <v>32</v>
      </c>
      <c r="T1848" s="5"/>
    </row>
    <row r="1849" customFormat="false" ht="29.25" hidden="false" customHeight="true" outlineLevel="0" collapsed="false">
      <c r="A1849" s="4" t="n">
        <v>1848</v>
      </c>
      <c r="B1849" s="6" t="s">
        <v>1787</v>
      </c>
      <c r="C1849" s="6" t="s">
        <v>6383</v>
      </c>
      <c r="D1849" s="6" t="s">
        <v>6384</v>
      </c>
      <c r="E1849" s="7" t="s">
        <v>21</v>
      </c>
      <c r="F1849" s="6" t="s">
        <v>6771</v>
      </c>
      <c r="G1849" s="5" t="s">
        <v>6041</v>
      </c>
      <c r="H1849" s="5" t="s">
        <v>6142</v>
      </c>
      <c r="I1849" s="5" t="s">
        <v>6765</v>
      </c>
      <c r="J1849" s="5" t="s">
        <v>6766</v>
      </c>
      <c r="K1849" s="5"/>
      <c r="L1849" s="4" t="s">
        <v>62</v>
      </c>
      <c r="M1849" s="8" t="s">
        <v>129</v>
      </c>
      <c r="N1849" s="9" t="s">
        <v>6387</v>
      </c>
      <c r="O1849" s="5"/>
      <c r="P1849" s="5"/>
      <c r="Q1849" s="6" t="s">
        <v>30</v>
      </c>
      <c r="R1849" s="4" t="s">
        <v>31</v>
      </c>
      <c r="S1849" s="7" t="s">
        <v>32</v>
      </c>
      <c r="T1849" s="5"/>
    </row>
    <row r="1850" customFormat="false" ht="29.25" hidden="false" customHeight="true" outlineLevel="0" collapsed="false">
      <c r="A1850" s="4" t="n">
        <v>1849</v>
      </c>
      <c r="B1850" s="6" t="s">
        <v>1787</v>
      </c>
      <c r="C1850" s="6" t="s">
        <v>6383</v>
      </c>
      <c r="D1850" s="6" t="s">
        <v>6384</v>
      </c>
      <c r="E1850" s="7" t="s">
        <v>21</v>
      </c>
      <c r="F1850" s="6" t="s">
        <v>6772</v>
      </c>
      <c r="G1850" s="5" t="s">
        <v>1792</v>
      </c>
      <c r="H1850" s="5" t="s">
        <v>6773</v>
      </c>
      <c r="I1850" s="5" t="s">
        <v>6774</v>
      </c>
      <c r="J1850" s="5" t="s">
        <v>6775</v>
      </c>
      <c r="K1850" s="5"/>
      <c r="L1850" s="4" t="s">
        <v>51</v>
      </c>
      <c r="M1850" s="8" t="s">
        <v>129</v>
      </c>
      <c r="N1850" s="9" t="s">
        <v>6387</v>
      </c>
      <c r="O1850" s="5"/>
      <c r="P1850" s="5"/>
      <c r="Q1850" s="6" t="s">
        <v>30</v>
      </c>
      <c r="R1850" s="4" t="s">
        <v>31</v>
      </c>
      <c r="S1850" s="7" t="s">
        <v>32</v>
      </c>
      <c r="T1850" s="5"/>
    </row>
    <row r="1851" customFormat="false" ht="29.25" hidden="false" customHeight="true" outlineLevel="0" collapsed="false">
      <c r="A1851" s="4" t="n">
        <v>1850</v>
      </c>
      <c r="B1851" s="6" t="s">
        <v>1787</v>
      </c>
      <c r="C1851" s="6" t="s">
        <v>6383</v>
      </c>
      <c r="D1851" s="6" t="s">
        <v>6384</v>
      </c>
      <c r="E1851" s="7" t="s">
        <v>21</v>
      </c>
      <c r="F1851" s="6" t="s">
        <v>6776</v>
      </c>
      <c r="G1851" s="6" t="s">
        <v>6777</v>
      </c>
      <c r="H1851" s="6" t="s">
        <v>6778</v>
      </c>
      <c r="I1851" s="6" t="s">
        <v>6779</v>
      </c>
      <c r="J1851" s="6" t="s">
        <v>6780</v>
      </c>
      <c r="K1851" s="5"/>
      <c r="L1851" s="4" t="s">
        <v>27</v>
      </c>
      <c r="M1851" s="8" t="s">
        <v>79</v>
      </c>
      <c r="N1851" s="9" t="s">
        <v>6387</v>
      </c>
      <c r="O1851" s="5"/>
      <c r="P1851" s="5"/>
      <c r="Q1851" s="6" t="s">
        <v>30</v>
      </c>
      <c r="R1851" s="4" t="s">
        <v>31</v>
      </c>
      <c r="S1851" s="7" t="s">
        <v>32</v>
      </c>
      <c r="T1851" s="5"/>
    </row>
    <row r="1852" customFormat="false" ht="29.25" hidden="false" customHeight="true" outlineLevel="0" collapsed="false">
      <c r="A1852" s="4" t="n">
        <v>1851</v>
      </c>
      <c r="B1852" s="6" t="s">
        <v>1787</v>
      </c>
      <c r="C1852" s="6" t="s">
        <v>6383</v>
      </c>
      <c r="D1852" s="6" t="s">
        <v>6384</v>
      </c>
      <c r="E1852" s="7" t="s">
        <v>21</v>
      </c>
      <c r="F1852" s="6" t="s">
        <v>6781</v>
      </c>
      <c r="G1852" s="6" t="s">
        <v>6782</v>
      </c>
      <c r="H1852" s="6" t="s">
        <v>6783</v>
      </c>
      <c r="I1852" s="6" t="s">
        <v>6784</v>
      </c>
      <c r="J1852" s="6" t="s">
        <v>6785</v>
      </c>
      <c r="K1852" s="5"/>
      <c r="L1852" s="4" t="s">
        <v>51</v>
      </c>
      <c r="M1852" s="8" t="s">
        <v>79</v>
      </c>
      <c r="N1852" s="9" t="s">
        <v>6387</v>
      </c>
      <c r="O1852" s="5"/>
      <c r="P1852" s="5"/>
      <c r="Q1852" s="6" t="s">
        <v>30</v>
      </c>
      <c r="R1852" s="4" t="s">
        <v>31</v>
      </c>
      <c r="S1852" s="7" t="s">
        <v>32</v>
      </c>
      <c r="T1852" s="5"/>
    </row>
    <row r="1853" customFormat="false" ht="29.25" hidden="false" customHeight="true" outlineLevel="0" collapsed="false">
      <c r="A1853" s="4" t="n">
        <v>1852</v>
      </c>
      <c r="B1853" s="6" t="s">
        <v>1787</v>
      </c>
      <c r="C1853" s="6" t="s">
        <v>6383</v>
      </c>
      <c r="D1853" s="6" t="s">
        <v>6384</v>
      </c>
      <c r="E1853" s="7" t="s">
        <v>21</v>
      </c>
      <c r="F1853" s="6" t="s">
        <v>6786</v>
      </c>
      <c r="G1853" s="5" t="s">
        <v>1235</v>
      </c>
      <c r="H1853" s="5" t="s">
        <v>1224</v>
      </c>
      <c r="I1853" s="5" t="s">
        <v>164</v>
      </c>
      <c r="J1853" s="5" t="s">
        <v>6787</v>
      </c>
      <c r="K1853" s="5"/>
      <c r="L1853" s="4" t="s">
        <v>44</v>
      </c>
      <c r="M1853" s="8" t="s">
        <v>79</v>
      </c>
      <c r="N1853" s="9" t="s">
        <v>6387</v>
      </c>
      <c r="O1853" s="5"/>
      <c r="P1853" s="5"/>
      <c r="Q1853" s="6" t="s">
        <v>30</v>
      </c>
      <c r="R1853" s="4" t="s">
        <v>31</v>
      </c>
      <c r="S1853" s="7" t="s">
        <v>32</v>
      </c>
      <c r="T1853" s="5"/>
    </row>
    <row r="1854" customFormat="false" ht="29.25" hidden="false" customHeight="true" outlineLevel="0" collapsed="false">
      <c r="A1854" s="4" t="n">
        <v>1853</v>
      </c>
      <c r="B1854" s="6" t="s">
        <v>1787</v>
      </c>
      <c r="C1854" s="6" t="s">
        <v>6383</v>
      </c>
      <c r="D1854" s="6" t="s">
        <v>6384</v>
      </c>
      <c r="E1854" s="7" t="s">
        <v>21</v>
      </c>
      <c r="F1854" s="6" t="s">
        <v>6788</v>
      </c>
      <c r="G1854" s="5" t="s">
        <v>6789</v>
      </c>
      <c r="H1854" s="5" t="s">
        <v>6790</v>
      </c>
      <c r="I1854" s="5" t="s">
        <v>6791</v>
      </c>
      <c r="J1854" s="5" t="s">
        <v>6792</v>
      </c>
      <c r="K1854" s="5"/>
      <c r="L1854" s="4" t="s">
        <v>62</v>
      </c>
      <c r="M1854" s="8" t="s">
        <v>129</v>
      </c>
      <c r="N1854" s="9" t="s">
        <v>6387</v>
      </c>
      <c r="O1854" s="5"/>
      <c r="P1854" s="5"/>
      <c r="Q1854" s="6" t="s">
        <v>30</v>
      </c>
      <c r="R1854" s="4" t="s">
        <v>31</v>
      </c>
      <c r="S1854" s="7" t="s">
        <v>32</v>
      </c>
      <c r="T1854" s="5"/>
    </row>
    <row r="1855" customFormat="false" ht="29.25" hidden="false" customHeight="true" outlineLevel="0" collapsed="false">
      <c r="A1855" s="4" t="n">
        <v>1854</v>
      </c>
      <c r="B1855" s="6" t="s">
        <v>1787</v>
      </c>
      <c r="C1855" s="6" t="s">
        <v>6383</v>
      </c>
      <c r="D1855" s="6" t="s">
        <v>6384</v>
      </c>
      <c r="E1855" s="7" t="s">
        <v>21</v>
      </c>
      <c r="F1855" s="6" t="s">
        <v>6793</v>
      </c>
      <c r="G1855" s="5" t="s">
        <v>2547</v>
      </c>
      <c r="H1855" s="5" t="s">
        <v>164</v>
      </c>
      <c r="I1855" s="5" t="s">
        <v>1224</v>
      </c>
      <c r="J1855" s="5" t="s">
        <v>6794</v>
      </c>
      <c r="K1855" s="5"/>
      <c r="L1855" s="4" t="s">
        <v>51</v>
      </c>
      <c r="M1855" s="8" t="s">
        <v>79</v>
      </c>
      <c r="N1855" s="9" t="s">
        <v>6488</v>
      </c>
      <c r="O1855" s="5"/>
      <c r="P1855" s="5"/>
      <c r="Q1855" s="6" t="s">
        <v>30</v>
      </c>
      <c r="R1855" s="4" t="s">
        <v>31</v>
      </c>
      <c r="S1855" s="7" t="s">
        <v>32</v>
      </c>
      <c r="T1855" s="5"/>
    </row>
    <row r="1856" customFormat="false" ht="29.25" hidden="false" customHeight="true" outlineLevel="0" collapsed="false">
      <c r="A1856" s="4" t="n">
        <v>1855</v>
      </c>
      <c r="B1856" s="6" t="s">
        <v>1787</v>
      </c>
      <c r="C1856" s="6" t="s">
        <v>6383</v>
      </c>
      <c r="D1856" s="6" t="s">
        <v>6384</v>
      </c>
      <c r="E1856" s="7" t="s">
        <v>21</v>
      </c>
      <c r="F1856" s="6" t="s">
        <v>6795</v>
      </c>
      <c r="G1856" s="5" t="s">
        <v>176</v>
      </c>
      <c r="H1856" s="5" t="s">
        <v>1235</v>
      </c>
      <c r="I1856" s="5" t="s">
        <v>1224</v>
      </c>
      <c r="J1856" s="5" t="s">
        <v>6796</v>
      </c>
      <c r="K1856" s="5"/>
      <c r="L1856" s="4" t="s">
        <v>62</v>
      </c>
      <c r="M1856" s="8" t="s">
        <v>79</v>
      </c>
      <c r="N1856" s="9" t="s">
        <v>6488</v>
      </c>
      <c r="O1856" s="5"/>
      <c r="P1856" s="5"/>
      <c r="Q1856" s="6" t="s">
        <v>30</v>
      </c>
      <c r="R1856" s="4" t="s">
        <v>31</v>
      </c>
      <c r="S1856" s="7" t="s">
        <v>32</v>
      </c>
      <c r="T1856" s="5"/>
    </row>
    <row r="1857" customFormat="false" ht="29.25" hidden="false" customHeight="true" outlineLevel="0" collapsed="false">
      <c r="A1857" s="4" t="n">
        <v>1856</v>
      </c>
      <c r="B1857" s="6" t="s">
        <v>1787</v>
      </c>
      <c r="C1857" s="6" t="s">
        <v>6383</v>
      </c>
      <c r="D1857" s="6" t="s">
        <v>6384</v>
      </c>
      <c r="E1857" s="7" t="s">
        <v>21</v>
      </c>
      <c r="F1857" s="6" t="s">
        <v>6797</v>
      </c>
      <c r="G1857" s="5" t="s">
        <v>1235</v>
      </c>
      <c r="H1857" s="5" t="s">
        <v>1224</v>
      </c>
      <c r="I1857" s="5" t="s">
        <v>164</v>
      </c>
      <c r="J1857" s="5" t="s">
        <v>2547</v>
      </c>
      <c r="K1857" s="5"/>
      <c r="L1857" s="4" t="s">
        <v>51</v>
      </c>
      <c r="M1857" s="8" t="s">
        <v>129</v>
      </c>
      <c r="N1857" s="9" t="s">
        <v>6387</v>
      </c>
      <c r="O1857" s="5"/>
      <c r="P1857" s="5"/>
      <c r="Q1857" s="6" t="s">
        <v>30</v>
      </c>
      <c r="R1857" s="4" t="s">
        <v>31</v>
      </c>
      <c r="S1857" s="7" t="s">
        <v>32</v>
      </c>
      <c r="T1857" s="5"/>
    </row>
    <row r="1858" customFormat="false" ht="29.25" hidden="false" customHeight="true" outlineLevel="0" collapsed="false">
      <c r="A1858" s="4" t="n">
        <v>1857</v>
      </c>
      <c r="B1858" s="6" t="s">
        <v>1787</v>
      </c>
      <c r="C1858" s="6" t="s">
        <v>6383</v>
      </c>
      <c r="D1858" s="6" t="s">
        <v>6384</v>
      </c>
      <c r="E1858" s="7" t="s">
        <v>21</v>
      </c>
      <c r="F1858" s="6" t="s">
        <v>6798</v>
      </c>
      <c r="G1858" s="5" t="s">
        <v>1226</v>
      </c>
      <c r="H1858" s="5" t="s">
        <v>1327</v>
      </c>
      <c r="I1858" s="5" t="s">
        <v>2677</v>
      </c>
      <c r="J1858" s="5" t="s">
        <v>6799</v>
      </c>
      <c r="K1858" s="5"/>
      <c r="L1858" s="4" t="s">
        <v>44</v>
      </c>
      <c r="M1858" s="8" t="s">
        <v>129</v>
      </c>
      <c r="N1858" s="9" t="s">
        <v>6387</v>
      </c>
      <c r="O1858" s="5"/>
      <c r="P1858" s="5"/>
      <c r="Q1858" s="6" t="s">
        <v>30</v>
      </c>
      <c r="R1858" s="4" t="s">
        <v>31</v>
      </c>
      <c r="S1858" s="7" t="s">
        <v>32</v>
      </c>
      <c r="T1858" s="5"/>
    </row>
    <row r="1859" customFormat="false" ht="29.25" hidden="false" customHeight="true" outlineLevel="0" collapsed="false">
      <c r="A1859" s="4" t="n">
        <v>1858</v>
      </c>
      <c r="B1859" s="6" t="s">
        <v>1787</v>
      </c>
      <c r="C1859" s="6" t="s">
        <v>6383</v>
      </c>
      <c r="D1859" s="6" t="s">
        <v>6384</v>
      </c>
      <c r="E1859" s="7" t="s">
        <v>21</v>
      </c>
      <c r="F1859" s="6" t="s">
        <v>6800</v>
      </c>
      <c r="G1859" s="5" t="s">
        <v>1327</v>
      </c>
      <c r="H1859" s="5" t="s">
        <v>1324</v>
      </c>
      <c r="I1859" s="5" t="s">
        <v>1226</v>
      </c>
      <c r="J1859" s="5" t="s">
        <v>6801</v>
      </c>
      <c r="K1859" s="5"/>
      <c r="L1859" s="4" t="s">
        <v>51</v>
      </c>
      <c r="M1859" s="8" t="s">
        <v>129</v>
      </c>
      <c r="N1859" s="9" t="s">
        <v>6387</v>
      </c>
      <c r="O1859" s="5"/>
      <c r="P1859" s="5"/>
      <c r="Q1859" s="6" t="s">
        <v>30</v>
      </c>
      <c r="R1859" s="4" t="s">
        <v>31</v>
      </c>
      <c r="S1859" s="7" t="s">
        <v>32</v>
      </c>
      <c r="T1859" s="5"/>
    </row>
    <row r="1860" customFormat="false" ht="29.25" hidden="false" customHeight="true" outlineLevel="0" collapsed="false">
      <c r="A1860" s="4" t="n">
        <v>1859</v>
      </c>
      <c r="B1860" s="6" t="s">
        <v>1787</v>
      </c>
      <c r="C1860" s="6" t="s">
        <v>6383</v>
      </c>
      <c r="D1860" s="6" t="s">
        <v>6384</v>
      </c>
      <c r="E1860" s="7" t="s">
        <v>21</v>
      </c>
      <c r="F1860" s="6" t="s">
        <v>6802</v>
      </c>
      <c r="G1860" s="5" t="s">
        <v>6803</v>
      </c>
      <c r="H1860" s="5" t="s">
        <v>1235</v>
      </c>
      <c r="I1860" s="5" t="s">
        <v>6052</v>
      </c>
      <c r="J1860" s="5" t="s">
        <v>1902</v>
      </c>
      <c r="K1860" s="5"/>
      <c r="L1860" s="4" t="s">
        <v>27</v>
      </c>
      <c r="M1860" s="8" t="s">
        <v>129</v>
      </c>
      <c r="N1860" s="9" t="s">
        <v>6387</v>
      </c>
      <c r="O1860" s="5"/>
      <c r="P1860" s="5"/>
      <c r="Q1860" s="6" t="s">
        <v>30</v>
      </c>
      <c r="R1860" s="4" t="s">
        <v>31</v>
      </c>
      <c r="S1860" s="7" t="s">
        <v>32</v>
      </c>
      <c r="T1860" s="5"/>
    </row>
    <row r="1861" customFormat="false" ht="29.25" hidden="false" customHeight="true" outlineLevel="0" collapsed="false">
      <c r="A1861" s="4" t="n">
        <v>1860</v>
      </c>
      <c r="B1861" s="6" t="s">
        <v>1787</v>
      </c>
      <c r="C1861" s="6" t="s">
        <v>6383</v>
      </c>
      <c r="D1861" s="6" t="s">
        <v>6384</v>
      </c>
      <c r="E1861" s="7" t="s">
        <v>21</v>
      </c>
      <c r="F1861" s="6" t="s">
        <v>6804</v>
      </c>
      <c r="G1861" s="5" t="s">
        <v>6805</v>
      </c>
      <c r="H1861" s="5" t="s">
        <v>6806</v>
      </c>
      <c r="I1861" s="5" t="s">
        <v>6807</v>
      </c>
      <c r="J1861" s="5" t="s">
        <v>6808</v>
      </c>
      <c r="K1861" s="5"/>
      <c r="L1861" s="4" t="s">
        <v>51</v>
      </c>
      <c r="M1861" s="8" t="s">
        <v>129</v>
      </c>
      <c r="N1861" s="9" t="s">
        <v>6387</v>
      </c>
      <c r="O1861" s="5"/>
      <c r="P1861" s="5"/>
      <c r="Q1861" s="6" t="s">
        <v>30</v>
      </c>
      <c r="R1861" s="4" t="s">
        <v>31</v>
      </c>
      <c r="S1861" s="7" t="s">
        <v>32</v>
      </c>
      <c r="T1861" s="5"/>
    </row>
    <row r="1862" customFormat="false" ht="29.25" hidden="false" customHeight="true" outlineLevel="0" collapsed="false">
      <c r="A1862" s="4" t="n">
        <v>1861</v>
      </c>
      <c r="B1862" s="6" t="s">
        <v>1787</v>
      </c>
      <c r="C1862" s="6" t="s">
        <v>6383</v>
      </c>
      <c r="D1862" s="6" t="s">
        <v>6384</v>
      </c>
      <c r="E1862" s="7" t="s">
        <v>21</v>
      </c>
      <c r="F1862" s="6" t="s">
        <v>6809</v>
      </c>
      <c r="G1862" s="6" t="s">
        <v>6563</v>
      </c>
      <c r="H1862" s="6" t="s">
        <v>6492</v>
      </c>
      <c r="I1862" s="6" t="s">
        <v>6540</v>
      </c>
      <c r="J1862" s="6" t="s">
        <v>6810</v>
      </c>
      <c r="K1862" s="5"/>
      <c r="L1862" s="4" t="s">
        <v>51</v>
      </c>
      <c r="M1862" s="8" t="s">
        <v>79</v>
      </c>
      <c r="N1862" s="9" t="s">
        <v>6488</v>
      </c>
      <c r="O1862" s="5"/>
      <c r="P1862" s="5"/>
      <c r="Q1862" s="6" t="s">
        <v>30</v>
      </c>
      <c r="R1862" s="4" t="s">
        <v>31</v>
      </c>
      <c r="S1862" s="7" t="s">
        <v>32</v>
      </c>
      <c r="T1862" s="5"/>
    </row>
    <row r="1863" customFormat="false" ht="29.25" hidden="false" customHeight="true" outlineLevel="0" collapsed="false">
      <c r="A1863" s="4" t="n">
        <v>1862</v>
      </c>
      <c r="B1863" s="6" t="s">
        <v>1787</v>
      </c>
      <c r="C1863" s="6" t="s">
        <v>6383</v>
      </c>
      <c r="D1863" s="6" t="s">
        <v>6384</v>
      </c>
      <c r="E1863" s="7" t="s">
        <v>21</v>
      </c>
      <c r="F1863" s="6" t="s">
        <v>6811</v>
      </c>
      <c r="G1863" s="5" t="s">
        <v>6812</v>
      </c>
      <c r="H1863" s="5" t="s">
        <v>6813</v>
      </c>
      <c r="I1863" s="5" t="s">
        <v>6814</v>
      </c>
      <c r="J1863" s="5" t="s">
        <v>6815</v>
      </c>
      <c r="K1863" s="5"/>
      <c r="L1863" s="4" t="s">
        <v>44</v>
      </c>
      <c r="M1863" s="8" t="s">
        <v>129</v>
      </c>
      <c r="N1863" s="9" t="s">
        <v>6387</v>
      </c>
      <c r="O1863" s="5"/>
      <c r="P1863" s="5"/>
      <c r="Q1863" s="6" t="s">
        <v>30</v>
      </c>
      <c r="R1863" s="4" t="s">
        <v>31</v>
      </c>
      <c r="S1863" s="7" t="s">
        <v>32</v>
      </c>
      <c r="T1863" s="5"/>
    </row>
    <row r="1864" customFormat="false" ht="29.25" hidden="false" customHeight="true" outlineLevel="0" collapsed="false">
      <c r="A1864" s="4" t="n">
        <v>1863</v>
      </c>
      <c r="B1864" s="6" t="s">
        <v>1787</v>
      </c>
      <c r="C1864" s="6" t="s">
        <v>6383</v>
      </c>
      <c r="D1864" s="6" t="s">
        <v>6384</v>
      </c>
      <c r="E1864" s="7" t="s">
        <v>21</v>
      </c>
      <c r="F1864" s="6" t="s">
        <v>6816</v>
      </c>
      <c r="G1864" s="5" t="s">
        <v>6817</v>
      </c>
      <c r="H1864" s="5" t="s">
        <v>6818</v>
      </c>
      <c r="I1864" s="5" t="s">
        <v>6819</v>
      </c>
      <c r="J1864" s="6" t="s">
        <v>6820</v>
      </c>
      <c r="K1864" s="5"/>
      <c r="L1864" s="4" t="s">
        <v>44</v>
      </c>
      <c r="M1864" s="8" t="s">
        <v>79</v>
      </c>
      <c r="N1864" s="9" t="s">
        <v>6387</v>
      </c>
      <c r="O1864" s="5"/>
      <c r="P1864" s="5"/>
      <c r="Q1864" s="6" t="s">
        <v>30</v>
      </c>
      <c r="R1864" s="4" t="s">
        <v>31</v>
      </c>
      <c r="S1864" s="7" t="s">
        <v>32</v>
      </c>
      <c r="T1864" s="5"/>
    </row>
    <row r="1865" customFormat="false" ht="29.25" hidden="false" customHeight="true" outlineLevel="0" collapsed="false">
      <c r="A1865" s="4" t="n">
        <v>1864</v>
      </c>
      <c r="B1865" s="6" t="s">
        <v>1787</v>
      </c>
      <c r="C1865" s="6" t="s">
        <v>6383</v>
      </c>
      <c r="D1865" s="6" t="s">
        <v>6384</v>
      </c>
      <c r="E1865" s="7" t="s">
        <v>21</v>
      </c>
      <c r="F1865" s="5" t="s">
        <v>6821</v>
      </c>
      <c r="G1865" s="5" t="s">
        <v>6822</v>
      </c>
      <c r="H1865" s="5" t="s">
        <v>6823</v>
      </c>
      <c r="I1865" s="5" t="s">
        <v>6824</v>
      </c>
      <c r="J1865" s="5" t="s">
        <v>6825</v>
      </c>
      <c r="K1865" s="5"/>
      <c r="L1865" s="4" t="s">
        <v>44</v>
      </c>
      <c r="M1865" s="8" t="s">
        <v>129</v>
      </c>
      <c r="N1865" s="9" t="s">
        <v>6387</v>
      </c>
      <c r="O1865" s="5"/>
      <c r="P1865" s="5"/>
      <c r="Q1865" s="6" t="s">
        <v>30</v>
      </c>
      <c r="R1865" s="4" t="s">
        <v>31</v>
      </c>
      <c r="S1865" s="7" t="s">
        <v>32</v>
      </c>
      <c r="T1865" s="5"/>
    </row>
    <row r="1866" customFormat="false" ht="29.25" hidden="false" customHeight="true" outlineLevel="0" collapsed="false">
      <c r="A1866" s="4" t="n">
        <v>1865</v>
      </c>
      <c r="B1866" s="6" t="s">
        <v>1787</v>
      </c>
      <c r="C1866" s="6" t="s">
        <v>6383</v>
      </c>
      <c r="D1866" s="6" t="s">
        <v>6384</v>
      </c>
      <c r="E1866" s="7" t="s">
        <v>21</v>
      </c>
      <c r="F1866" s="6" t="s">
        <v>6826</v>
      </c>
      <c r="G1866" s="5" t="s">
        <v>6827</v>
      </c>
      <c r="H1866" s="5" t="s">
        <v>6828</v>
      </c>
      <c r="I1866" s="5" t="s">
        <v>6829</v>
      </c>
      <c r="J1866" s="5" t="s">
        <v>6830</v>
      </c>
      <c r="K1866" s="5"/>
      <c r="L1866" s="4" t="s">
        <v>44</v>
      </c>
      <c r="M1866" s="8" t="s">
        <v>28</v>
      </c>
      <c r="N1866" s="9" t="s">
        <v>6387</v>
      </c>
      <c r="O1866" s="5"/>
      <c r="P1866" s="5"/>
      <c r="Q1866" s="6" t="s">
        <v>30</v>
      </c>
      <c r="R1866" s="4" t="s">
        <v>31</v>
      </c>
      <c r="S1866" s="7" t="s">
        <v>32</v>
      </c>
      <c r="T1866" s="5"/>
    </row>
    <row r="1867" customFormat="false" ht="29.25" hidden="false" customHeight="true" outlineLevel="0" collapsed="false">
      <c r="A1867" s="4" t="n">
        <v>1866</v>
      </c>
      <c r="B1867" s="6" t="s">
        <v>1787</v>
      </c>
      <c r="C1867" s="6" t="s">
        <v>6383</v>
      </c>
      <c r="D1867" s="6" t="s">
        <v>6384</v>
      </c>
      <c r="E1867" s="7" t="s">
        <v>21</v>
      </c>
      <c r="F1867" s="6" t="s">
        <v>6831</v>
      </c>
      <c r="G1867" s="6" t="s">
        <v>6832</v>
      </c>
      <c r="H1867" s="6" t="s">
        <v>6833</v>
      </c>
      <c r="I1867" s="6" t="s">
        <v>6834</v>
      </c>
      <c r="J1867" s="6" t="s">
        <v>6835</v>
      </c>
      <c r="K1867" s="5"/>
      <c r="L1867" s="4" t="s">
        <v>62</v>
      </c>
      <c r="M1867" s="8" t="s">
        <v>129</v>
      </c>
      <c r="N1867" s="9" t="s">
        <v>6387</v>
      </c>
      <c r="O1867" s="5"/>
      <c r="P1867" s="5"/>
      <c r="Q1867" s="6" t="s">
        <v>30</v>
      </c>
      <c r="R1867" s="4" t="s">
        <v>31</v>
      </c>
      <c r="S1867" s="7" t="s">
        <v>32</v>
      </c>
      <c r="T1867" s="5"/>
    </row>
    <row r="1868" customFormat="false" ht="29.25" hidden="false" customHeight="true" outlineLevel="0" collapsed="false">
      <c r="A1868" s="4" t="n">
        <v>1867</v>
      </c>
      <c r="B1868" s="6" t="s">
        <v>1787</v>
      </c>
      <c r="C1868" s="6" t="s">
        <v>6383</v>
      </c>
      <c r="D1868" s="6" t="s">
        <v>6384</v>
      </c>
      <c r="E1868" s="7" t="s">
        <v>21</v>
      </c>
      <c r="F1868" s="6" t="s">
        <v>6836</v>
      </c>
      <c r="G1868" s="6" t="s">
        <v>6837</v>
      </c>
      <c r="H1868" s="6" t="s">
        <v>6834</v>
      </c>
      <c r="I1868" s="6" t="s">
        <v>6833</v>
      </c>
      <c r="J1868" s="6" t="s">
        <v>6838</v>
      </c>
      <c r="K1868" s="5"/>
      <c r="L1868" s="4" t="s">
        <v>51</v>
      </c>
      <c r="M1868" s="8" t="s">
        <v>129</v>
      </c>
      <c r="N1868" s="9" t="s">
        <v>6387</v>
      </c>
      <c r="O1868" s="5"/>
      <c r="P1868" s="5"/>
      <c r="Q1868" s="6" t="s">
        <v>30</v>
      </c>
      <c r="R1868" s="4" t="s">
        <v>31</v>
      </c>
      <c r="S1868" s="7" t="s">
        <v>32</v>
      </c>
      <c r="T1868" s="5"/>
    </row>
    <row r="1869" customFormat="false" ht="29.25" hidden="false" customHeight="true" outlineLevel="0" collapsed="false">
      <c r="A1869" s="4" t="n">
        <v>1868</v>
      </c>
      <c r="B1869" s="6" t="s">
        <v>1787</v>
      </c>
      <c r="C1869" s="6" t="s">
        <v>6383</v>
      </c>
      <c r="D1869" s="6" t="s">
        <v>6384</v>
      </c>
      <c r="E1869" s="7" t="s">
        <v>21</v>
      </c>
      <c r="F1869" s="6" t="s">
        <v>6839</v>
      </c>
      <c r="G1869" s="6" t="s">
        <v>6837</v>
      </c>
      <c r="H1869" s="6" t="s">
        <v>6840</v>
      </c>
      <c r="I1869" s="6" t="s">
        <v>6833</v>
      </c>
      <c r="J1869" s="6" t="s">
        <v>6835</v>
      </c>
      <c r="K1869" s="5"/>
      <c r="L1869" s="4" t="s">
        <v>62</v>
      </c>
      <c r="M1869" s="8" t="s">
        <v>79</v>
      </c>
      <c r="N1869" s="9" t="s">
        <v>6387</v>
      </c>
      <c r="O1869" s="5"/>
      <c r="P1869" s="5"/>
      <c r="Q1869" s="6" t="s">
        <v>30</v>
      </c>
      <c r="R1869" s="4" t="s">
        <v>31</v>
      </c>
      <c r="S1869" s="7" t="s">
        <v>32</v>
      </c>
      <c r="T1869" s="5"/>
    </row>
    <row r="1870" customFormat="false" ht="29.25" hidden="false" customHeight="true" outlineLevel="0" collapsed="false">
      <c r="A1870" s="4" t="n">
        <v>1869</v>
      </c>
      <c r="B1870" s="6" t="s">
        <v>1787</v>
      </c>
      <c r="C1870" s="6" t="s">
        <v>6383</v>
      </c>
      <c r="D1870" s="6" t="s">
        <v>6384</v>
      </c>
      <c r="E1870" s="7" t="s">
        <v>21</v>
      </c>
      <c r="F1870" s="6" t="s">
        <v>6841</v>
      </c>
      <c r="G1870" s="6" t="s">
        <v>6835</v>
      </c>
      <c r="H1870" s="6" t="s">
        <v>6833</v>
      </c>
      <c r="I1870" s="6" t="s">
        <v>6834</v>
      </c>
      <c r="J1870" s="6" t="s">
        <v>6837</v>
      </c>
      <c r="K1870" s="5"/>
      <c r="L1870" s="4" t="s">
        <v>51</v>
      </c>
      <c r="M1870" s="8" t="s">
        <v>79</v>
      </c>
      <c r="N1870" s="9" t="s">
        <v>6387</v>
      </c>
      <c r="O1870" s="5"/>
      <c r="P1870" s="5"/>
      <c r="Q1870" s="6" t="s">
        <v>30</v>
      </c>
      <c r="R1870" s="4" t="s">
        <v>31</v>
      </c>
      <c r="S1870" s="7" t="s">
        <v>32</v>
      </c>
      <c r="T1870" s="5"/>
    </row>
    <row r="1871" customFormat="false" ht="29.25" hidden="false" customHeight="true" outlineLevel="0" collapsed="false">
      <c r="A1871" s="4" t="n">
        <v>1870</v>
      </c>
      <c r="B1871" s="6" t="s">
        <v>1787</v>
      </c>
      <c r="C1871" s="6" t="s">
        <v>6383</v>
      </c>
      <c r="D1871" s="6" t="s">
        <v>6384</v>
      </c>
      <c r="E1871" s="7" t="s">
        <v>21</v>
      </c>
      <c r="F1871" s="6" t="s">
        <v>6842</v>
      </c>
      <c r="G1871" s="5" t="s">
        <v>176</v>
      </c>
      <c r="H1871" s="5" t="s">
        <v>1235</v>
      </c>
      <c r="I1871" s="5" t="s">
        <v>1224</v>
      </c>
      <c r="J1871" s="5" t="s">
        <v>6843</v>
      </c>
      <c r="K1871" s="5"/>
      <c r="L1871" s="4" t="s">
        <v>51</v>
      </c>
      <c r="M1871" s="8" t="s">
        <v>129</v>
      </c>
      <c r="N1871" s="9" t="s">
        <v>6387</v>
      </c>
      <c r="O1871" s="5"/>
      <c r="P1871" s="5"/>
      <c r="Q1871" s="6" t="s">
        <v>30</v>
      </c>
      <c r="R1871" s="4" t="s">
        <v>31</v>
      </c>
      <c r="S1871" s="7" t="s">
        <v>32</v>
      </c>
      <c r="T1871" s="5"/>
    </row>
    <row r="1872" customFormat="false" ht="29.25" hidden="false" customHeight="true" outlineLevel="0" collapsed="false">
      <c r="A1872" s="4" t="n">
        <v>1871</v>
      </c>
      <c r="B1872" s="6" t="s">
        <v>1787</v>
      </c>
      <c r="C1872" s="6" t="s">
        <v>6383</v>
      </c>
      <c r="D1872" s="6" t="s">
        <v>6384</v>
      </c>
      <c r="E1872" s="7" t="s">
        <v>21</v>
      </c>
      <c r="F1872" s="6" t="s">
        <v>6844</v>
      </c>
      <c r="G1872" s="5" t="s">
        <v>6014</v>
      </c>
      <c r="H1872" s="5" t="s">
        <v>6845</v>
      </c>
      <c r="I1872" s="5" t="s">
        <v>6846</v>
      </c>
      <c r="J1872" s="5" t="s">
        <v>6847</v>
      </c>
      <c r="K1872" s="5"/>
      <c r="L1872" s="4" t="s">
        <v>44</v>
      </c>
      <c r="M1872" s="8" t="s">
        <v>129</v>
      </c>
      <c r="N1872" s="9" t="s">
        <v>6387</v>
      </c>
      <c r="O1872" s="5"/>
      <c r="P1872" s="5"/>
      <c r="Q1872" s="6" t="s">
        <v>30</v>
      </c>
      <c r="R1872" s="4" t="s">
        <v>31</v>
      </c>
      <c r="S1872" s="7" t="s">
        <v>32</v>
      </c>
      <c r="T1872" s="5"/>
    </row>
    <row r="1873" customFormat="false" ht="29.25" hidden="false" customHeight="true" outlineLevel="0" collapsed="false">
      <c r="A1873" s="4" t="n">
        <v>1872</v>
      </c>
      <c r="B1873" s="6" t="s">
        <v>1787</v>
      </c>
      <c r="C1873" s="6" t="s">
        <v>6383</v>
      </c>
      <c r="D1873" s="6" t="s">
        <v>6384</v>
      </c>
      <c r="E1873" s="7" t="s">
        <v>21</v>
      </c>
      <c r="F1873" s="6" t="s">
        <v>6848</v>
      </c>
      <c r="G1873" s="5" t="s">
        <v>6683</v>
      </c>
      <c r="H1873" s="5" t="s">
        <v>6825</v>
      </c>
      <c r="I1873" s="5" t="s">
        <v>6849</v>
      </c>
      <c r="J1873" s="5" t="s">
        <v>6850</v>
      </c>
      <c r="K1873" s="5"/>
      <c r="L1873" s="4" t="s">
        <v>44</v>
      </c>
      <c r="M1873" s="8" t="s">
        <v>28</v>
      </c>
      <c r="N1873" s="9" t="s">
        <v>6387</v>
      </c>
      <c r="O1873" s="5"/>
      <c r="P1873" s="5"/>
      <c r="Q1873" s="6" t="s">
        <v>30</v>
      </c>
      <c r="R1873" s="4" t="s">
        <v>31</v>
      </c>
      <c r="S1873" s="7" t="s">
        <v>32</v>
      </c>
      <c r="T1873" s="5"/>
    </row>
    <row r="1874" customFormat="false" ht="29.25" hidden="false" customHeight="true" outlineLevel="0" collapsed="false">
      <c r="A1874" s="4" t="n">
        <v>1873</v>
      </c>
      <c r="B1874" s="6" t="s">
        <v>1787</v>
      </c>
      <c r="C1874" s="6" t="s">
        <v>6383</v>
      </c>
      <c r="D1874" s="6" t="s">
        <v>6384</v>
      </c>
      <c r="E1874" s="7" t="s">
        <v>21</v>
      </c>
      <c r="F1874" s="6" t="s">
        <v>6851</v>
      </c>
      <c r="G1874" s="5" t="s">
        <v>5791</v>
      </c>
      <c r="H1874" s="5" t="s">
        <v>6046</v>
      </c>
      <c r="I1874" s="5" t="s">
        <v>6044</v>
      </c>
      <c r="J1874" s="5" t="s">
        <v>6022</v>
      </c>
      <c r="K1874" s="5"/>
      <c r="L1874" s="4" t="s">
        <v>44</v>
      </c>
      <c r="M1874" s="8" t="s">
        <v>129</v>
      </c>
      <c r="N1874" s="9" t="s">
        <v>6387</v>
      </c>
      <c r="O1874" s="5"/>
      <c r="P1874" s="5"/>
      <c r="Q1874" s="6" t="s">
        <v>30</v>
      </c>
      <c r="R1874" s="4" t="s">
        <v>31</v>
      </c>
      <c r="S1874" s="7" t="s">
        <v>32</v>
      </c>
      <c r="T1874" s="5"/>
    </row>
    <row r="1875" customFormat="false" ht="29.25" hidden="false" customHeight="true" outlineLevel="0" collapsed="false">
      <c r="A1875" s="4" t="n">
        <v>1874</v>
      </c>
      <c r="B1875" s="6" t="s">
        <v>1787</v>
      </c>
      <c r="C1875" s="6" t="s">
        <v>6383</v>
      </c>
      <c r="D1875" s="6" t="s">
        <v>6384</v>
      </c>
      <c r="E1875" s="7" t="s">
        <v>21</v>
      </c>
      <c r="F1875" s="6" t="s">
        <v>6852</v>
      </c>
      <c r="G1875" s="5" t="s">
        <v>6853</v>
      </c>
      <c r="H1875" s="5" t="s">
        <v>6854</v>
      </c>
      <c r="I1875" s="5" t="s">
        <v>6855</v>
      </c>
      <c r="J1875" s="5" t="s">
        <v>6856</v>
      </c>
      <c r="K1875" s="5"/>
      <c r="L1875" s="4" t="s">
        <v>51</v>
      </c>
      <c r="M1875" s="8" t="s">
        <v>79</v>
      </c>
      <c r="N1875" s="9" t="s">
        <v>6488</v>
      </c>
      <c r="O1875" s="5"/>
      <c r="P1875" s="5"/>
      <c r="Q1875" s="6" t="s">
        <v>30</v>
      </c>
      <c r="R1875" s="4" t="s">
        <v>31</v>
      </c>
      <c r="S1875" s="7" t="s">
        <v>32</v>
      </c>
      <c r="T1875" s="5"/>
    </row>
    <row r="1876" customFormat="false" ht="29.25" hidden="false" customHeight="true" outlineLevel="0" collapsed="false">
      <c r="A1876" s="4" t="n">
        <v>1875</v>
      </c>
      <c r="B1876" s="6" t="s">
        <v>1787</v>
      </c>
      <c r="C1876" s="6" t="s">
        <v>6383</v>
      </c>
      <c r="D1876" s="6" t="s">
        <v>6384</v>
      </c>
      <c r="E1876" s="7" t="s">
        <v>21</v>
      </c>
      <c r="F1876" s="6" t="s">
        <v>6857</v>
      </c>
      <c r="G1876" s="6" t="s">
        <v>6858</v>
      </c>
      <c r="H1876" s="6" t="s">
        <v>6859</v>
      </c>
      <c r="I1876" s="6" t="s">
        <v>6860</v>
      </c>
      <c r="J1876" s="6" t="s">
        <v>6861</v>
      </c>
      <c r="K1876" s="5"/>
      <c r="L1876" s="4" t="s">
        <v>62</v>
      </c>
      <c r="M1876" s="8" t="s">
        <v>28</v>
      </c>
      <c r="N1876" s="9" t="s">
        <v>6387</v>
      </c>
      <c r="O1876" s="5"/>
      <c r="P1876" s="5"/>
      <c r="Q1876" s="6" t="s">
        <v>30</v>
      </c>
      <c r="R1876" s="4" t="s">
        <v>31</v>
      </c>
      <c r="S1876" s="7" t="s">
        <v>32</v>
      </c>
      <c r="T1876" s="5"/>
    </row>
    <row r="1877" customFormat="false" ht="29.25" hidden="false" customHeight="true" outlineLevel="0" collapsed="false">
      <c r="A1877" s="4" t="n">
        <v>1876</v>
      </c>
      <c r="B1877" s="6" t="s">
        <v>1787</v>
      </c>
      <c r="C1877" s="6" t="s">
        <v>6383</v>
      </c>
      <c r="D1877" s="6" t="s">
        <v>6384</v>
      </c>
      <c r="E1877" s="7" t="s">
        <v>21</v>
      </c>
      <c r="F1877" s="6" t="s">
        <v>6862</v>
      </c>
      <c r="G1877" s="6" t="s">
        <v>6863</v>
      </c>
      <c r="H1877" s="6" t="s">
        <v>6864</v>
      </c>
      <c r="I1877" s="6" t="s">
        <v>6865</v>
      </c>
      <c r="J1877" s="6" t="s">
        <v>6866</v>
      </c>
      <c r="K1877" s="5"/>
      <c r="L1877" s="4" t="s">
        <v>62</v>
      </c>
      <c r="M1877" s="8" t="s">
        <v>28</v>
      </c>
      <c r="N1877" s="9" t="s">
        <v>6387</v>
      </c>
      <c r="O1877" s="5"/>
      <c r="P1877" s="5"/>
      <c r="Q1877" s="6" t="s">
        <v>30</v>
      </c>
      <c r="R1877" s="4" t="s">
        <v>31</v>
      </c>
      <c r="S1877" s="7" t="s">
        <v>32</v>
      </c>
      <c r="T1877" s="5"/>
    </row>
    <row r="1878" customFormat="false" ht="29.25" hidden="false" customHeight="true" outlineLevel="0" collapsed="false">
      <c r="A1878" s="4" t="n">
        <v>1877</v>
      </c>
      <c r="B1878" s="6" t="s">
        <v>1787</v>
      </c>
      <c r="C1878" s="6" t="s">
        <v>6383</v>
      </c>
      <c r="D1878" s="6" t="s">
        <v>6384</v>
      </c>
      <c r="E1878" s="7" t="s">
        <v>21</v>
      </c>
      <c r="F1878" s="6" t="s">
        <v>6867</v>
      </c>
      <c r="G1878" s="5" t="s">
        <v>1224</v>
      </c>
      <c r="H1878" s="5" t="s">
        <v>164</v>
      </c>
      <c r="I1878" s="5" t="s">
        <v>2547</v>
      </c>
      <c r="J1878" s="5" t="s">
        <v>6043</v>
      </c>
      <c r="K1878" s="5"/>
      <c r="L1878" s="4" t="s">
        <v>44</v>
      </c>
      <c r="M1878" s="8" t="s">
        <v>129</v>
      </c>
      <c r="N1878" s="9" t="s">
        <v>6387</v>
      </c>
      <c r="O1878" s="5"/>
      <c r="P1878" s="5"/>
      <c r="Q1878" s="6" t="s">
        <v>30</v>
      </c>
      <c r="R1878" s="4" t="s">
        <v>31</v>
      </c>
      <c r="S1878" s="7" t="s">
        <v>32</v>
      </c>
      <c r="T1878" s="5"/>
    </row>
    <row r="1879" customFormat="false" ht="29.25" hidden="false" customHeight="true" outlineLevel="0" collapsed="false">
      <c r="A1879" s="4" t="n">
        <v>1878</v>
      </c>
      <c r="B1879" s="6" t="s">
        <v>1787</v>
      </c>
      <c r="C1879" s="6" t="s">
        <v>6383</v>
      </c>
      <c r="D1879" s="6" t="s">
        <v>6384</v>
      </c>
      <c r="E1879" s="7" t="s">
        <v>21</v>
      </c>
      <c r="F1879" s="6" t="s">
        <v>6868</v>
      </c>
      <c r="G1879" s="5" t="s">
        <v>1226</v>
      </c>
      <c r="H1879" s="5" t="s">
        <v>1324</v>
      </c>
      <c r="I1879" s="5" t="s">
        <v>3643</v>
      </c>
      <c r="J1879" s="5" t="s">
        <v>6869</v>
      </c>
      <c r="K1879" s="5"/>
      <c r="L1879" s="4" t="s">
        <v>27</v>
      </c>
      <c r="M1879" s="8" t="s">
        <v>129</v>
      </c>
      <c r="N1879" s="9" t="s">
        <v>6387</v>
      </c>
      <c r="O1879" s="5"/>
      <c r="P1879" s="5"/>
      <c r="Q1879" s="6" t="s">
        <v>30</v>
      </c>
      <c r="R1879" s="4" t="s">
        <v>31</v>
      </c>
      <c r="S1879" s="7" t="s">
        <v>32</v>
      </c>
      <c r="T1879" s="5"/>
    </row>
    <row r="1880" customFormat="false" ht="29.25" hidden="false" customHeight="true" outlineLevel="0" collapsed="false">
      <c r="A1880" s="4" t="n">
        <v>1879</v>
      </c>
      <c r="B1880" s="6" t="s">
        <v>1787</v>
      </c>
      <c r="C1880" s="6" t="s">
        <v>6383</v>
      </c>
      <c r="D1880" s="6" t="s">
        <v>6384</v>
      </c>
      <c r="E1880" s="7" t="s">
        <v>21</v>
      </c>
      <c r="F1880" s="6" t="s">
        <v>6870</v>
      </c>
      <c r="G1880" s="5" t="s">
        <v>2547</v>
      </c>
      <c r="H1880" s="5" t="s">
        <v>1321</v>
      </c>
      <c r="I1880" s="5" t="s">
        <v>1226</v>
      </c>
      <c r="J1880" s="5" t="s">
        <v>6871</v>
      </c>
      <c r="K1880" s="5"/>
      <c r="L1880" s="4" t="s">
        <v>27</v>
      </c>
      <c r="M1880" s="8" t="s">
        <v>129</v>
      </c>
      <c r="N1880" s="9" t="s">
        <v>6387</v>
      </c>
      <c r="O1880" s="5"/>
      <c r="P1880" s="5"/>
      <c r="Q1880" s="6" t="s">
        <v>30</v>
      </c>
      <c r="R1880" s="4" t="s">
        <v>31</v>
      </c>
      <c r="S1880" s="7" t="s">
        <v>32</v>
      </c>
      <c r="T1880" s="5"/>
    </row>
    <row r="1881" customFormat="false" ht="29.25" hidden="false" customHeight="true" outlineLevel="0" collapsed="false">
      <c r="A1881" s="4" t="n">
        <v>1880</v>
      </c>
      <c r="B1881" s="6" t="s">
        <v>1787</v>
      </c>
      <c r="C1881" s="6" t="s">
        <v>6383</v>
      </c>
      <c r="D1881" s="6" t="s">
        <v>6384</v>
      </c>
      <c r="E1881" s="7" t="s">
        <v>21</v>
      </c>
      <c r="F1881" s="6" t="s">
        <v>6872</v>
      </c>
      <c r="G1881" s="5" t="s">
        <v>6768</v>
      </c>
      <c r="H1881" s="5" t="s">
        <v>6769</v>
      </c>
      <c r="I1881" s="5" t="s">
        <v>3643</v>
      </c>
      <c r="J1881" s="5" t="s">
        <v>6873</v>
      </c>
      <c r="K1881" s="5"/>
      <c r="L1881" s="4" t="s">
        <v>62</v>
      </c>
      <c r="M1881" s="8" t="s">
        <v>129</v>
      </c>
      <c r="N1881" s="9" t="s">
        <v>6387</v>
      </c>
      <c r="O1881" s="5"/>
      <c r="P1881" s="5"/>
      <c r="Q1881" s="6" t="s">
        <v>30</v>
      </c>
      <c r="R1881" s="4" t="s">
        <v>31</v>
      </c>
      <c r="S1881" s="7" t="s">
        <v>32</v>
      </c>
      <c r="T1881" s="5"/>
    </row>
    <row r="1882" customFormat="false" ht="29.25" hidden="false" customHeight="true" outlineLevel="0" collapsed="false">
      <c r="A1882" s="4" t="n">
        <v>1881</v>
      </c>
      <c r="B1882" s="6" t="s">
        <v>1787</v>
      </c>
      <c r="C1882" s="6" t="s">
        <v>6383</v>
      </c>
      <c r="D1882" s="6" t="s">
        <v>6384</v>
      </c>
      <c r="E1882" s="7" t="s">
        <v>21</v>
      </c>
      <c r="F1882" s="6" t="s">
        <v>6874</v>
      </c>
      <c r="G1882" s="5" t="s">
        <v>6875</v>
      </c>
      <c r="H1882" s="5" t="s">
        <v>6876</v>
      </c>
      <c r="I1882" s="5" t="s">
        <v>6877</v>
      </c>
      <c r="J1882" s="5" t="s">
        <v>6878</v>
      </c>
      <c r="K1882" s="5"/>
      <c r="L1882" s="4" t="s">
        <v>44</v>
      </c>
      <c r="M1882" s="8" t="s">
        <v>129</v>
      </c>
      <c r="N1882" s="9" t="s">
        <v>6387</v>
      </c>
      <c r="O1882" s="5"/>
      <c r="P1882" s="5"/>
      <c r="Q1882" s="6" t="s">
        <v>30</v>
      </c>
      <c r="R1882" s="4" t="s">
        <v>31</v>
      </c>
      <c r="S1882" s="7" t="s">
        <v>32</v>
      </c>
      <c r="T1882" s="5"/>
    </row>
    <row r="1883" customFormat="false" ht="29.25" hidden="false" customHeight="true" outlineLevel="0" collapsed="false">
      <c r="A1883" s="4" t="n">
        <v>1882</v>
      </c>
      <c r="B1883" s="6" t="s">
        <v>1787</v>
      </c>
      <c r="C1883" s="6" t="s">
        <v>6383</v>
      </c>
      <c r="D1883" s="6" t="s">
        <v>6384</v>
      </c>
      <c r="E1883" s="7" t="s">
        <v>21</v>
      </c>
      <c r="F1883" s="6" t="s">
        <v>6879</v>
      </c>
      <c r="G1883" s="5" t="s">
        <v>5977</v>
      </c>
      <c r="H1883" s="5" t="s">
        <v>1253</v>
      </c>
      <c r="I1883" s="5" t="s">
        <v>1254</v>
      </c>
      <c r="J1883" s="5" t="s">
        <v>6794</v>
      </c>
      <c r="K1883" s="5"/>
      <c r="L1883" s="4" t="s">
        <v>44</v>
      </c>
      <c r="M1883" s="8" t="s">
        <v>129</v>
      </c>
      <c r="N1883" s="9" t="s">
        <v>6387</v>
      </c>
      <c r="O1883" s="5"/>
      <c r="P1883" s="5"/>
      <c r="Q1883" s="6" t="s">
        <v>30</v>
      </c>
      <c r="R1883" s="4" t="s">
        <v>31</v>
      </c>
      <c r="S1883" s="7" t="s">
        <v>32</v>
      </c>
      <c r="T1883" s="5"/>
    </row>
    <row r="1884" customFormat="false" ht="29.25" hidden="false" customHeight="true" outlineLevel="0" collapsed="false">
      <c r="A1884" s="4" t="n">
        <v>1883</v>
      </c>
      <c r="B1884" s="6" t="s">
        <v>1787</v>
      </c>
      <c r="C1884" s="6" t="s">
        <v>6383</v>
      </c>
      <c r="D1884" s="6" t="s">
        <v>6384</v>
      </c>
      <c r="E1884" s="7" t="s">
        <v>21</v>
      </c>
      <c r="F1884" s="6" t="s">
        <v>6880</v>
      </c>
      <c r="G1884" s="6" t="s">
        <v>6881</v>
      </c>
      <c r="H1884" s="6" t="s">
        <v>6833</v>
      </c>
      <c r="I1884" s="6" t="s">
        <v>6834</v>
      </c>
      <c r="J1884" s="6" t="s">
        <v>6882</v>
      </c>
      <c r="K1884" s="5"/>
      <c r="L1884" s="4" t="s">
        <v>51</v>
      </c>
      <c r="M1884" s="8" t="s">
        <v>79</v>
      </c>
      <c r="N1884" s="9" t="s">
        <v>6387</v>
      </c>
      <c r="O1884" s="5"/>
      <c r="P1884" s="5"/>
      <c r="Q1884" s="6" t="s">
        <v>30</v>
      </c>
      <c r="R1884" s="4" t="s">
        <v>31</v>
      </c>
      <c r="S1884" s="7" t="s">
        <v>32</v>
      </c>
      <c r="T1884" s="5"/>
    </row>
    <row r="1885" customFormat="false" ht="29.25" hidden="false" customHeight="true" outlineLevel="0" collapsed="false">
      <c r="A1885" s="4" t="n">
        <v>1884</v>
      </c>
      <c r="B1885" s="6" t="s">
        <v>1787</v>
      </c>
      <c r="C1885" s="6" t="s">
        <v>6383</v>
      </c>
      <c r="D1885" s="6" t="s">
        <v>6384</v>
      </c>
      <c r="E1885" s="7" t="s">
        <v>21</v>
      </c>
      <c r="F1885" s="6" t="s">
        <v>6883</v>
      </c>
      <c r="G1885" s="6" t="s">
        <v>6884</v>
      </c>
      <c r="H1885" s="6" t="s">
        <v>6833</v>
      </c>
      <c r="I1885" s="6" t="s">
        <v>6834</v>
      </c>
      <c r="J1885" s="6" t="s">
        <v>6837</v>
      </c>
      <c r="K1885" s="5"/>
      <c r="L1885" s="4" t="s">
        <v>51</v>
      </c>
      <c r="M1885" s="8" t="s">
        <v>79</v>
      </c>
      <c r="N1885" s="9" t="s">
        <v>6387</v>
      </c>
      <c r="O1885" s="5"/>
      <c r="P1885" s="5"/>
      <c r="Q1885" s="6" t="s">
        <v>30</v>
      </c>
      <c r="R1885" s="4" t="s">
        <v>31</v>
      </c>
      <c r="S1885" s="7" t="s">
        <v>32</v>
      </c>
      <c r="T1885" s="5"/>
    </row>
    <row r="1886" customFormat="false" ht="29.25" hidden="false" customHeight="true" outlineLevel="0" collapsed="false">
      <c r="A1886" s="4" t="n">
        <v>1885</v>
      </c>
      <c r="B1886" s="6" t="s">
        <v>1787</v>
      </c>
      <c r="C1886" s="6" t="s">
        <v>6383</v>
      </c>
      <c r="D1886" s="6" t="s">
        <v>6384</v>
      </c>
      <c r="E1886" s="7" t="s">
        <v>21</v>
      </c>
      <c r="F1886" s="6" t="s">
        <v>6885</v>
      </c>
      <c r="G1886" s="5" t="s">
        <v>6070</v>
      </c>
      <c r="H1886" s="5" t="s">
        <v>176</v>
      </c>
      <c r="I1886" s="5" t="s">
        <v>6803</v>
      </c>
      <c r="J1886" s="5" t="s">
        <v>6886</v>
      </c>
      <c r="K1886" s="5"/>
      <c r="L1886" s="4" t="s">
        <v>62</v>
      </c>
      <c r="M1886" s="8" t="s">
        <v>129</v>
      </c>
      <c r="N1886" s="9" t="s">
        <v>6387</v>
      </c>
      <c r="O1886" s="5"/>
      <c r="P1886" s="5"/>
      <c r="Q1886" s="6" t="s">
        <v>30</v>
      </c>
      <c r="R1886" s="4" t="s">
        <v>31</v>
      </c>
      <c r="S1886" s="7" t="s">
        <v>32</v>
      </c>
      <c r="T1886" s="5"/>
    </row>
    <row r="1887" customFormat="false" ht="43.5" hidden="false" customHeight="true" outlineLevel="0" collapsed="false">
      <c r="A1887" s="4" t="n">
        <v>1886</v>
      </c>
      <c r="B1887" s="6" t="s">
        <v>1787</v>
      </c>
      <c r="C1887" s="6" t="s">
        <v>6383</v>
      </c>
      <c r="D1887" s="6" t="s">
        <v>6384</v>
      </c>
      <c r="E1887" s="7" t="s">
        <v>21</v>
      </c>
      <c r="F1887" s="6" t="s">
        <v>6887</v>
      </c>
      <c r="G1887" s="5" t="s">
        <v>6888</v>
      </c>
      <c r="H1887" s="5" t="s">
        <v>6889</v>
      </c>
      <c r="I1887" s="5" t="s">
        <v>6890</v>
      </c>
      <c r="J1887" s="5" t="s">
        <v>6891</v>
      </c>
      <c r="K1887" s="5"/>
      <c r="L1887" s="4" t="s">
        <v>27</v>
      </c>
      <c r="M1887" s="8" t="s">
        <v>129</v>
      </c>
      <c r="N1887" s="9" t="s">
        <v>6387</v>
      </c>
      <c r="O1887" s="5"/>
      <c r="P1887" s="5"/>
      <c r="Q1887" s="6" t="s">
        <v>30</v>
      </c>
      <c r="R1887" s="4" t="s">
        <v>31</v>
      </c>
      <c r="S1887" s="7" t="s">
        <v>32</v>
      </c>
      <c r="T1887" s="5"/>
    </row>
    <row r="1888" customFormat="false" ht="29.25" hidden="false" customHeight="true" outlineLevel="0" collapsed="false">
      <c r="A1888" s="4" t="n">
        <v>1887</v>
      </c>
      <c r="B1888" s="6" t="s">
        <v>1787</v>
      </c>
      <c r="C1888" s="6" t="s">
        <v>6383</v>
      </c>
      <c r="D1888" s="6" t="s">
        <v>6384</v>
      </c>
      <c r="E1888" s="7" t="s">
        <v>21</v>
      </c>
      <c r="F1888" s="6" t="s">
        <v>6892</v>
      </c>
      <c r="G1888" s="5" t="s">
        <v>2540</v>
      </c>
      <c r="H1888" s="5" t="s">
        <v>4878</v>
      </c>
      <c r="I1888" s="5" t="s">
        <v>6752</v>
      </c>
      <c r="J1888" s="5" t="s">
        <v>6893</v>
      </c>
      <c r="K1888" s="5"/>
      <c r="L1888" s="4" t="s">
        <v>44</v>
      </c>
      <c r="M1888" s="8" t="s">
        <v>129</v>
      </c>
      <c r="N1888" s="9" t="s">
        <v>6387</v>
      </c>
      <c r="O1888" s="5"/>
      <c r="P1888" s="5"/>
      <c r="Q1888" s="6" t="s">
        <v>30</v>
      </c>
      <c r="R1888" s="4" t="s">
        <v>31</v>
      </c>
      <c r="S1888" s="7" t="s">
        <v>32</v>
      </c>
      <c r="T1888" s="5"/>
    </row>
    <row r="1889" customFormat="false" ht="29.25" hidden="false" customHeight="true" outlineLevel="0" collapsed="false">
      <c r="A1889" s="4" t="n">
        <v>1888</v>
      </c>
      <c r="B1889" s="6" t="s">
        <v>1787</v>
      </c>
      <c r="C1889" s="6" t="s">
        <v>6383</v>
      </c>
      <c r="D1889" s="6" t="s">
        <v>6384</v>
      </c>
      <c r="E1889" s="7" t="s">
        <v>21</v>
      </c>
      <c r="F1889" s="6" t="s">
        <v>6894</v>
      </c>
      <c r="G1889" s="6" t="s">
        <v>6895</v>
      </c>
      <c r="H1889" s="6" t="s">
        <v>6896</v>
      </c>
      <c r="I1889" s="6" t="s">
        <v>6897</v>
      </c>
      <c r="J1889" s="6" t="s">
        <v>6898</v>
      </c>
      <c r="K1889" s="5"/>
      <c r="L1889" s="4" t="s">
        <v>44</v>
      </c>
      <c r="M1889" s="8" t="s">
        <v>28</v>
      </c>
      <c r="N1889" s="9" t="s">
        <v>6387</v>
      </c>
      <c r="O1889" s="5"/>
      <c r="P1889" s="5"/>
      <c r="Q1889" s="6" t="s">
        <v>30</v>
      </c>
      <c r="R1889" s="4" t="s">
        <v>31</v>
      </c>
      <c r="S1889" s="7" t="s">
        <v>32</v>
      </c>
      <c r="T1889" s="5"/>
    </row>
    <row r="1890" customFormat="false" ht="29.25" hidden="false" customHeight="true" outlineLevel="0" collapsed="false">
      <c r="A1890" s="4" t="n">
        <v>1889</v>
      </c>
      <c r="B1890" s="6" t="s">
        <v>1787</v>
      </c>
      <c r="C1890" s="6" t="s">
        <v>6383</v>
      </c>
      <c r="D1890" s="6" t="s">
        <v>6384</v>
      </c>
      <c r="E1890" s="7" t="s">
        <v>21</v>
      </c>
      <c r="F1890" s="6" t="s">
        <v>6899</v>
      </c>
      <c r="G1890" s="6" t="s">
        <v>6900</v>
      </c>
      <c r="H1890" s="6" t="s">
        <v>6901</v>
      </c>
      <c r="I1890" s="6" t="s">
        <v>6833</v>
      </c>
      <c r="J1890" s="6" t="s">
        <v>6902</v>
      </c>
      <c r="K1890" s="5"/>
      <c r="L1890" s="4" t="s">
        <v>51</v>
      </c>
      <c r="M1890" s="8" t="s">
        <v>79</v>
      </c>
      <c r="N1890" s="9" t="s">
        <v>6387</v>
      </c>
      <c r="O1890" s="5"/>
      <c r="P1890" s="5"/>
      <c r="Q1890" s="6" t="s">
        <v>30</v>
      </c>
      <c r="R1890" s="4" t="s">
        <v>31</v>
      </c>
      <c r="S1890" s="7" t="s">
        <v>32</v>
      </c>
      <c r="T1890" s="5"/>
    </row>
    <row r="1891" customFormat="false" ht="29.25" hidden="false" customHeight="true" outlineLevel="0" collapsed="false">
      <c r="A1891" s="4" t="n">
        <v>1890</v>
      </c>
      <c r="B1891" s="6" t="s">
        <v>1787</v>
      </c>
      <c r="C1891" s="6" t="s">
        <v>6383</v>
      </c>
      <c r="D1891" s="6" t="s">
        <v>6384</v>
      </c>
      <c r="E1891" s="7" t="s">
        <v>21</v>
      </c>
      <c r="F1891" s="6" t="s">
        <v>6903</v>
      </c>
      <c r="G1891" s="5" t="s">
        <v>6904</v>
      </c>
      <c r="H1891" s="5" t="s">
        <v>6905</v>
      </c>
      <c r="I1891" s="5" t="s">
        <v>6906</v>
      </c>
      <c r="J1891" s="5" t="s">
        <v>6907</v>
      </c>
      <c r="K1891" s="5"/>
      <c r="L1891" s="4" t="s">
        <v>27</v>
      </c>
      <c r="M1891" s="8" t="s">
        <v>129</v>
      </c>
      <c r="N1891" s="9" t="s">
        <v>6387</v>
      </c>
      <c r="O1891" s="5"/>
      <c r="P1891" s="5"/>
      <c r="Q1891" s="6" t="s">
        <v>30</v>
      </c>
      <c r="R1891" s="4" t="s">
        <v>31</v>
      </c>
      <c r="S1891" s="7" t="s">
        <v>32</v>
      </c>
      <c r="T1891" s="5"/>
    </row>
    <row r="1892" customFormat="false" ht="29.25" hidden="false" customHeight="true" outlineLevel="0" collapsed="false">
      <c r="A1892" s="4" t="n">
        <v>1891</v>
      </c>
      <c r="B1892" s="6" t="s">
        <v>1787</v>
      </c>
      <c r="C1892" s="6" t="s">
        <v>6383</v>
      </c>
      <c r="D1892" s="6" t="s">
        <v>6384</v>
      </c>
      <c r="E1892" s="7" t="s">
        <v>21</v>
      </c>
      <c r="F1892" s="6" t="s">
        <v>6908</v>
      </c>
      <c r="G1892" s="5" t="s">
        <v>1327</v>
      </c>
      <c r="H1892" s="5" t="s">
        <v>3642</v>
      </c>
      <c r="I1892" s="5" t="s">
        <v>2671</v>
      </c>
      <c r="J1892" s="5" t="s">
        <v>6909</v>
      </c>
      <c r="K1892" s="5"/>
      <c r="L1892" s="4" t="s">
        <v>27</v>
      </c>
      <c r="M1892" s="8" t="s">
        <v>129</v>
      </c>
      <c r="N1892" s="9" t="s">
        <v>6387</v>
      </c>
      <c r="O1892" s="5"/>
      <c r="P1892" s="5"/>
      <c r="Q1892" s="6" t="s">
        <v>30</v>
      </c>
      <c r="R1892" s="4" t="s">
        <v>31</v>
      </c>
      <c r="S1892" s="7" t="s">
        <v>32</v>
      </c>
      <c r="T1892" s="5"/>
    </row>
    <row r="1893" customFormat="false" ht="29.25" hidden="false" customHeight="true" outlineLevel="0" collapsed="false">
      <c r="A1893" s="4" t="n">
        <v>1892</v>
      </c>
      <c r="B1893" s="6" t="s">
        <v>1787</v>
      </c>
      <c r="C1893" s="6" t="s">
        <v>6383</v>
      </c>
      <c r="D1893" s="6" t="s">
        <v>6384</v>
      </c>
      <c r="E1893" s="7" t="s">
        <v>21</v>
      </c>
      <c r="F1893" s="6" t="s">
        <v>6910</v>
      </c>
      <c r="G1893" s="6" t="s">
        <v>6911</v>
      </c>
      <c r="H1893" s="6" t="s">
        <v>6912</v>
      </c>
      <c r="I1893" s="6" t="s">
        <v>6913</v>
      </c>
      <c r="J1893" s="6" t="s">
        <v>6914</v>
      </c>
      <c r="K1893" s="5"/>
      <c r="L1893" s="4" t="s">
        <v>51</v>
      </c>
      <c r="M1893" s="8" t="s">
        <v>79</v>
      </c>
      <c r="N1893" s="9" t="s">
        <v>6387</v>
      </c>
      <c r="O1893" s="5"/>
      <c r="P1893" s="5"/>
      <c r="Q1893" s="6" t="s">
        <v>30</v>
      </c>
      <c r="R1893" s="4" t="s">
        <v>31</v>
      </c>
      <c r="S1893" s="7" t="s">
        <v>32</v>
      </c>
      <c r="T1893" s="5"/>
    </row>
    <row r="1894" customFormat="false" ht="29.25" hidden="false" customHeight="true" outlineLevel="0" collapsed="false">
      <c r="A1894" s="4" t="n">
        <v>1893</v>
      </c>
      <c r="B1894" s="6" t="s">
        <v>1787</v>
      </c>
      <c r="C1894" s="6" t="s">
        <v>6383</v>
      </c>
      <c r="D1894" s="6" t="s">
        <v>6384</v>
      </c>
      <c r="E1894" s="7" t="s">
        <v>21</v>
      </c>
      <c r="F1894" s="6" t="s">
        <v>6915</v>
      </c>
      <c r="G1894" s="6" t="s">
        <v>6916</v>
      </c>
      <c r="H1894" s="6" t="s">
        <v>6917</v>
      </c>
      <c r="I1894" s="6" t="s">
        <v>6918</v>
      </c>
      <c r="J1894" s="6" t="s">
        <v>6919</v>
      </c>
      <c r="K1894" s="5"/>
      <c r="L1894" s="4" t="s">
        <v>51</v>
      </c>
      <c r="M1894" s="8" t="s">
        <v>28</v>
      </c>
      <c r="N1894" s="9" t="s">
        <v>6387</v>
      </c>
      <c r="O1894" s="5"/>
      <c r="P1894" s="5"/>
      <c r="Q1894" s="6" t="s">
        <v>30</v>
      </c>
      <c r="R1894" s="4" t="s">
        <v>31</v>
      </c>
      <c r="S1894" s="7" t="s">
        <v>32</v>
      </c>
      <c r="T1894" s="5"/>
    </row>
    <row r="1895" customFormat="false" ht="29.25" hidden="false" customHeight="true" outlineLevel="0" collapsed="false">
      <c r="A1895" s="4" t="n">
        <v>1894</v>
      </c>
      <c r="B1895" s="6" t="s">
        <v>1787</v>
      </c>
      <c r="C1895" s="6" t="s">
        <v>6383</v>
      </c>
      <c r="D1895" s="6" t="s">
        <v>6384</v>
      </c>
      <c r="E1895" s="7" t="s">
        <v>21</v>
      </c>
      <c r="F1895" s="6" t="s">
        <v>6920</v>
      </c>
      <c r="G1895" s="6" t="s">
        <v>6921</v>
      </c>
      <c r="H1895" s="6" t="s">
        <v>6922</v>
      </c>
      <c r="I1895" s="6" t="s">
        <v>6923</v>
      </c>
      <c r="J1895" s="6" t="s">
        <v>6924</v>
      </c>
      <c r="K1895" s="5"/>
      <c r="L1895" s="4" t="s">
        <v>51</v>
      </c>
      <c r="M1895" s="8" t="s">
        <v>79</v>
      </c>
      <c r="N1895" s="9" t="s">
        <v>6387</v>
      </c>
      <c r="O1895" s="5"/>
      <c r="P1895" s="5"/>
      <c r="Q1895" s="6" t="s">
        <v>30</v>
      </c>
      <c r="R1895" s="4" t="s">
        <v>31</v>
      </c>
      <c r="S1895" s="7" t="s">
        <v>32</v>
      </c>
      <c r="T1895" s="5"/>
    </row>
    <row r="1896" customFormat="false" ht="29.25" hidden="false" customHeight="true" outlineLevel="0" collapsed="false">
      <c r="A1896" s="4" t="n">
        <v>1895</v>
      </c>
      <c r="B1896" s="6" t="s">
        <v>1787</v>
      </c>
      <c r="C1896" s="6" t="s">
        <v>6383</v>
      </c>
      <c r="D1896" s="6" t="s">
        <v>6384</v>
      </c>
      <c r="E1896" s="7" t="s">
        <v>21</v>
      </c>
      <c r="F1896" s="6" t="s">
        <v>6925</v>
      </c>
      <c r="G1896" s="5" t="s">
        <v>6926</v>
      </c>
      <c r="H1896" s="6" t="s">
        <v>6927</v>
      </c>
      <c r="I1896" s="6" t="s">
        <v>6928</v>
      </c>
      <c r="J1896" s="6" t="s">
        <v>6929</v>
      </c>
      <c r="K1896" s="5"/>
      <c r="L1896" s="4" t="s">
        <v>44</v>
      </c>
      <c r="M1896" s="8" t="s">
        <v>129</v>
      </c>
      <c r="N1896" s="9" t="s">
        <v>6387</v>
      </c>
      <c r="O1896" s="5"/>
      <c r="P1896" s="5"/>
      <c r="Q1896" s="6" t="s">
        <v>30</v>
      </c>
      <c r="R1896" s="4" t="s">
        <v>31</v>
      </c>
      <c r="S1896" s="7" t="s">
        <v>32</v>
      </c>
      <c r="T1896" s="5"/>
    </row>
    <row r="1897" customFormat="false" ht="29.25" hidden="false" customHeight="true" outlineLevel="0" collapsed="false">
      <c r="A1897" s="4" t="n">
        <v>1896</v>
      </c>
      <c r="B1897" s="6" t="s">
        <v>1787</v>
      </c>
      <c r="C1897" s="6" t="s">
        <v>6383</v>
      </c>
      <c r="D1897" s="6" t="s">
        <v>6384</v>
      </c>
      <c r="E1897" s="7" t="s">
        <v>21</v>
      </c>
      <c r="F1897" s="6" t="s">
        <v>6930</v>
      </c>
      <c r="G1897" s="6" t="s">
        <v>6931</v>
      </c>
      <c r="H1897" s="6" t="s">
        <v>6932</v>
      </c>
      <c r="I1897" s="6" t="s">
        <v>6933</v>
      </c>
      <c r="J1897" s="6" t="s">
        <v>6934</v>
      </c>
      <c r="K1897" s="5"/>
      <c r="L1897" s="4" t="s">
        <v>44</v>
      </c>
      <c r="M1897" s="8" t="s">
        <v>79</v>
      </c>
      <c r="N1897" s="9" t="s">
        <v>6387</v>
      </c>
      <c r="O1897" s="5"/>
      <c r="P1897" s="5"/>
      <c r="Q1897" s="6" t="s">
        <v>30</v>
      </c>
      <c r="R1897" s="4" t="s">
        <v>31</v>
      </c>
      <c r="S1897" s="7" t="s">
        <v>32</v>
      </c>
      <c r="T1897" s="5"/>
    </row>
    <row r="1898" customFormat="false" ht="29.25" hidden="false" customHeight="true" outlineLevel="0" collapsed="false">
      <c r="A1898" s="4" t="n">
        <v>1897</v>
      </c>
      <c r="B1898" s="6" t="s">
        <v>1787</v>
      </c>
      <c r="C1898" s="6" t="s">
        <v>6383</v>
      </c>
      <c r="D1898" s="6" t="s">
        <v>6384</v>
      </c>
      <c r="E1898" s="7" t="s">
        <v>21</v>
      </c>
      <c r="F1898" s="6" t="s">
        <v>6935</v>
      </c>
      <c r="G1898" s="6" t="s">
        <v>6936</v>
      </c>
      <c r="H1898" s="6" t="s">
        <v>6937</v>
      </c>
      <c r="I1898" s="6" t="s">
        <v>6938</v>
      </c>
      <c r="J1898" s="6" t="s">
        <v>6939</v>
      </c>
      <c r="K1898" s="5"/>
      <c r="L1898" s="4" t="s">
        <v>51</v>
      </c>
      <c r="M1898" s="8" t="s">
        <v>79</v>
      </c>
      <c r="N1898" s="9" t="s">
        <v>6387</v>
      </c>
      <c r="O1898" s="5"/>
      <c r="P1898" s="5"/>
      <c r="Q1898" s="6" t="s">
        <v>30</v>
      </c>
      <c r="R1898" s="4" t="s">
        <v>31</v>
      </c>
      <c r="S1898" s="7" t="s">
        <v>32</v>
      </c>
      <c r="T1898" s="5"/>
    </row>
    <row r="1899" customFormat="false" ht="29.25" hidden="false" customHeight="true" outlineLevel="0" collapsed="false">
      <c r="A1899" s="4" t="n">
        <v>1898</v>
      </c>
      <c r="B1899" s="6" t="s">
        <v>1787</v>
      </c>
      <c r="C1899" s="6" t="s">
        <v>6383</v>
      </c>
      <c r="D1899" s="6" t="s">
        <v>6384</v>
      </c>
      <c r="E1899" s="7" t="s">
        <v>21</v>
      </c>
      <c r="F1899" s="6" t="s">
        <v>6940</v>
      </c>
      <c r="G1899" s="6" t="s">
        <v>6941</v>
      </c>
      <c r="H1899" s="6" t="s">
        <v>6942</v>
      </c>
      <c r="I1899" s="6" t="s">
        <v>6943</v>
      </c>
      <c r="J1899" s="6" t="s">
        <v>6944</v>
      </c>
      <c r="K1899" s="5"/>
      <c r="L1899" s="4" t="s">
        <v>44</v>
      </c>
      <c r="M1899" s="8" t="s">
        <v>129</v>
      </c>
      <c r="N1899" s="9" t="s">
        <v>6387</v>
      </c>
      <c r="O1899" s="5"/>
      <c r="P1899" s="5"/>
      <c r="Q1899" s="6" t="s">
        <v>30</v>
      </c>
      <c r="R1899" s="4" t="s">
        <v>31</v>
      </c>
      <c r="S1899" s="7" t="s">
        <v>32</v>
      </c>
      <c r="T1899" s="5"/>
    </row>
    <row r="1900" customFormat="false" ht="29.25" hidden="false" customHeight="true" outlineLevel="0" collapsed="false">
      <c r="A1900" s="4" t="n">
        <v>1899</v>
      </c>
      <c r="B1900" s="6" t="s">
        <v>1787</v>
      </c>
      <c r="C1900" s="6" t="s">
        <v>6383</v>
      </c>
      <c r="D1900" s="6" t="s">
        <v>6384</v>
      </c>
      <c r="E1900" s="7" t="s">
        <v>21</v>
      </c>
      <c r="F1900" s="6" t="s">
        <v>6945</v>
      </c>
      <c r="G1900" s="6" t="s">
        <v>6946</v>
      </c>
      <c r="H1900" s="6" t="s">
        <v>6947</v>
      </c>
      <c r="I1900" s="6" t="s">
        <v>6948</v>
      </c>
      <c r="J1900" s="6" t="s">
        <v>6949</v>
      </c>
      <c r="K1900" s="5"/>
      <c r="L1900" s="4" t="s">
        <v>44</v>
      </c>
      <c r="M1900" s="8" t="s">
        <v>79</v>
      </c>
      <c r="N1900" s="9" t="s">
        <v>6387</v>
      </c>
      <c r="O1900" s="5"/>
      <c r="P1900" s="5"/>
      <c r="Q1900" s="6" t="s">
        <v>30</v>
      </c>
      <c r="R1900" s="4" t="s">
        <v>31</v>
      </c>
      <c r="S1900" s="7" t="s">
        <v>32</v>
      </c>
      <c r="T1900" s="5"/>
    </row>
    <row r="1901" customFormat="false" ht="29.25" hidden="false" customHeight="true" outlineLevel="0" collapsed="false">
      <c r="A1901" s="4" t="n">
        <v>1900</v>
      </c>
      <c r="B1901" s="6" t="s">
        <v>1787</v>
      </c>
      <c r="C1901" s="6" t="s">
        <v>6383</v>
      </c>
      <c r="D1901" s="6" t="s">
        <v>6384</v>
      </c>
      <c r="E1901" s="7" t="s">
        <v>21</v>
      </c>
      <c r="F1901" s="6" t="s">
        <v>6950</v>
      </c>
      <c r="G1901" s="6" t="s">
        <v>6951</v>
      </c>
      <c r="H1901" s="6" t="s">
        <v>6936</v>
      </c>
      <c r="I1901" s="6" t="s">
        <v>6937</v>
      </c>
      <c r="J1901" s="6" t="s">
        <v>6952</v>
      </c>
      <c r="K1901" s="5"/>
      <c r="L1901" s="4" t="s">
        <v>51</v>
      </c>
      <c r="M1901" s="8" t="s">
        <v>79</v>
      </c>
      <c r="N1901" s="9" t="s">
        <v>6387</v>
      </c>
      <c r="O1901" s="5"/>
      <c r="P1901" s="5"/>
      <c r="Q1901" s="6" t="s">
        <v>30</v>
      </c>
      <c r="R1901" s="4" t="s">
        <v>31</v>
      </c>
      <c r="S1901" s="7" t="s">
        <v>32</v>
      </c>
      <c r="T1901" s="5"/>
    </row>
    <row r="1902" customFormat="false" ht="29.25" hidden="false" customHeight="true" outlineLevel="0" collapsed="false">
      <c r="A1902" s="4" t="n">
        <v>1901</v>
      </c>
      <c r="B1902" s="6" t="s">
        <v>1787</v>
      </c>
      <c r="C1902" s="6" t="s">
        <v>6383</v>
      </c>
      <c r="D1902" s="6" t="s">
        <v>6384</v>
      </c>
      <c r="E1902" s="7" t="s">
        <v>21</v>
      </c>
      <c r="F1902" s="6" t="s">
        <v>6953</v>
      </c>
      <c r="G1902" s="6" t="s">
        <v>6954</v>
      </c>
      <c r="H1902" s="6" t="s">
        <v>6955</v>
      </c>
      <c r="I1902" s="6" t="s">
        <v>6956</v>
      </c>
      <c r="J1902" s="6" t="s">
        <v>6957</v>
      </c>
      <c r="K1902" s="5"/>
      <c r="L1902" s="4" t="s">
        <v>44</v>
      </c>
      <c r="M1902" s="8" t="s">
        <v>129</v>
      </c>
      <c r="N1902" s="9" t="s">
        <v>6387</v>
      </c>
      <c r="O1902" s="5"/>
      <c r="P1902" s="5"/>
      <c r="Q1902" s="6" t="s">
        <v>30</v>
      </c>
      <c r="R1902" s="4" t="s">
        <v>31</v>
      </c>
      <c r="S1902" s="7" t="s">
        <v>32</v>
      </c>
      <c r="T1902" s="5"/>
    </row>
    <row r="1903" customFormat="false" ht="29.25" hidden="false" customHeight="true" outlineLevel="0" collapsed="false">
      <c r="A1903" s="4" t="n">
        <v>1902</v>
      </c>
      <c r="B1903" s="6" t="s">
        <v>1787</v>
      </c>
      <c r="C1903" s="6" t="s">
        <v>6383</v>
      </c>
      <c r="D1903" s="6" t="s">
        <v>6384</v>
      </c>
      <c r="E1903" s="7" t="s">
        <v>21</v>
      </c>
      <c r="F1903" s="6" t="s">
        <v>6958</v>
      </c>
      <c r="G1903" s="6" t="s">
        <v>6959</v>
      </c>
      <c r="H1903" s="6" t="s">
        <v>6960</v>
      </c>
      <c r="I1903" s="6" t="s">
        <v>6961</v>
      </c>
      <c r="J1903" s="6" t="s">
        <v>6962</v>
      </c>
      <c r="K1903" s="5"/>
      <c r="L1903" s="4" t="s">
        <v>44</v>
      </c>
      <c r="M1903" s="8" t="s">
        <v>79</v>
      </c>
      <c r="N1903" s="9" t="s">
        <v>6387</v>
      </c>
      <c r="O1903" s="5"/>
      <c r="P1903" s="5"/>
      <c r="Q1903" s="6" t="s">
        <v>30</v>
      </c>
      <c r="R1903" s="4" t="s">
        <v>31</v>
      </c>
      <c r="S1903" s="7" t="s">
        <v>32</v>
      </c>
      <c r="T1903" s="5"/>
    </row>
    <row r="1904" customFormat="false" ht="29.25" hidden="false" customHeight="true" outlineLevel="0" collapsed="false">
      <c r="A1904" s="4" t="n">
        <v>1903</v>
      </c>
      <c r="B1904" s="6" t="s">
        <v>1787</v>
      </c>
      <c r="C1904" s="6" t="s">
        <v>6383</v>
      </c>
      <c r="D1904" s="6" t="s">
        <v>6384</v>
      </c>
      <c r="E1904" s="7" t="s">
        <v>21</v>
      </c>
      <c r="F1904" s="6" t="s">
        <v>6963</v>
      </c>
      <c r="G1904" s="6" t="s">
        <v>6964</v>
      </c>
      <c r="H1904" s="6" t="s">
        <v>6965</v>
      </c>
      <c r="I1904" s="6" t="s">
        <v>6966</v>
      </c>
      <c r="J1904" s="6" t="s">
        <v>6967</v>
      </c>
      <c r="K1904" s="5"/>
      <c r="L1904" s="4" t="s">
        <v>44</v>
      </c>
      <c r="M1904" s="8" t="s">
        <v>129</v>
      </c>
      <c r="N1904" s="9" t="s">
        <v>6387</v>
      </c>
      <c r="O1904" s="5"/>
      <c r="P1904" s="5"/>
      <c r="Q1904" s="6" t="s">
        <v>30</v>
      </c>
      <c r="R1904" s="4" t="s">
        <v>31</v>
      </c>
      <c r="S1904" s="7" t="s">
        <v>32</v>
      </c>
      <c r="T1904" s="5"/>
    </row>
    <row r="1905" customFormat="false" ht="29.25" hidden="false" customHeight="true" outlineLevel="0" collapsed="false">
      <c r="A1905" s="4" t="n">
        <v>1904</v>
      </c>
      <c r="B1905" s="6" t="s">
        <v>1787</v>
      </c>
      <c r="C1905" s="6" t="s">
        <v>6383</v>
      </c>
      <c r="D1905" s="6" t="s">
        <v>6384</v>
      </c>
      <c r="E1905" s="7" t="s">
        <v>21</v>
      </c>
      <c r="F1905" s="6" t="s">
        <v>6968</v>
      </c>
      <c r="G1905" s="6" t="s">
        <v>6969</v>
      </c>
      <c r="H1905" s="6" t="s">
        <v>6967</v>
      </c>
      <c r="I1905" s="6" t="s">
        <v>6970</v>
      </c>
      <c r="J1905" s="6" t="s">
        <v>6965</v>
      </c>
      <c r="K1905" s="5"/>
      <c r="L1905" s="4" t="s">
        <v>44</v>
      </c>
      <c r="M1905" s="8" t="s">
        <v>129</v>
      </c>
      <c r="N1905" s="9" t="s">
        <v>6387</v>
      </c>
      <c r="O1905" s="5"/>
      <c r="P1905" s="5"/>
      <c r="Q1905" s="6" t="s">
        <v>30</v>
      </c>
      <c r="R1905" s="4" t="s">
        <v>31</v>
      </c>
      <c r="S1905" s="7" t="s">
        <v>32</v>
      </c>
      <c r="T1905" s="5"/>
    </row>
    <row r="1906" customFormat="false" ht="43.5" hidden="false" customHeight="true" outlineLevel="0" collapsed="false">
      <c r="A1906" s="4" t="n">
        <v>1905</v>
      </c>
      <c r="B1906" s="6" t="s">
        <v>1787</v>
      </c>
      <c r="C1906" s="6" t="s">
        <v>6383</v>
      </c>
      <c r="D1906" s="6" t="s">
        <v>6384</v>
      </c>
      <c r="E1906" s="7" t="s">
        <v>21</v>
      </c>
      <c r="F1906" s="6" t="s">
        <v>6971</v>
      </c>
      <c r="G1906" s="6" t="s">
        <v>6972</v>
      </c>
      <c r="H1906" s="6" t="s">
        <v>2658</v>
      </c>
      <c r="I1906" s="6" t="s">
        <v>6973</v>
      </c>
      <c r="J1906" s="6" t="s">
        <v>1427</v>
      </c>
      <c r="K1906" s="5"/>
      <c r="L1906" s="4" t="s">
        <v>62</v>
      </c>
      <c r="M1906" s="8" t="s">
        <v>79</v>
      </c>
      <c r="N1906" s="9" t="s">
        <v>6387</v>
      </c>
      <c r="O1906" s="5"/>
      <c r="P1906" s="5"/>
      <c r="Q1906" s="6" t="s">
        <v>30</v>
      </c>
      <c r="R1906" s="4" t="s">
        <v>31</v>
      </c>
      <c r="S1906" s="7" t="s">
        <v>32</v>
      </c>
      <c r="T1906" s="5"/>
    </row>
    <row r="1907" customFormat="false" ht="29.25" hidden="false" customHeight="true" outlineLevel="0" collapsed="false">
      <c r="A1907" s="4" t="n">
        <v>1906</v>
      </c>
      <c r="B1907" s="6" t="s">
        <v>1787</v>
      </c>
      <c r="C1907" s="6" t="s">
        <v>6383</v>
      </c>
      <c r="D1907" s="6" t="s">
        <v>6384</v>
      </c>
      <c r="E1907" s="7" t="s">
        <v>21</v>
      </c>
      <c r="F1907" s="6" t="s">
        <v>6974</v>
      </c>
      <c r="G1907" s="6" t="s">
        <v>6975</v>
      </c>
      <c r="H1907" s="6" t="s">
        <v>6976</v>
      </c>
      <c r="I1907" s="6" t="s">
        <v>6977</v>
      </c>
      <c r="J1907" s="6" t="s">
        <v>6978</v>
      </c>
      <c r="K1907" s="5"/>
      <c r="L1907" s="4" t="s">
        <v>51</v>
      </c>
      <c r="M1907" s="8" t="s">
        <v>129</v>
      </c>
      <c r="N1907" s="9" t="s">
        <v>6387</v>
      </c>
      <c r="O1907" s="5"/>
      <c r="P1907" s="5"/>
      <c r="Q1907" s="6" t="s">
        <v>30</v>
      </c>
      <c r="R1907" s="4" t="s">
        <v>31</v>
      </c>
      <c r="S1907" s="7" t="s">
        <v>32</v>
      </c>
      <c r="T1907" s="5"/>
    </row>
    <row r="1908" customFormat="false" ht="29.25" hidden="false" customHeight="true" outlineLevel="0" collapsed="false">
      <c r="A1908" s="4" t="n">
        <v>1907</v>
      </c>
      <c r="B1908" s="6" t="s">
        <v>1787</v>
      </c>
      <c r="C1908" s="6" t="s">
        <v>6383</v>
      </c>
      <c r="D1908" s="6" t="s">
        <v>6384</v>
      </c>
      <c r="E1908" s="7" t="s">
        <v>21</v>
      </c>
      <c r="F1908" s="6" t="s">
        <v>6979</v>
      </c>
      <c r="G1908" s="6" t="s">
        <v>2658</v>
      </c>
      <c r="H1908" s="6" t="s">
        <v>6980</v>
      </c>
      <c r="I1908" s="6" t="s">
        <v>6981</v>
      </c>
      <c r="J1908" s="6" t="s">
        <v>6982</v>
      </c>
      <c r="K1908" s="5"/>
      <c r="L1908" s="4" t="s">
        <v>51</v>
      </c>
      <c r="M1908" s="8" t="s">
        <v>129</v>
      </c>
      <c r="N1908" s="9" t="s">
        <v>6387</v>
      </c>
      <c r="O1908" s="5"/>
      <c r="P1908" s="5"/>
      <c r="Q1908" s="6" t="s">
        <v>30</v>
      </c>
      <c r="R1908" s="4" t="s">
        <v>31</v>
      </c>
      <c r="S1908" s="7" t="s">
        <v>32</v>
      </c>
      <c r="T1908" s="5"/>
    </row>
    <row r="1909" customFormat="false" ht="29.25" hidden="false" customHeight="true" outlineLevel="0" collapsed="false">
      <c r="A1909" s="4" t="n">
        <v>1908</v>
      </c>
      <c r="B1909" s="6" t="s">
        <v>1787</v>
      </c>
      <c r="C1909" s="6" t="s">
        <v>6383</v>
      </c>
      <c r="D1909" s="6" t="s">
        <v>6384</v>
      </c>
      <c r="E1909" s="7" t="s">
        <v>21</v>
      </c>
      <c r="F1909" s="6" t="s">
        <v>6983</v>
      </c>
      <c r="G1909" s="6" t="s">
        <v>6984</v>
      </c>
      <c r="H1909" s="6" t="s">
        <v>6985</v>
      </c>
      <c r="I1909" s="6" t="s">
        <v>6986</v>
      </c>
      <c r="J1909" s="6" t="s">
        <v>6987</v>
      </c>
      <c r="K1909" s="5"/>
      <c r="L1909" s="4" t="s">
        <v>44</v>
      </c>
      <c r="M1909" s="8" t="s">
        <v>28</v>
      </c>
      <c r="N1909" s="9" t="s">
        <v>6387</v>
      </c>
      <c r="O1909" s="5"/>
      <c r="P1909" s="5"/>
      <c r="Q1909" s="6" t="s">
        <v>30</v>
      </c>
      <c r="R1909" s="4" t="s">
        <v>31</v>
      </c>
      <c r="S1909" s="7" t="s">
        <v>32</v>
      </c>
      <c r="T1909" s="5"/>
    </row>
    <row r="1910" customFormat="false" ht="29.25" hidden="false" customHeight="true" outlineLevel="0" collapsed="false">
      <c r="A1910" s="4" t="n">
        <v>1909</v>
      </c>
      <c r="B1910" s="6" t="s">
        <v>1787</v>
      </c>
      <c r="C1910" s="6" t="s">
        <v>6383</v>
      </c>
      <c r="D1910" s="6" t="s">
        <v>6384</v>
      </c>
      <c r="E1910" s="7" t="s">
        <v>21</v>
      </c>
      <c r="F1910" s="6" t="s">
        <v>6988</v>
      </c>
      <c r="G1910" s="6" t="s">
        <v>6989</v>
      </c>
      <c r="H1910" s="6" t="s">
        <v>2658</v>
      </c>
      <c r="I1910" s="6" t="s">
        <v>6990</v>
      </c>
      <c r="J1910" s="6" t="s">
        <v>6991</v>
      </c>
      <c r="K1910" s="5"/>
      <c r="L1910" s="4" t="s">
        <v>51</v>
      </c>
      <c r="M1910" s="8" t="s">
        <v>129</v>
      </c>
      <c r="N1910" s="9" t="s">
        <v>6387</v>
      </c>
      <c r="O1910" s="5"/>
      <c r="P1910" s="5"/>
      <c r="Q1910" s="6" t="s">
        <v>30</v>
      </c>
      <c r="R1910" s="4" t="s">
        <v>31</v>
      </c>
      <c r="S1910" s="7" t="s">
        <v>32</v>
      </c>
      <c r="T1910" s="5"/>
    </row>
    <row r="1911" customFormat="false" ht="29.25" hidden="false" customHeight="true" outlineLevel="0" collapsed="false">
      <c r="A1911" s="4" t="n">
        <v>1910</v>
      </c>
      <c r="B1911" s="6" t="s">
        <v>1787</v>
      </c>
      <c r="C1911" s="6" t="s">
        <v>6383</v>
      </c>
      <c r="D1911" s="6" t="s">
        <v>6384</v>
      </c>
      <c r="E1911" s="7" t="s">
        <v>21</v>
      </c>
      <c r="F1911" s="6" t="s">
        <v>6992</v>
      </c>
      <c r="G1911" s="6" t="s">
        <v>6993</v>
      </c>
      <c r="H1911" s="6" t="s">
        <v>6994</v>
      </c>
      <c r="I1911" s="6" t="s">
        <v>6995</v>
      </c>
      <c r="J1911" s="6" t="s">
        <v>6996</v>
      </c>
      <c r="K1911" s="5"/>
      <c r="L1911" s="4" t="s">
        <v>51</v>
      </c>
      <c r="M1911" s="8" t="s">
        <v>79</v>
      </c>
      <c r="N1911" s="9" t="s">
        <v>6387</v>
      </c>
      <c r="O1911" s="5"/>
      <c r="P1911" s="5"/>
      <c r="Q1911" s="6" t="s">
        <v>30</v>
      </c>
      <c r="R1911" s="4" t="s">
        <v>31</v>
      </c>
      <c r="S1911" s="7" t="s">
        <v>32</v>
      </c>
      <c r="T1911" s="5"/>
    </row>
    <row r="1912" customFormat="false" ht="29.25" hidden="false" customHeight="true" outlineLevel="0" collapsed="false">
      <c r="A1912" s="4" t="n">
        <v>1911</v>
      </c>
      <c r="B1912" s="6" t="s">
        <v>1787</v>
      </c>
      <c r="C1912" s="6" t="s">
        <v>6383</v>
      </c>
      <c r="D1912" s="6" t="s">
        <v>6384</v>
      </c>
      <c r="E1912" s="7" t="s">
        <v>21</v>
      </c>
      <c r="F1912" s="6" t="s">
        <v>6997</v>
      </c>
      <c r="G1912" s="6" t="s">
        <v>6998</v>
      </c>
      <c r="H1912" s="6" t="s">
        <v>6999</v>
      </c>
      <c r="I1912" s="6" t="s">
        <v>7000</v>
      </c>
      <c r="J1912" s="6" t="s">
        <v>7001</v>
      </c>
      <c r="K1912" s="5"/>
      <c r="L1912" s="4" t="s">
        <v>51</v>
      </c>
      <c r="M1912" s="8" t="s">
        <v>129</v>
      </c>
      <c r="N1912" s="9" t="s">
        <v>6387</v>
      </c>
      <c r="O1912" s="5"/>
      <c r="P1912" s="5"/>
      <c r="Q1912" s="6" t="s">
        <v>30</v>
      </c>
      <c r="R1912" s="4" t="s">
        <v>31</v>
      </c>
      <c r="S1912" s="7" t="s">
        <v>32</v>
      </c>
      <c r="T1912" s="5"/>
    </row>
    <row r="1913" customFormat="false" ht="29.25" hidden="false" customHeight="true" outlineLevel="0" collapsed="false">
      <c r="A1913" s="4" t="n">
        <v>1912</v>
      </c>
      <c r="B1913" s="6" t="s">
        <v>1787</v>
      </c>
      <c r="C1913" s="6" t="s">
        <v>6383</v>
      </c>
      <c r="D1913" s="6" t="s">
        <v>6384</v>
      </c>
      <c r="E1913" s="7" t="s">
        <v>21</v>
      </c>
      <c r="F1913" s="6" t="s">
        <v>7002</v>
      </c>
      <c r="G1913" s="6" t="s">
        <v>7003</v>
      </c>
      <c r="H1913" s="6" t="s">
        <v>7004</v>
      </c>
      <c r="I1913" s="6" t="s">
        <v>7005</v>
      </c>
      <c r="J1913" s="6" t="s">
        <v>7006</v>
      </c>
      <c r="K1913" s="5"/>
      <c r="L1913" s="4" t="s">
        <v>44</v>
      </c>
      <c r="M1913" s="8" t="s">
        <v>28</v>
      </c>
      <c r="N1913" s="9" t="s">
        <v>6387</v>
      </c>
      <c r="O1913" s="5"/>
      <c r="P1913" s="5"/>
      <c r="Q1913" s="6" t="s">
        <v>30</v>
      </c>
      <c r="R1913" s="4" t="s">
        <v>31</v>
      </c>
      <c r="S1913" s="7" t="s">
        <v>32</v>
      </c>
      <c r="T1913" s="5"/>
    </row>
    <row r="1914" customFormat="false" ht="29.25" hidden="false" customHeight="true" outlineLevel="0" collapsed="false">
      <c r="A1914" s="4" t="n">
        <v>1913</v>
      </c>
      <c r="B1914" s="6" t="s">
        <v>1787</v>
      </c>
      <c r="C1914" s="6" t="s">
        <v>6383</v>
      </c>
      <c r="D1914" s="6" t="s">
        <v>6384</v>
      </c>
      <c r="E1914" s="7" t="s">
        <v>21</v>
      </c>
      <c r="F1914" s="6" t="s">
        <v>7007</v>
      </c>
      <c r="G1914" s="6" t="s">
        <v>7008</v>
      </c>
      <c r="H1914" s="6" t="s">
        <v>7009</v>
      </c>
      <c r="I1914" s="6" t="s">
        <v>7010</v>
      </c>
      <c r="J1914" s="6" t="s">
        <v>7011</v>
      </c>
      <c r="K1914" s="5"/>
      <c r="L1914" s="4" t="s">
        <v>51</v>
      </c>
      <c r="M1914" s="8" t="s">
        <v>129</v>
      </c>
      <c r="N1914" s="9" t="s">
        <v>6387</v>
      </c>
      <c r="O1914" s="5"/>
      <c r="P1914" s="5"/>
      <c r="Q1914" s="6" t="s">
        <v>30</v>
      </c>
      <c r="R1914" s="4" t="s">
        <v>31</v>
      </c>
      <c r="S1914" s="7" t="s">
        <v>32</v>
      </c>
      <c r="T1914" s="5"/>
    </row>
    <row r="1915" customFormat="false" ht="29.25" hidden="false" customHeight="true" outlineLevel="0" collapsed="false">
      <c r="A1915" s="4" t="n">
        <v>1914</v>
      </c>
      <c r="B1915" s="6" t="s">
        <v>1787</v>
      </c>
      <c r="C1915" s="6" t="s">
        <v>6383</v>
      </c>
      <c r="D1915" s="6" t="s">
        <v>6384</v>
      </c>
      <c r="E1915" s="7" t="s">
        <v>21</v>
      </c>
      <c r="F1915" s="6" t="s">
        <v>7012</v>
      </c>
      <c r="G1915" s="6" t="s">
        <v>7013</v>
      </c>
      <c r="H1915" s="6" t="s">
        <v>7014</v>
      </c>
      <c r="I1915" s="6" t="s">
        <v>7015</v>
      </c>
      <c r="J1915" s="6" t="s">
        <v>7016</v>
      </c>
      <c r="K1915" s="5"/>
      <c r="L1915" s="4" t="s">
        <v>62</v>
      </c>
      <c r="M1915" s="8" t="s">
        <v>129</v>
      </c>
      <c r="N1915" s="9" t="s">
        <v>6387</v>
      </c>
      <c r="O1915" s="5"/>
      <c r="P1915" s="5"/>
      <c r="Q1915" s="6" t="s">
        <v>30</v>
      </c>
      <c r="R1915" s="4" t="s">
        <v>31</v>
      </c>
      <c r="S1915" s="7" t="s">
        <v>32</v>
      </c>
      <c r="T1915" s="5"/>
    </row>
    <row r="1916" customFormat="false" ht="29.25" hidden="false" customHeight="true" outlineLevel="0" collapsed="false">
      <c r="A1916" s="4" t="n">
        <v>1915</v>
      </c>
      <c r="B1916" s="6" t="s">
        <v>1787</v>
      </c>
      <c r="C1916" s="6" t="s">
        <v>6383</v>
      </c>
      <c r="D1916" s="6" t="s">
        <v>6384</v>
      </c>
      <c r="E1916" s="7" t="s">
        <v>21</v>
      </c>
      <c r="F1916" s="6" t="s">
        <v>7017</v>
      </c>
      <c r="G1916" s="6" t="s">
        <v>7018</v>
      </c>
      <c r="H1916" s="6" t="s">
        <v>7019</v>
      </c>
      <c r="I1916" s="6" t="s">
        <v>7020</v>
      </c>
      <c r="J1916" s="6" t="s">
        <v>7021</v>
      </c>
      <c r="K1916" s="5"/>
      <c r="L1916" s="4" t="s">
        <v>44</v>
      </c>
      <c r="M1916" s="8" t="s">
        <v>79</v>
      </c>
      <c r="N1916" s="9" t="s">
        <v>6387</v>
      </c>
      <c r="O1916" s="5"/>
      <c r="P1916" s="5"/>
      <c r="Q1916" s="6" t="s">
        <v>30</v>
      </c>
      <c r="R1916" s="4" t="s">
        <v>31</v>
      </c>
      <c r="S1916" s="7" t="s">
        <v>32</v>
      </c>
      <c r="T1916" s="5"/>
    </row>
    <row r="1917" customFormat="false" ht="29.25" hidden="false" customHeight="true" outlineLevel="0" collapsed="false">
      <c r="A1917" s="4" t="n">
        <v>1916</v>
      </c>
      <c r="B1917" s="6" t="s">
        <v>1787</v>
      </c>
      <c r="C1917" s="6" t="s">
        <v>6383</v>
      </c>
      <c r="D1917" s="6" t="s">
        <v>6384</v>
      </c>
      <c r="E1917" s="7" t="s">
        <v>21</v>
      </c>
      <c r="F1917" s="6" t="s">
        <v>7022</v>
      </c>
      <c r="G1917" s="6" t="s">
        <v>7023</v>
      </c>
      <c r="H1917" s="6" t="s">
        <v>7024</v>
      </c>
      <c r="I1917" s="6" t="s">
        <v>7025</v>
      </c>
      <c r="J1917" s="6" t="s">
        <v>7026</v>
      </c>
      <c r="K1917" s="5"/>
      <c r="L1917" s="4" t="s">
        <v>44</v>
      </c>
      <c r="M1917" s="8" t="s">
        <v>28</v>
      </c>
      <c r="N1917" s="9" t="s">
        <v>6387</v>
      </c>
      <c r="O1917" s="5"/>
      <c r="P1917" s="5"/>
      <c r="Q1917" s="6" t="s">
        <v>30</v>
      </c>
      <c r="R1917" s="4" t="s">
        <v>31</v>
      </c>
      <c r="S1917" s="7" t="s">
        <v>32</v>
      </c>
      <c r="T1917" s="5"/>
    </row>
    <row r="1918" customFormat="false" ht="29.25" hidden="false" customHeight="true" outlineLevel="0" collapsed="false">
      <c r="A1918" s="4" t="n">
        <v>1917</v>
      </c>
      <c r="B1918" s="6" t="s">
        <v>1787</v>
      </c>
      <c r="C1918" s="6" t="s">
        <v>6383</v>
      </c>
      <c r="D1918" s="6" t="s">
        <v>6384</v>
      </c>
      <c r="E1918" s="7" t="s">
        <v>21</v>
      </c>
      <c r="F1918" s="6" t="s">
        <v>7027</v>
      </c>
      <c r="G1918" s="6" t="s">
        <v>7028</v>
      </c>
      <c r="H1918" s="6" t="s">
        <v>7029</v>
      </c>
      <c r="I1918" s="6" t="s">
        <v>7030</v>
      </c>
      <c r="J1918" s="6" t="s">
        <v>7031</v>
      </c>
      <c r="K1918" s="5"/>
      <c r="L1918" s="4" t="s">
        <v>44</v>
      </c>
      <c r="M1918" s="8" t="s">
        <v>28</v>
      </c>
      <c r="N1918" s="9" t="s">
        <v>7032</v>
      </c>
      <c r="O1918" s="5"/>
      <c r="P1918" s="5"/>
      <c r="Q1918" s="6" t="s">
        <v>30</v>
      </c>
      <c r="R1918" s="4" t="s">
        <v>31</v>
      </c>
      <c r="S1918" s="7" t="s">
        <v>32</v>
      </c>
      <c r="T1918" s="5"/>
    </row>
    <row r="1919" customFormat="false" ht="57.75" hidden="false" customHeight="true" outlineLevel="0" collapsed="false">
      <c r="A1919" s="4" t="n">
        <v>1918</v>
      </c>
      <c r="B1919" s="6" t="s">
        <v>1787</v>
      </c>
      <c r="C1919" s="6" t="s">
        <v>6383</v>
      </c>
      <c r="D1919" s="6" t="s">
        <v>6384</v>
      </c>
      <c r="E1919" s="7" t="s">
        <v>21</v>
      </c>
      <c r="F1919" s="6" t="s">
        <v>7033</v>
      </c>
      <c r="G1919" s="5" t="s">
        <v>2679</v>
      </c>
      <c r="H1919" s="5" t="s">
        <v>2674</v>
      </c>
      <c r="I1919" s="5" t="s">
        <v>2680</v>
      </c>
      <c r="J1919" s="5" t="s">
        <v>7034</v>
      </c>
      <c r="K1919" s="5"/>
      <c r="L1919" s="4" t="s">
        <v>44</v>
      </c>
      <c r="M1919" s="8" t="s">
        <v>79</v>
      </c>
      <c r="N1919" s="9" t="s">
        <v>6387</v>
      </c>
      <c r="O1919" s="5"/>
      <c r="P1919" s="5"/>
      <c r="Q1919" s="6" t="s">
        <v>30</v>
      </c>
      <c r="R1919" s="4" t="s">
        <v>31</v>
      </c>
      <c r="S1919" s="7" t="s">
        <v>32</v>
      </c>
      <c r="T1919" s="5"/>
    </row>
    <row r="1920" customFormat="false" ht="29.25" hidden="false" customHeight="true" outlineLevel="0" collapsed="false">
      <c r="A1920" s="4" t="n">
        <v>1919</v>
      </c>
      <c r="B1920" s="6" t="s">
        <v>1787</v>
      </c>
      <c r="C1920" s="6" t="s">
        <v>6383</v>
      </c>
      <c r="D1920" s="6" t="s">
        <v>6384</v>
      </c>
      <c r="E1920" s="7" t="s">
        <v>21</v>
      </c>
      <c r="F1920" s="6" t="s">
        <v>7035</v>
      </c>
      <c r="G1920" s="5" t="s">
        <v>2747</v>
      </c>
      <c r="H1920" s="5" t="s">
        <v>7036</v>
      </c>
      <c r="I1920" s="5" t="s">
        <v>7037</v>
      </c>
      <c r="J1920" s="5" t="s">
        <v>7038</v>
      </c>
      <c r="K1920" s="5"/>
      <c r="L1920" s="4" t="s">
        <v>51</v>
      </c>
      <c r="M1920" s="8" t="s">
        <v>28</v>
      </c>
      <c r="N1920" s="9" t="s">
        <v>6387</v>
      </c>
      <c r="O1920" s="5"/>
      <c r="P1920" s="5"/>
      <c r="Q1920" s="6" t="s">
        <v>30</v>
      </c>
      <c r="R1920" s="4" t="s">
        <v>31</v>
      </c>
      <c r="S1920" s="7" t="s">
        <v>32</v>
      </c>
      <c r="T1920" s="5"/>
    </row>
    <row r="1921" customFormat="false" ht="29.25" hidden="false" customHeight="true" outlineLevel="0" collapsed="false">
      <c r="A1921" s="4" t="n">
        <v>1920</v>
      </c>
      <c r="B1921" s="6" t="s">
        <v>1787</v>
      </c>
      <c r="C1921" s="6" t="s">
        <v>6383</v>
      </c>
      <c r="D1921" s="6" t="s">
        <v>6384</v>
      </c>
      <c r="E1921" s="7" t="s">
        <v>21</v>
      </c>
      <c r="F1921" s="6" t="s">
        <v>7039</v>
      </c>
      <c r="G1921" s="6" t="s">
        <v>7040</v>
      </c>
      <c r="H1921" s="6" t="s">
        <v>7041</v>
      </c>
      <c r="I1921" s="6" t="s">
        <v>7042</v>
      </c>
      <c r="J1921" s="6" t="s">
        <v>7043</v>
      </c>
      <c r="K1921" s="5"/>
      <c r="L1921" s="4" t="s">
        <v>62</v>
      </c>
      <c r="M1921" s="8" t="s">
        <v>79</v>
      </c>
      <c r="N1921" s="9" t="s">
        <v>6454</v>
      </c>
      <c r="O1921" s="5"/>
      <c r="P1921" s="5"/>
      <c r="Q1921" s="6" t="s">
        <v>30</v>
      </c>
      <c r="R1921" s="4" t="s">
        <v>31</v>
      </c>
      <c r="S1921" s="7" t="s">
        <v>32</v>
      </c>
      <c r="T1921" s="5"/>
    </row>
    <row r="1922" customFormat="false" ht="29.25" hidden="false" customHeight="true" outlineLevel="0" collapsed="false">
      <c r="A1922" s="4" t="n">
        <v>1921</v>
      </c>
      <c r="B1922" s="6" t="s">
        <v>1787</v>
      </c>
      <c r="C1922" s="6" t="s">
        <v>6383</v>
      </c>
      <c r="D1922" s="6" t="s">
        <v>6384</v>
      </c>
      <c r="E1922" s="7" t="s">
        <v>21</v>
      </c>
      <c r="F1922" s="6" t="s">
        <v>7044</v>
      </c>
      <c r="G1922" s="6" t="s">
        <v>7045</v>
      </c>
      <c r="H1922" s="6" t="s">
        <v>7046</v>
      </c>
      <c r="I1922" s="6" t="s">
        <v>7047</v>
      </c>
      <c r="J1922" s="6" t="s">
        <v>7048</v>
      </c>
      <c r="K1922" s="5"/>
      <c r="L1922" s="4" t="s">
        <v>44</v>
      </c>
      <c r="M1922" s="8" t="s">
        <v>28</v>
      </c>
      <c r="N1922" s="9" t="s">
        <v>7049</v>
      </c>
      <c r="O1922" s="5"/>
      <c r="P1922" s="5"/>
      <c r="Q1922" s="6" t="s">
        <v>30</v>
      </c>
      <c r="R1922" s="4" t="s">
        <v>31</v>
      </c>
      <c r="S1922" s="7" t="s">
        <v>32</v>
      </c>
      <c r="T1922" s="5"/>
    </row>
    <row r="1923" customFormat="false" ht="29.25" hidden="false" customHeight="true" outlineLevel="0" collapsed="false">
      <c r="A1923" s="4" t="n">
        <v>1922</v>
      </c>
      <c r="B1923" s="6" t="s">
        <v>1787</v>
      </c>
      <c r="C1923" s="6" t="s">
        <v>6383</v>
      </c>
      <c r="D1923" s="6" t="s">
        <v>6384</v>
      </c>
      <c r="E1923" s="7" t="s">
        <v>21</v>
      </c>
      <c r="F1923" s="6" t="s">
        <v>7050</v>
      </c>
      <c r="G1923" s="6" t="s">
        <v>7051</v>
      </c>
      <c r="H1923" s="6" t="s">
        <v>7052</v>
      </c>
      <c r="I1923" s="6" t="s">
        <v>7053</v>
      </c>
      <c r="J1923" s="6" t="s">
        <v>7054</v>
      </c>
      <c r="K1923" s="5"/>
      <c r="L1923" s="4" t="s">
        <v>44</v>
      </c>
      <c r="M1923" s="8" t="s">
        <v>28</v>
      </c>
      <c r="N1923" s="9" t="s">
        <v>7049</v>
      </c>
      <c r="O1923" s="5"/>
      <c r="P1923" s="5"/>
      <c r="Q1923" s="6" t="s">
        <v>30</v>
      </c>
      <c r="R1923" s="4" t="s">
        <v>31</v>
      </c>
      <c r="S1923" s="7" t="s">
        <v>32</v>
      </c>
      <c r="T1923" s="5"/>
    </row>
    <row r="1924" customFormat="false" ht="29.25" hidden="false" customHeight="true" outlineLevel="0" collapsed="false">
      <c r="A1924" s="4" t="n">
        <v>1923</v>
      </c>
      <c r="B1924" s="6" t="s">
        <v>1787</v>
      </c>
      <c r="C1924" s="6" t="s">
        <v>6383</v>
      </c>
      <c r="D1924" s="6" t="s">
        <v>6384</v>
      </c>
      <c r="E1924" s="7" t="s">
        <v>21</v>
      </c>
      <c r="F1924" s="6" t="s">
        <v>7055</v>
      </c>
      <c r="G1924" s="6" t="s">
        <v>7056</v>
      </c>
      <c r="H1924" s="6" t="s">
        <v>7057</v>
      </c>
      <c r="I1924" s="6" t="s">
        <v>7058</v>
      </c>
      <c r="J1924" s="6" t="s">
        <v>7059</v>
      </c>
      <c r="K1924" s="5"/>
      <c r="L1924" s="4" t="s">
        <v>44</v>
      </c>
      <c r="M1924" s="8" t="s">
        <v>28</v>
      </c>
      <c r="N1924" s="9" t="s">
        <v>6387</v>
      </c>
      <c r="O1924" s="5"/>
      <c r="P1924" s="5"/>
      <c r="Q1924" s="6" t="s">
        <v>30</v>
      </c>
      <c r="R1924" s="4" t="s">
        <v>31</v>
      </c>
      <c r="S1924" s="7" t="s">
        <v>32</v>
      </c>
      <c r="T1924" s="5"/>
    </row>
    <row r="1925" customFormat="false" ht="29.25" hidden="false" customHeight="true" outlineLevel="0" collapsed="false">
      <c r="A1925" s="4" t="n">
        <v>1924</v>
      </c>
      <c r="B1925" s="6" t="s">
        <v>1787</v>
      </c>
      <c r="C1925" s="6" t="s">
        <v>6383</v>
      </c>
      <c r="D1925" s="6" t="s">
        <v>6384</v>
      </c>
      <c r="E1925" s="7" t="s">
        <v>21</v>
      </c>
      <c r="F1925" s="6" t="s">
        <v>7060</v>
      </c>
      <c r="G1925" s="6" t="s">
        <v>7061</v>
      </c>
      <c r="H1925" s="6" t="s">
        <v>7062</v>
      </c>
      <c r="I1925" s="6" t="s">
        <v>7063</v>
      </c>
      <c r="J1925" s="6" t="s">
        <v>7064</v>
      </c>
      <c r="K1925" s="5"/>
      <c r="L1925" s="4" t="s">
        <v>44</v>
      </c>
      <c r="M1925" s="8" t="s">
        <v>79</v>
      </c>
      <c r="N1925" s="9" t="s">
        <v>6387</v>
      </c>
      <c r="O1925" s="5"/>
      <c r="P1925" s="5"/>
      <c r="Q1925" s="6" t="s">
        <v>30</v>
      </c>
      <c r="R1925" s="4" t="s">
        <v>31</v>
      </c>
      <c r="S1925" s="7" t="s">
        <v>32</v>
      </c>
      <c r="T1925" s="5"/>
    </row>
    <row r="1926" customFormat="false" ht="29.25" hidden="false" customHeight="true" outlineLevel="0" collapsed="false">
      <c r="A1926" s="4" t="n">
        <v>1925</v>
      </c>
      <c r="B1926" s="6" t="s">
        <v>1787</v>
      </c>
      <c r="C1926" s="6" t="s">
        <v>6383</v>
      </c>
      <c r="D1926" s="6" t="s">
        <v>6384</v>
      </c>
      <c r="E1926" s="7" t="s">
        <v>21</v>
      </c>
      <c r="F1926" s="6" t="s">
        <v>7065</v>
      </c>
      <c r="G1926" s="6" t="s">
        <v>7066</v>
      </c>
      <c r="H1926" s="6" t="s">
        <v>7067</v>
      </c>
      <c r="I1926" s="6" t="s">
        <v>7068</v>
      </c>
      <c r="J1926" s="6" t="s">
        <v>7069</v>
      </c>
      <c r="K1926" s="5"/>
      <c r="L1926" s="4" t="s">
        <v>44</v>
      </c>
      <c r="M1926" s="8" t="s">
        <v>28</v>
      </c>
      <c r="N1926" s="9" t="s">
        <v>7070</v>
      </c>
      <c r="O1926" s="5"/>
      <c r="P1926" s="5"/>
      <c r="Q1926" s="6" t="s">
        <v>30</v>
      </c>
      <c r="R1926" s="4" t="s">
        <v>31</v>
      </c>
      <c r="S1926" s="7" t="s">
        <v>32</v>
      </c>
      <c r="T1926" s="5"/>
    </row>
    <row r="1927" customFormat="false" ht="29.25" hidden="false" customHeight="true" outlineLevel="0" collapsed="false">
      <c r="A1927" s="4" t="n">
        <v>1926</v>
      </c>
      <c r="B1927" s="6" t="s">
        <v>1787</v>
      </c>
      <c r="C1927" s="6" t="s">
        <v>6383</v>
      </c>
      <c r="D1927" s="6" t="s">
        <v>6384</v>
      </c>
      <c r="E1927" s="7" t="s">
        <v>21</v>
      </c>
      <c r="F1927" s="6" t="s">
        <v>7071</v>
      </c>
      <c r="G1927" s="6" t="s">
        <v>7072</v>
      </c>
      <c r="H1927" s="6" t="s">
        <v>7073</v>
      </c>
      <c r="I1927" s="6" t="s">
        <v>7074</v>
      </c>
      <c r="J1927" s="6" t="s">
        <v>7075</v>
      </c>
      <c r="K1927" s="5"/>
      <c r="L1927" s="4" t="s">
        <v>44</v>
      </c>
      <c r="M1927" s="8" t="s">
        <v>28</v>
      </c>
      <c r="N1927" s="9" t="s">
        <v>6387</v>
      </c>
      <c r="O1927" s="5"/>
      <c r="P1927" s="5"/>
      <c r="Q1927" s="6" t="s">
        <v>30</v>
      </c>
      <c r="R1927" s="4" t="s">
        <v>31</v>
      </c>
      <c r="S1927" s="7" t="s">
        <v>32</v>
      </c>
      <c r="T1927" s="5"/>
    </row>
    <row r="1928" customFormat="false" ht="29.25" hidden="false" customHeight="true" outlineLevel="0" collapsed="false">
      <c r="A1928" s="4" t="n">
        <v>1927</v>
      </c>
      <c r="B1928" s="6" t="s">
        <v>1787</v>
      </c>
      <c r="C1928" s="6" t="s">
        <v>6383</v>
      </c>
      <c r="D1928" s="6" t="s">
        <v>6384</v>
      </c>
      <c r="E1928" s="7" t="s">
        <v>21</v>
      </c>
      <c r="F1928" s="6" t="s">
        <v>7076</v>
      </c>
      <c r="G1928" s="6" t="s">
        <v>7077</v>
      </c>
      <c r="H1928" s="6" t="s">
        <v>7078</v>
      </c>
      <c r="I1928" s="6" t="s">
        <v>7079</v>
      </c>
      <c r="J1928" s="6" t="s">
        <v>7080</v>
      </c>
      <c r="K1928" s="5"/>
      <c r="L1928" s="4" t="s">
        <v>44</v>
      </c>
      <c r="M1928" s="8" t="s">
        <v>28</v>
      </c>
      <c r="N1928" s="9" t="s">
        <v>6387</v>
      </c>
      <c r="O1928" s="5"/>
      <c r="P1928" s="5"/>
      <c r="Q1928" s="6" t="s">
        <v>30</v>
      </c>
      <c r="R1928" s="4" t="s">
        <v>31</v>
      </c>
      <c r="S1928" s="7" t="s">
        <v>32</v>
      </c>
      <c r="T1928" s="5"/>
    </row>
    <row r="1929" customFormat="false" ht="29.25" hidden="false" customHeight="true" outlineLevel="0" collapsed="false">
      <c r="A1929" s="4" t="n">
        <v>1928</v>
      </c>
      <c r="B1929" s="6" t="s">
        <v>1787</v>
      </c>
      <c r="C1929" s="6" t="s">
        <v>6383</v>
      </c>
      <c r="D1929" s="6" t="s">
        <v>6384</v>
      </c>
      <c r="E1929" s="7" t="s">
        <v>21</v>
      </c>
      <c r="F1929" s="6" t="s">
        <v>7081</v>
      </c>
      <c r="G1929" s="6" t="s">
        <v>7082</v>
      </c>
      <c r="H1929" s="6" t="s">
        <v>7083</v>
      </c>
      <c r="I1929" s="6" t="s">
        <v>7084</v>
      </c>
      <c r="J1929" s="6" t="s">
        <v>7085</v>
      </c>
      <c r="K1929" s="5"/>
      <c r="L1929" s="4" t="s">
        <v>51</v>
      </c>
      <c r="M1929" s="8" t="s">
        <v>79</v>
      </c>
      <c r="N1929" s="9" t="s">
        <v>6387</v>
      </c>
      <c r="O1929" s="5"/>
      <c r="P1929" s="5"/>
      <c r="Q1929" s="6" t="s">
        <v>30</v>
      </c>
      <c r="R1929" s="4" t="s">
        <v>31</v>
      </c>
      <c r="S1929" s="7" t="s">
        <v>32</v>
      </c>
      <c r="T1929" s="5"/>
    </row>
    <row r="1930" customFormat="false" ht="29.25" hidden="false" customHeight="true" outlineLevel="0" collapsed="false">
      <c r="A1930" s="4" t="n">
        <v>1929</v>
      </c>
      <c r="B1930" s="6" t="s">
        <v>1787</v>
      </c>
      <c r="C1930" s="6" t="s">
        <v>6383</v>
      </c>
      <c r="D1930" s="6" t="s">
        <v>6384</v>
      </c>
      <c r="E1930" s="7" t="s">
        <v>21</v>
      </c>
      <c r="F1930" s="6" t="s">
        <v>7086</v>
      </c>
      <c r="G1930" s="6" t="s">
        <v>7087</v>
      </c>
      <c r="H1930" s="6" t="s">
        <v>7088</v>
      </c>
      <c r="I1930" s="6" t="s">
        <v>7089</v>
      </c>
      <c r="J1930" s="6" t="s">
        <v>6989</v>
      </c>
      <c r="K1930" s="5"/>
      <c r="L1930" s="4" t="s">
        <v>27</v>
      </c>
      <c r="M1930" s="8" t="s">
        <v>79</v>
      </c>
      <c r="N1930" s="9" t="s">
        <v>6387</v>
      </c>
      <c r="O1930" s="5"/>
      <c r="P1930" s="5"/>
      <c r="Q1930" s="6" t="s">
        <v>30</v>
      </c>
      <c r="R1930" s="4" t="s">
        <v>31</v>
      </c>
      <c r="S1930" s="7" t="s">
        <v>32</v>
      </c>
      <c r="T1930" s="5"/>
    </row>
    <row r="1931" customFormat="false" ht="43.5" hidden="false" customHeight="true" outlineLevel="0" collapsed="false">
      <c r="A1931" s="4" t="n">
        <v>1930</v>
      </c>
      <c r="B1931" s="6" t="s">
        <v>1787</v>
      </c>
      <c r="C1931" s="6" t="s">
        <v>6383</v>
      </c>
      <c r="D1931" s="6" t="s">
        <v>6384</v>
      </c>
      <c r="E1931" s="7" t="s">
        <v>21</v>
      </c>
      <c r="F1931" s="6" t="s">
        <v>7090</v>
      </c>
      <c r="G1931" s="6" t="s">
        <v>7091</v>
      </c>
      <c r="H1931" s="6" t="s">
        <v>7092</v>
      </c>
      <c r="I1931" s="6" t="s">
        <v>7093</v>
      </c>
      <c r="J1931" s="6" t="s">
        <v>7094</v>
      </c>
      <c r="K1931" s="5"/>
      <c r="L1931" s="4" t="s">
        <v>51</v>
      </c>
      <c r="M1931" s="8" t="s">
        <v>129</v>
      </c>
      <c r="N1931" s="9" t="s">
        <v>6387</v>
      </c>
      <c r="O1931" s="5"/>
      <c r="P1931" s="5"/>
      <c r="Q1931" s="6" t="s">
        <v>30</v>
      </c>
      <c r="R1931" s="4" t="s">
        <v>31</v>
      </c>
      <c r="S1931" s="7" t="s">
        <v>32</v>
      </c>
      <c r="T1931" s="5"/>
    </row>
    <row r="1932" customFormat="false" ht="29.25" hidden="false" customHeight="true" outlineLevel="0" collapsed="false">
      <c r="A1932" s="4" t="n">
        <v>1931</v>
      </c>
      <c r="B1932" s="6" t="s">
        <v>1787</v>
      </c>
      <c r="C1932" s="6" t="s">
        <v>6383</v>
      </c>
      <c r="D1932" s="6" t="s">
        <v>6384</v>
      </c>
      <c r="E1932" s="7" t="s">
        <v>21</v>
      </c>
      <c r="F1932" s="6" t="s">
        <v>7095</v>
      </c>
      <c r="G1932" s="6" t="s">
        <v>7096</v>
      </c>
      <c r="H1932" s="5" t="s">
        <v>7097</v>
      </c>
      <c r="I1932" s="5" t="s">
        <v>7098</v>
      </c>
      <c r="J1932" s="5" t="s">
        <v>7099</v>
      </c>
      <c r="K1932" s="5"/>
      <c r="L1932" s="4" t="s">
        <v>51</v>
      </c>
      <c r="M1932" s="8" t="s">
        <v>79</v>
      </c>
      <c r="N1932" s="9" t="s">
        <v>6387</v>
      </c>
      <c r="O1932" s="5"/>
      <c r="P1932" s="5"/>
      <c r="Q1932" s="6" t="s">
        <v>30</v>
      </c>
      <c r="R1932" s="4" t="s">
        <v>31</v>
      </c>
      <c r="S1932" s="7" t="s">
        <v>32</v>
      </c>
      <c r="T1932" s="5"/>
    </row>
    <row r="1933" customFormat="false" ht="43.5" hidden="false" customHeight="true" outlineLevel="0" collapsed="false">
      <c r="A1933" s="4" t="n">
        <v>1932</v>
      </c>
      <c r="B1933" s="6" t="s">
        <v>1787</v>
      </c>
      <c r="C1933" s="6" t="s">
        <v>6383</v>
      </c>
      <c r="D1933" s="6" t="s">
        <v>6384</v>
      </c>
      <c r="E1933" s="7" t="s">
        <v>21</v>
      </c>
      <c r="F1933" s="6" t="s">
        <v>7100</v>
      </c>
      <c r="G1933" s="5" t="s">
        <v>2672</v>
      </c>
      <c r="H1933" s="5" t="s">
        <v>2673</v>
      </c>
      <c r="I1933" s="5" t="s">
        <v>2674</v>
      </c>
      <c r="J1933" s="5" t="s">
        <v>7101</v>
      </c>
      <c r="K1933" s="5"/>
      <c r="L1933" s="4" t="s">
        <v>62</v>
      </c>
      <c r="M1933" s="8" t="s">
        <v>79</v>
      </c>
      <c r="N1933" s="9" t="s">
        <v>6387</v>
      </c>
      <c r="O1933" s="5"/>
      <c r="P1933" s="5"/>
      <c r="Q1933" s="6" t="s">
        <v>30</v>
      </c>
      <c r="R1933" s="4" t="s">
        <v>31</v>
      </c>
      <c r="S1933" s="7" t="s">
        <v>32</v>
      </c>
      <c r="T1933" s="5"/>
    </row>
    <row r="1934" customFormat="false" ht="29.25" hidden="false" customHeight="true" outlineLevel="0" collapsed="false">
      <c r="A1934" s="4" t="n">
        <v>1933</v>
      </c>
      <c r="B1934" s="6" t="s">
        <v>1787</v>
      </c>
      <c r="C1934" s="6" t="s">
        <v>6383</v>
      </c>
      <c r="D1934" s="6" t="s">
        <v>6384</v>
      </c>
      <c r="E1934" s="7" t="s">
        <v>21</v>
      </c>
      <c r="F1934" s="6" t="s">
        <v>7102</v>
      </c>
      <c r="G1934" s="6" t="s">
        <v>7103</v>
      </c>
      <c r="H1934" s="6" t="s">
        <v>7104</v>
      </c>
      <c r="I1934" s="6" t="s">
        <v>7105</v>
      </c>
      <c r="J1934" s="6" t="s">
        <v>78</v>
      </c>
      <c r="K1934" s="5"/>
      <c r="L1934" s="4" t="s">
        <v>44</v>
      </c>
      <c r="M1934" s="8" t="s">
        <v>79</v>
      </c>
      <c r="N1934" s="9" t="s">
        <v>6387</v>
      </c>
      <c r="O1934" s="5"/>
      <c r="P1934" s="5"/>
      <c r="Q1934" s="6" t="s">
        <v>30</v>
      </c>
      <c r="R1934" s="4" t="s">
        <v>31</v>
      </c>
      <c r="S1934" s="7" t="s">
        <v>32</v>
      </c>
      <c r="T1934" s="5"/>
    </row>
    <row r="1935" customFormat="false" ht="29.25" hidden="false" customHeight="true" outlineLevel="0" collapsed="false">
      <c r="A1935" s="4" t="n">
        <v>1934</v>
      </c>
      <c r="B1935" s="6" t="s">
        <v>1787</v>
      </c>
      <c r="C1935" s="6" t="s">
        <v>6383</v>
      </c>
      <c r="D1935" s="6" t="s">
        <v>6384</v>
      </c>
      <c r="E1935" s="7" t="s">
        <v>21</v>
      </c>
      <c r="F1935" s="6" t="s">
        <v>7106</v>
      </c>
      <c r="G1935" s="6" t="s">
        <v>7107</v>
      </c>
      <c r="H1935" s="6" t="s">
        <v>7108</v>
      </c>
      <c r="I1935" s="6" t="s">
        <v>7109</v>
      </c>
      <c r="J1935" s="6" t="s">
        <v>322</v>
      </c>
      <c r="K1935" s="5"/>
      <c r="L1935" s="4" t="s">
        <v>44</v>
      </c>
      <c r="M1935" s="8" t="s">
        <v>79</v>
      </c>
      <c r="N1935" s="9" t="s">
        <v>6387</v>
      </c>
      <c r="O1935" s="5"/>
      <c r="P1935" s="5"/>
      <c r="Q1935" s="6" t="s">
        <v>30</v>
      </c>
      <c r="R1935" s="4" t="s">
        <v>31</v>
      </c>
      <c r="S1935" s="7" t="s">
        <v>32</v>
      </c>
      <c r="T1935" s="5"/>
    </row>
    <row r="1936" customFormat="false" ht="29.25" hidden="false" customHeight="true" outlineLevel="0" collapsed="false">
      <c r="A1936" s="4" t="n">
        <v>1935</v>
      </c>
      <c r="B1936" s="6" t="s">
        <v>1787</v>
      </c>
      <c r="C1936" s="6" t="s">
        <v>6383</v>
      </c>
      <c r="D1936" s="6" t="s">
        <v>6384</v>
      </c>
      <c r="E1936" s="7" t="s">
        <v>21</v>
      </c>
      <c r="F1936" s="6" t="s">
        <v>7110</v>
      </c>
      <c r="G1936" s="6" t="s">
        <v>7111</v>
      </c>
      <c r="H1936" s="6" t="s">
        <v>7112</v>
      </c>
      <c r="I1936" s="6" t="s">
        <v>7113</v>
      </c>
      <c r="J1936" s="6" t="s">
        <v>7114</v>
      </c>
      <c r="K1936" s="5"/>
      <c r="L1936" s="4" t="s">
        <v>62</v>
      </c>
      <c r="M1936" s="8" t="s">
        <v>28</v>
      </c>
      <c r="N1936" s="9" t="s">
        <v>6387</v>
      </c>
      <c r="O1936" s="5"/>
      <c r="P1936" s="5"/>
      <c r="Q1936" s="6" t="s">
        <v>30</v>
      </c>
      <c r="R1936" s="4" t="s">
        <v>31</v>
      </c>
      <c r="S1936" s="7" t="s">
        <v>32</v>
      </c>
      <c r="T1936" s="5"/>
    </row>
    <row r="1937" customFormat="false" ht="29.25" hidden="false" customHeight="true" outlineLevel="0" collapsed="false">
      <c r="A1937" s="4" t="n">
        <v>1936</v>
      </c>
      <c r="B1937" s="6" t="s">
        <v>1787</v>
      </c>
      <c r="C1937" s="6" t="s">
        <v>6383</v>
      </c>
      <c r="D1937" s="6" t="s">
        <v>6384</v>
      </c>
      <c r="E1937" s="7" t="s">
        <v>21</v>
      </c>
      <c r="F1937" s="6" t="s">
        <v>7115</v>
      </c>
      <c r="G1937" s="6" t="s">
        <v>7116</v>
      </c>
      <c r="H1937" s="6" t="s">
        <v>7117</v>
      </c>
      <c r="I1937" s="6" t="s">
        <v>7118</v>
      </c>
      <c r="J1937" s="6" t="s">
        <v>7119</v>
      </c>
      <c r="K1937" s="5"/>
      <c r="L1937" s="4" t="s">
        <v>51</v>
      </c>
      <c r="M1937" s="8" t="s">
        <v>79</v>
      </c>
      <c r="N1937" s="9" t="s">
        <v>6387</v>
      </c>
      <c r="O1937" s="5"/>
      <c r="P1937" s="5"/>
      <c r="Q1937" s="6" t="s">
        <v>30</v>
      </c>
      <c r="R1937" s="4" t="s">
        <v>31</v>
      </c>
      <c r="S1937" s="7" t="s">
        <v>32</v>
      </c>
      <c r="T1937" s="5"/>
    </row>
    <row r="1938" customFormat="false" ht="29.25" hidden="false" customHeight="true" outlineLevel="0" collapsed="false">
      <c r="A1938" s="4" t="n">
        <v>1937</v>
      </c>
      <c r="B1938" s="6" t="s">
        <v>1787</v>
      </c>
      <c r="C1938" s="6" t="s">
        <v>6383</v>
      </c>
      <c r="D1938" s="6" t="s">
        <v>6384</v>
      </c>
      <c r="E1938" s="7" t="s">
        <v>21</v>
      </c>
      <c r="F1938" s="6" t="s">
        <v>7120</v>
      </c>
      <c r="G1938" s="6" t="s">
        <v>7121</v>
      </c>
      <c r="H1938" s="6" t="s">
        <v>7122</v>
      </c>
      <c r="I1938" s="6" t="s">
        <v>7005</v>
      </c>
      <c r="J1938" s="6" t="s">
        <v>7123</v>
      </c>
      <c r="K1938" s="5"/>
      <c r="L1938" s="4" t="s">
        <v>62</v>
      </c>
      <c r="M1938" s="8" t="s">
        <v>28</v>
      </c>
      <c r="N1938" s="9" t="s">
        <v>6387</v>
      </c>
      <c r="O1938" s="5"/>
      <c r="P1938" s="5"/>
      <c r="Q1938" s="6" t="s">
        <v>30</v>
      </c>
      <c r="R1938" s="4" t="s">
        <v>31</v>
      </c>
      <c r="S1938" s="7" t="s">
        <v>32</v>
      </c>
      <c r="T1938" s="5"/>
    </row>
    <row r="1939" customFormat="false" ht="29.25" hidden="false" customHeight="true" outlineLevel="0" collapsed="false">
      <c r="A1939" s="4" t="n">
        <v>1938</v>
      </c>
      <c r="B1939" s="6" t="s">
        <v>1787</v>
      </c>
      <c r="C1939" s="6" t="s">
        <v>6383</v>
      </c>
      <c r="D1939" s="6" t="s">
        <v>6384</v>
      </c>
      <c r="E1939" s="7" t="s">
        <v>21</v>
      </c>
      <c r="F1939" s="6" t="s">
        <v>7124</v>
      </c>
      <c r="G1939" s="6" t="s">
        <v>7125</v>
      </c>
      <c r="H1939" s="6" t="s">
        <v>7126</v>
      </c>
      <c r="I1939" s="6" t="s">
        <v>7127</v>
      </c>
      <c r="J1939" s="6" t="s">
        <v>7128</v>
      </c>
      <c r="K1939" s="5"/>
      <c r="L1939" s="4" t="s">
        <v>44</v>
      </c>
      <c r="M1939" s="8" t="s">
        <v>28</v>
      </c>
      <c r="N1939" s="9" t="s">
        <v>6387</v>
      </c>
      <c r="O1939" s="5"/>
      <c r="P1939" s="5"/>
      <c r="Q1939" s="6" t="s">
        <v>30</v>
      </c>
      <c r="R1939" s="4" t="s">
        <v>31</v>
      </c>
      <c r="S1939" s="7" t="s">
        <v>32</v>
      </c>
      <c r="T1939" s="5"/>
    </row>
    <row r="1940" customFormat="false" ht="29.25" hidden="false" customHeight="true" outlineLevel="0" collapsed="false">
      <c r="A1940" s="4" t="n">
        <v>1939</v>
      </c>
      <c r="B1940" s="6" t="s">
        <v>1787</v>
      </c>
      <c r="C1940" s="6" t="s">
        <v>6383</v>
      </c>
      <c r="D1940" s="6" t="s">
        <v>6384</v>
      </c>
      <c r="E1940" s="7" t="s">
        <v>21</v>
      </c>
      <c r="F1940" s="6" t="s">
        <v>7129</v>
      </c>
      <c r="G1940" s="6" t="s">
        <v>7130</v>
      </c>
      <c r="H1940" s="6" t="s">
        <v>7131</v>
      </c>
      <c r="I1940" s="6" t="s">
        <v>7132</v>
      </c>
      <c r="J1940" s="6" t="s">
        <v>78</v>
      </c>
      <c r="K1940" s="5"/>
      <c r="L1940" s="4" t="s">
        <v>44</v>
      </c>
      <c r="M1940" s="8" t="s">
        <v>129</v>
      </c>
      <c r="N1940" s="9" t="s">
        <v>6387</v>
      </c>
      <c r="O1940" s="5"/>
      <c r="P1940" s="5"/>
      <c r="Q1940" s="6" t="s">
        <v>30</v>
      </c>
      <c r="R1940" s="4" t="s">
        <v>31</v>
      </c>
      <c r="S1940" s="7" t="s">
        <v>32</v>
      </c>
      <c r="T1940" s="5"/>
    </row>
    <row r="1941" customFormat="false" ht="29.25" hidden="false" customHeight="true" outlineLevel="0" collapsed="false">
      <c r="A1941" s="4" t="n">
        <v>1940</v>
      </c>
      <c r="B1941" s="6" t="s">
        <v>1787</v>
      </c>
      <c r="C1941" s="6" t="s">
        <v>6383</v>
      </c>
      <c r="D1941" s="6" t="s">
        <v>6384</v>
      </c>
      <c r="E1941" s="7" t="s">
        <v>21</v>
      </c>
      <c r="F1941" s="6" t="s">
        <v>7133</v>
      </c>
      <c r="G1941" s="6" t="s">
        <v>7134</v>
      </c>
      <c r="H1941" s="6" t="s">
        <v>7131</v>
      </c>
      <c r="I1941" s="6" t="s">
        <v>7135</v>
      </c>
      <c r="J1941" s="6" t="s">
        <v>7132</v>
      </c>
      <c r="K1941" s="5"/>
      <c r="L1941" s="4" t="s">
        <v>62</v>
      </c>
      <c r="M1941" s="8" t="s">
        <v>129</v>
      </c>
      <c r="N1941" s="9" t="s">
        <v>6387</v>
      </c>
      <c r="O1941" s="5"/>
      <c r="P1941" s="5"/>
      <c r="Q1941" s="6" t="s">
        <v>30</v>
      </c>
      <c r="R1941" s="4" t="s">
        <v>31</v>
      </c>
      <c r="S1941" s="7" t="s">
        <v>32</v>
      </c>
      <c r="T1941" s="5"/>
    </row>
    <row r="1942" customFormat="false" ht="29.25" hidden="false" customHeight="true" outlineLevel="0" collapsed="false">
      <c r="A1942" s="4" t="n">
        <v>1941</v>
      </c>
      <c r="B1942" s="6" t="s">
        <v>1787</v>
      </c>
      <c r="C1942" s="6" t="s">
        <v>6383</v>
      </c>
      <c r="D1942" s="6" t="s">
        <v>6384</v>
      </c>
      <c r="E1942" s="7" t="s">
        <v>21</v>
      </c>
      <c r="F1942" s="6" t="s">
        <v>7136</v>
      </c>
      <c r="G1942" s="6" t="s">
        <v>7131</v>
      </c>
      <c r="H1942" s="6" t="s">
        <v>7132</v>
      </c>
      <c r="I1942" s="6" t="s">
        <v>7130</v>
      </c>
      <c r="J1942" s="6" t="s">
        <v>150</v>
      </c>
      <c r="K1942" s="5"/>
      <c r="L1942" s="4" t="s">
        <v>27</v>
      </c>
      <c r="M1942" s="8" t="s">
        <v>79</v>
      </c>
      <c r="N1942" s="9" t="s">
        <v>6387</v>
      </c>
      <c r="O1942" s="5"/>
      <c r="P1942" s="5"/>
      <c r="Q1942" s="6" t="s">
        <v>30</v>
      </c>
      <c r="R1942" s="4" t="s">
        <v>31</v>
      </c>
      <c r="S1942" s="7" t="s">
        <v>32</v>
      </c>
      <c r="T1942" s="5"/>
    </row>
    <row r="1943" customFormat="false" ht="29.25" hidden="false" customHeight="true" outlineLevel="0" collapsed="false">
      <c r="A1943" s="4" t="n">
        <v>1942</v>
      </c>
      <c r="B1943" s="6" t="s">
        <v>1787</v>
      </c>
      <c r="C1943" s="6" t="s">
        <v>6383</v>
      </c>
      <c r="D1943" s="6" t="s">
        <v>6384</v>
      </c>
      <c r="E1943" s="7" t="s">
        <v>21</v>
      </c>
      <c r="F1943" s="6" t="s">
        <v>7137</v>
      </c>
      <c r="G1943" s="6" t="s">
        <v>7130</v>
      </c>
      <c r="H1943" s="6" t="s">
        <v>7134</v>
      </c>
      <c r="I1943" s="6" t="s">
        <v>7132</v>
      </c>
      <c r="J1943" s="6" t="s">
        <v>7131</v>
      </c>
      <c r="K1943" s="5"/>
      <c r="L1943" s="4" t="s">
        <v>27</v>
      </c>
      <c r="M1943" s="8" t="s">
        <v>129</v>
      </c>
      <c r="N1943" s="9" t="s">
        <v>6387</v>
      </c>
      <c r="O1943" s="5"/>
      <c r="P1943" s="5"/>
      <c r="Q1943" s="6" t="s">
        <v>30</v>
      </c>
      <c r="R1943" s="4" t="s">
        <v>31</v>
      </c>
      <c r="S1943" s="7" t="s">
        <v>32</v>
      </c>
      <c r="T1943" s="5"/>
    </row>
    <row r="1944" customFormat="false" ht="29.25" hidden="false" customHeight="true" outlineLevel="0" collapsed="false">
      <c r="A1944" s="4" t="n">
        <v>1943</v>
      </c>
      <c r="B1944" s="6" t="s">
        <v>1787</v>
      </c>
      <c r="C1944" s="6" t="s">
        <v>6383</v>
      </c>
      <c r="D1944" s="6" t="s">
        <v>6384</v>
      </c>
      <c r="E1944" s="7" t="s">
        <v>21</v>
      </c>
      <c r="F1944" s="6" t="s">
        <v>7138</v>
      </c>
      <c r="G1944" s="6" t="s">
        <v>6929</v>
      </c>
      <c r="H1944" s="6" t="s">
        <v>7139</v>
      </c>
      <c r="I1944" s="6" t="s">
        <v>7140</v>
      </c>
      <c r="J1944" s="6" t="s">
        <v>7141</v>
      </c>
      <c r="K1944" s="5"/>
      <c r="L1944" s="4" t="s">
        <v>44</v>
      </c>
      <c r="M1944" s="8" t="s">
        <v>129</v>
      </c>
      <c r="N1944" s="9" t="s">
        <v>6387</v>
      </c>
      <c r="O1944" s="5"/>
      <c r="P1944" s="5"/>
      <c r="Q1944" s="6" t="s">
        <v>30</v>
      </c>
      <c r="R1944" s="4" t="s">
        <v>31</v>
      </c>
      <c r="S1944" s="7" t="s">
        <v>32</v>
      </c>
      <c r="T1944" s="5"/>
    </row>
    <row r="1945" customFormat="false" ht="29.25" hidden="false" customHeight="true" outlineLevel="0" collapsed="false">
      <c r="A1945" s="4" t="n">
        <v>1944</v>
      </c>
      <c r="B1945" s="6" t="s">
        <v>1787</v>
      </c>
      <c r="C1945" s="6" t="s">
        <v>6383</v>
      </c>
      <c r="D1945" s="6" t="s">
        <v>6384</v>
      </c>
      <c r="E1945" s="7" t="s">
        <v>21</v>
      </c>
      <c r="F1945" s="6" t="s">
        <v>7142</v>
      </c>
      <c r="G1945" s="6" t="s">
        <v>7143</v>
      </c>
      <c r="H1945" s="6" t="s">
        <v>7144</v>
      </c>
      <c r="I1945" s="6" t="s">
        <v>7145</v>
      </c>
      <c r="J1945" s="6" t="s">
        <v>7146</v>
      </c>
      <c r="K1945" s="5"/>
      <c r="L1945" s="4" t="s">
        <v>51</v>
      </c>
      <c r="M1945" s="8" t="s">
        <v>129</v>
      </c>
      <c r="N1945" s="9" t="s">
        <v>6387</v>
      </c>
      <c r="O1945" s="5"/>
      <c r="P1945" s="5"/>
      <c r="Q1945" s="6" t="s">
        <v>30</v>
      </c>
      <c r="R1945" s="4" t="s">
        <v>31</v>
      </c>
      <c r="S1945" s="7" t="s">
        <v>32</v>
      </c>
      <c r="T1945" s="5"/>
    </row>
    <row r="1946" customFormat="false" ht="29.25" hidden="false" customHeight="true" outlineLevel="0" collapsed="false">
      <c r="A1946" s="4" t="n">
        <v>1945</v>
      </c>
      <c r="B1946" s="6" t="s">
        <v>1787</v>
      </c>
      <c r="C1946" s="6" t="s">
        <v>6383</v>
      </c>
      <c r="D1946" s="6" t="s">
        <v>6384</v>
      </c>
      <c r="E1946" s="7" t="s">
        <v>21</v>
      </c>
      <c r="F1946" s="6" t="s">
        <v>7147</v>
      </c>
      <c r="G1946" s="6" t="s">
        <v>7140</v>
      </c>
      <c r="H1946" s="6" t="s">
        <v>7148</v>
      </c>
      <c r="I1946" s="6" t="s">
        <v>6929</v>
      </c>
      <c r="J1946" s="6" t="s">
        <v>7149</v>
      </c>
      <c r="K1946" s="5"/>
      <c r="L1946" s="4" t="s">
        <v>62</v>
      </c>
      <c r="M1946" s="8" t="s">
        <v>79</v>
      </c>
      <c r="N1946" s="9" t="s">
        <v>6387</v>
      </c>
      <c r="O1946" s="5"/>
      <c r="P1946" s="5"/>
      <c r="Q1946" s="6" t="s">
        <v>30</v>
      </c>
      <c r="R1946" s="4" t="s">
        <v>31</v>
      </c>
      <c r="S1946" s="7" t="s">
        <v>32</v>
      </c>
      <c r="T1946" s="5"/>
    </row>
    <row r="1947" customFormat="false" ht="29.25" hidden="false" customHeight="true" outlineLevel="0" collapsed="false">
      <c r="A1947" s="4" t="n">
        <v>1946</v>
      </c>
      <c r="B1947" s="6" t="s">
        <v>1787</v>
      </c>
      <c r="C1947" s="6" t="s">
        <v>6383</v>
      </c>
      <c r="D1947" s="6" t="s">
        <v>6384</v>
      </c>
      <c r="E1947" s="7" t="s">
        <v>21</v>
      </c>
      <c r="F1947" s="6" t="s">
        <v>7150</v>
      </c>
      <c r="G1947" s="6" t="s">
        <v>7140</v>
      </c>
      <c r="H1947" s="6" t="s">
        <v>6928</v>
      </c>
      <c r="I1947" s="6" t="s">
        <v>6929</v>
      </c>
      <c r="J1947" s="6" t="s">
        <v>7148</v>
      </c>
      <c r="K1947" s="5"/>
      <c r="L1947" s="4" t="s">
        <v>27</v>
      </c>
      <c r="M1947" s="8" t="s">
        <v>79</v>
      </c>
      <c r="N1947" s="9" t="s">
        <v>6488</v>
      </c>
      <c r="O1947" s="5"/>
      <c r="P1947" s="5"/>
      <c r="Q1947" s="6" t="s">
        <v>30</v>
      </c>
      <c r="R1947" s="4" t="s">
        <v>31</v>
      </c>
      <c r="S1947" s="7" t="s">
        <v>32</v>
      </c>
      <c r="T1947" s="5"/>
    </row>
    <row r="1948" customFormat="false" ht="43.5" hidden="false" customHeight="true" outlineLevel="0" collapsed="false">
      <c r="A1948" s="4" t="n">
        <v>1947</v>
      </c>
      <c r="B1948" s="6" t="s">
        <v>1787</v>
      </c>
      <c r="C1948" s="6" t="s">
        <v>6383</v>
      </c>
      <c r="D1948" s="6" t="s">
        <v>6384</v>
      </c>
      <c r="E1948" s="7" t="s">
        <v>21</v>
      </c>
      <c r="F1948" s="6" t="s">
        <v>7151</v>
      </c>
      <c r="G1948" s="5" t="s">
        <v>7152</v>
      </c>
      <c r="H1948" s="5" t="s">
        <v>7153</v>
      </c>
      <c r="I1948" s="5" t="s">
        <v>7154</v>
      </c>
      <c r="J1948" s="5" t="s">
        <v>7155</v>
      </c>
      <c r="K1948" s="5"/>
      <c r="L1948" s="4" t="s">
        <v>51</v>
      </c>
      <c r="M1948" s="8" t="s">
        <v>79</v>
      </c>
      <c r="N1948" s="9" t="s">
        <v>6387</v>
      </c>
      <c r="O1948" s="5"/>
      <c r="P1948" s="5"/>
      <c r="Q1948" s="6" t="s">
        <v>30</v>
      </c>
      <c r="R1948" s="4" t="s">
        <v>31</v>
      </c>
      <c r="S1948" s="7" t="s">
        <v>32</v>
      </c>
      <c r="T1948" s="5"/>
    </row>
    <row r="1949" customFormat="false" ht="29.25" hidden="false" customHeight="true" outlineLevel="0" collapsed="false">
      <c r="A1949" s="4" t="n">
        <v>1948</v>
      </c>
      <c r="B1949" s="6" t="s">
        <v>1787</v>
      </c>
      <c r="C1949" s="6" t="s">
        <v>6383</v>
      </c>
      <c r="D1949" s="6" t="s">
        <v>6384</v>
      </c>
      <c r="E1949" s="7" t="s">
        <v>21</v>
      </c>
      <c r="F1949" s="6" t="s">
        <v>7156</v>
      </c>
      <c r="G1949" s="6" t="s">
        <v>7157</v>
      </c>
      <c r="H1949" s="6" t="s">
        <v>7158</v>
      </c>
      <c r="I1949" s="6" t="s">
        <v>7159</v>
      </c>
      <c r="J1949" s="6" t="s">
        <v>7160</v>
      </c>
      <c r="K1949" s="5"/>
      <c r="L1949" s="4" t="s">
        <v>27</v>
      </c>
      <c r="M1949" s="8" t="s">
        <v>79</v>
      </c>
      <c r="N1949" s="9" t="s">
        <v>6387</v>
      </c>
      <c r="O1949" s="5"/>
      <c r="P1949" s="5"/>
      <c r="Q1949" s="6" t="s">
        <v>30</v>
      </c>
      <c r="R1949" s="4" t="s">
        <v>31</v>
      </c>
      <c r="S1949" s="7" t="s">
        <v>32</v>
      </c>
      <c r="T1949" s="5"/>
    </row>
    <row r="1950" customFormat="false" ht="29.25" hidden="false" customHeight="true" outlineLevel="0" collapsed="false">
      <c r="A1950" s="4" t="n">
        <v>1949</v>
      </c>
      <c r="B1950" s="6" t="s">
        <v>1787</v>
      </c>
      <c r="C1950" s="6" t="s">
        <v>6383</v>
      </c>
      <c r="D1950" s="6" t="s">
        <v>6384</v>
      </c>
      <c r="E1950" s="7" t="s">
        <v>21</v>
      </c>
      <c r="F1950" s="6" t="s">
        <v>7161</v>
      </c>
      <c r="G1950" s="6" t="s">
        <v>7146</v>
      </c>
      <c r="H1950" s="6" t="s">
        <v>7145</v>
      </c>
      <c r="I1950" s="6" t="s">
        <v>7144</v>
      </c>
      <c r="J1950" s="6" t="s">
        <v>7143</v>
      </c>
      <c r="K1950" s="5"/>
      <c r="L1950" s="4" t="s">
        <v>27</v>
      </c>
      <c r="M1950" s="8" t="s">
        <v>129</v>
      </c>
      <c r="N1950" s="9" t="s">
        <v>6387</v>
      </c>
      <c r="O1950" s="5"/>
      <c r="P1950" s="5"/>
      <c r="Q1950" s="6" t="s">
        <v>30</v>
      </c>
      <c r="R1950" s="4" t="s">
        <v>31</v>
      </c>
      <c r="S1950" s="7" t="s">
        <v>32</v>
      </c>
      <c r="T1950" s="5"/>
    </row>
    <row r="1951" customFormat="false" ht="29.25" hidden="false" customHeight="true" outlineLevel="0" collapsed="false">
      <c r="A1951" s="4" t="n">
        <v>1950</v>
      </c>
      <c r="B1951" s="6" t="s">
        <v>1787</v>
      </c>
      <c r="C1951" s="6" t="s">
        <v>6383</v>
      </c>
      <c r="D1951" s="6" t="s">
        <v>6384</v>
      </c>
      <c r="E1951" s="7" t="s">
        <v>21</v>
      </c>
      <c r="F1951" s="6" t="s">
        <v>7162</v>
      </c>
      <c r="G1951" s="6" t="s">
        <v>7143</v>
      </c>
      <c r="H1951" s="6" t="s">
        <v>7144</v>
      </c>
      <c r="I1951" s="6" t="s">
        <v>7145</v>
      </c>
      <c r="J1951" s="6" t="s">
        <v>7146</v>
      </c>
      <c r="K1951" s="5"/>
      <c r="L1951" s="4" t="s">
        <v>27</v>
      </c>
      <c r="M1951" s="8" t="s">
        <v>129</v>
      </c>
      <c r="N1951" s="9" t="s">
        <v>6387</v>
      </c>
      <c r="O1951" s="5"/>
      <c r="P1951" s="5"/>
      <c r="Q1951" s="6" t="s">
        <v>30</v>
      </c>
      <c r="R1951" s="4" t="s">
        <v>31</v>
      </c>
      <c r="S1951" s="7" t="s">
        <v>32</v>
      </c>
      <c r="T1951" s="5"/>
    </row>
    <row r="1952" customFormat="false" ht="29.25" hidden="false" customHeight="true" outlineLevel="0" collapsed="false">
      <c r="A1952" s="4" t="n">
        <v>1951</v>
      </c>
      <c r="B1952" s="6" t="s">
        <v>1787</v>
      </c>
      <c r="C1952" s="6" t="s">
        <v>6383</v>
      </c>
      <c r="D1952" s="6" t="s">
        <v>6384</v>
      </c>
      <c r="E1952" s="7" t="s">
        <v>21</v>
      </c>
      <c r="F1952" s="6" t="s">
        <v>7163</v>
      </c>
      <c r="G1952" s="6" t="s">
        <v>7146</v>
      </c>
      <c r="H1952" s="6" t="s">
        <v>7145</v>
      </c>
      <c r="I1952" s="6" t="s">
        <v>7144</v>
      </c>
      <c r="J1952" s="6" t="s">
        <v>7143</v>
      </c>
      <c r="K1952" s="5"/>
      <c r="L1952" s="4" t="s">
        <v>51</v>
      </c>
      <c r="M1952" s="8" t="s">
        <v>129</v>
      </c>
      <c r="N1952" s="9" t="s">
        <v>6387</v>
      </c>
      <c r="O1952" s="5"/>
      <c r="P1952" s="5"/>
      <c r="Q1952" s="6" t="s">
        <v>30</v>
      </c>
      <c r="R1952" s="4" t="s">
        <v>31</v>
      </c>
      <c r="S1952" s="7" t="s">
        <v>32</v>
      </c>
      <c r="T1952" s="5"/>
    </row>
    <row r="1953" customFormat="false" ht="29.25" hidden="false" customHeight="true" outlineLevel="0" collapsed="false">
      <c r="A1953" s="4" t="n">
        <v>1952</v>
      </c>
      <c r="B1953" s="6" t="s">
        <v>1787</v>
      </c>
      <c r="C1953" s="6" t="s">
        <v>6383</v>
      </c>
      <c r="D1953" s="6" t="s">
        <v>6384</v>
      </c>
      <c r="E1953" s="7" t="s">
        <v>21</v>
      </c>
      <c r="F1953" s="6" t="s">
        <v>7164</v>
      </c>
      <c r="G1953" s="6" t="s">
        <v>7165</v>
      </c>
      <c r="H1953" s="6" t="s">
        <v>7144</v>
      </c>
      <c r="I1953" s="6" t="s">
        <v>7143</v>
      </c>
      <c r="J1953" s="6" t="s">
        <v>7166</v>
      </c>
      <c r="K1953" s="5"/>
      <c r="L1953" s="4" t="s">
        <v>44</v>
      </c>
      <c r="M1953" s="8" t="s">
        <v>79</v>
      </c>
      <c r="N1953" s="9" t="s">
        <v>6387</v>
      </c>
      <c r="O1953" s="5"/>
      <c r="P1953" s="5"/>
      <c r="Q1953" s="6" t="s">
        <v>30</v>
      </c>
      <c r="R1953" s="4" t="s">
        <v>31</v>
      </c>
      <c r="S1953" s="7" t="s">
        <v>32</v>
      </c>
      <c r="T1953" s="5"/>
    </row>
    <row r="1954" customFormat="false" ht="29.25" hidden="false" customHeight="true" outlineLevel="0" collapsed="false">
      <c r="A1954" s="4" t="n">
        <v>1953</v>
      </c>
      <c r="B1954" s="6" t="s">
        <v>1787</v>
      </c>
      <c r="C1954" s="6" t="s">
        <v>6383</v>
      </c>
      <c r="D1954" s="6" t="s">
        <v>6384</v>
      </c>
      <c r="E1954" s="7" t="s">
        <v>21</v>
      </c>
      <c r="F1954" s="6" t="s">
        <v>7167</v>
      </c>
      <c r="G1954" s="5" t="s">
        <v>7168</v>
      </c>
      <c r="H1954" s="6" t="s">
        <v>7169</v>
      </c>
      <c r="I1954" s="6" t="s">
        <v>7145</v>
      </c>
      <c r="J1954" s="6" t="s">
        <v>7165</v>
      </c>
      <c r="K1954" s="5"/>
      <c r="L1954" s="4" t="s">
        <v>44</v>
      </c>
      <c r="M1954" s="8" t="s">
        <v>79</v>
      </c>
      <c r="N1954" s="9" t="s">
        <v>6387</v>
      </c>
      <c r="O1954" s="5"/>
      <c r="P1954" s="5"/>
      <c r="Q1954" s="6" t="s">
        <v>30</v>
      </c>
      <c r="R1954" s="4" t="s">
        <v>31</v>
      </c>
      <c r="S1954" s="7" t="s">
        <v>32</v>
      </c>
      <c r="T1954" s="5"/>
    </row>
    <row r="1955" customFormat="false" ht="29.25" hidden="false" customHeight="true" outlineLevel="0" collapsed="false">
      <c r="A1955" s="4" t="n">
        <v>1954</v>
      </c>
      <c r="B1955" s="6" t="s">
        <v>1787</v>
      </c>
      <c r="C1955" s="6" t="s">
        <v>6383</v>
      </c>
      <c r="D1955" s="6" t="s">
        <v>6384</v>
      </c>
      <c r="E1955" s="7" t="s">
        <v>21</v>
      </c>
      <c r="F1955" s="6" t="s">
        <v>7170</v>
      </c>
      <c r="G1955" s="5" t="s">
        <v>7171</v>
      </c>
      <c r="H1955" s="6" t="s">
        <v>7165</v>
      </c>
      <c r="I1955" s="6" t="s">
        <v>7146</v>
      </c>
      <c r="J1955" s="5" t="s">
        <v>7168</v>
      </c>
      <c r="K1955" s="5"/>
      <c r="L1955" s="4" t="s">
        <v>51</v>
      </c>
      <c r="M1955" s="8" t="s">
        <v>79</v>
      </c>
      <c r="N1955" s="9" t="s">
        <v>6387</v>
      </c>
      <c r="O1955" s="5"/>
      <c r="P1955" s="5"/>
      <c r="Q1955" s="6" t="s">
        <v>30</v>
      </c>
      <c r="R1955" s="4" t="s">
        <v>31</v>
      </c>
      <c r="S1955" s="7" t="s">
        <v>32</v>
      </c>
      <c r="T1955" s="5"/>
    </row>
    <row r="1956" customFormat="false" ht="29.25" hidden="false" customHeight="true" outlineLevel="0" collapsed="false">
      <c r="A1956" s="4" t="n">
        <v>1955</v>
      </c>
      <c r="B1956" s="6" t="s">
        <v>1787</v>
      </c>
      <c r="C1956" s="6" t="s">
        <v>6383</v>
      </c>
      <c r="D1956" s="6" t="s">
        <v>6384</v>
      </c>
      <c r="E1956" s="7" t="s">
        <v>21</v>
      </c>
      <c r="F1956" s="6" t="s">
        <v>7172</v>
      </c>
      <c r="G1956" s="5" t="s">
        <v>7173</v>
      </c>
      <c r="H1956" s="6" t="s">
        <v>7174</v>
      </c>
      <c r="I1956" s="6" t="s">
        <v>7175</v>
      </c>
      <c r="J1956" s="6" t="s">
        <v>6929</v>
      </c>
      <c r="K1956" s="5"/>
      <c r="L1956" s="4" t="s">
        <v>44</v>
      </c>
      <c r="M1956" s="8" t="s">
        <v>129</v>
      </c>
      <c r="N1956" s="9" t="s">
        <v>6387</v>
      </c>
      <c r="O1956" s="5"/>
      <c r="P1956" s="5"/>
      <c r="Q1956" s="6" t="s">
        <v>30</v>
      </c>
      <c r="R1956" s="4" t="s">
        <v>31</v>
      </c>
      <c r="S1956" s="7" t="s">
        <v>32</v>
      </c>
      <c r="T1956" s="5"/>
    </row>
    <row r="1957" customFormat="false" ht="29.25" hidden="false" customHeight="true" outlineLevel="0" collapsed="false">
      <c r="A1957" s="4" t="n">
        <v>1956</v>
      </c>
      <c r="B1957" s="6" t="s">
        <v>1787</v>
      </c>
      <c r="C1957" s="6" t="s">
        <v>6383</v>
      </c>
      <c r="D1957" s="6" t="s">
        <v>6384</v>
      </c>
      <c r="E1957" s="7" t="s">
        <v>21</v>
      </c>
      <c r="F1957" s="6" t="s">
        <v>7176</v>
      </c>
      <c r="G1957" s="6" t="s">
        <v>7146</v>
      </c>
      <c r="H1957" s="6" t="s">
        <v>7145</v>
      </c>
      <c r="I1957" s="6" t="s">
        <v>7177</v>
      </c>
      <c r="J1957" s="6" t="s">
        <v>7144</v>
      </c>
      <c r="K1957" s="5"/>
      <c r="L1957" s="4" t="s">
        <v>27</v>
      </c>
      <c r="M1957" s="8" t="s">
        <v>129</v>
      </c>
      <c r="N1957" s="9" t="s">
        <v>6387</v>
      </c>
      <c r="O1957" s="5"/>
      <c r="P1957" s="5"/>
      <c r="Q1957" s="6" t="s">
        <v>30</v>
      </c>
      <c r="R1957" s="4" t="s">
        <v>31</v>
      </c>
      <c r="S1957" s="7" t="s">
        <v>32</v>
      </c>
      <c r="T1957" s="5"/>
    </row>
    <row r="1958" customFormat="false" ht="29.25" hidden="false" customHeight="true" outlineLevel="0" collapsed="false">
      <c r="A1958" s="4" t="n">
        <v>1957</v>
      </c>
      <c r="B1958" s="6" t="s">
        <v>1787</v>
      </c>
      <c r="C1958" s="6" t="s">
        <v>6383</v>
      </c>
      <c r="D1958" s="6" t="s">
        <v>6384</v>
      </c>
      <c r="E1958" s="7" t="s">
        <v>21</v>
      </c>
      <c r="F1958" s="6" t="s">
        <v>7178</v>
      </c>
      <c r="G1958" s="6" t="s">
        <v>7179</v>
      </c>
      <c r="H1958" s="5" t="s">
        <v>7180</v>
      </c>
      <c r="I1958" s="6" t="s">
        <v>7169</v>
      </c>
      <c r="J1958" s="6" t="s">
        <v>7145</v>
      </c>
      <c r="K1958" s="5"/>
      <c r="L1958" s="4" t="s">
        <v>51</v>
      </c>
      <c r="M1958" s="8" t="s">
        <v>79</v>
      </c>
      <c r="N1958" s="9" t="s">
        <v>6387</v>
      </c>
      <c r="O1958" s="5"/>
      <c r="P1958" s="5"/>
      <c r="Q1958" s="6" t="s">
        <v>30</v>
      </c>
      <c r="R1958" s="4" t="s">
        <v>31</v>
      </c>
      <c r="S1958" s="7" t="s">
        <v>32</v>
      </c>
      <c r="T1958" s="5"/>
    </row>
    <row r="1959" customFormat="false" ht="29.25" hidden="false" customHeight="true" outlineLevel="0" collapsed="false">
      <c r="A1959" s="4" t="n">
        <v>1958</v>
      </c>
      <c r="B1959" s="6" t="s">
        <v>1787</v>
      </c>
      <c r="C1959" s="6" t="s">
        <v>6383</v>
      </c>
      <c r="D1959" s="6" t="s">
        <v>6384</v>
      </c>
      <c r="E1959" s="7" t="s">
        <v>21</v>
      </c>
      <c r="F1959" s="6" t="s">
        <v>7181</v>
      </c>
      <c r="G1959" s="5" t="s">
        <v>7180</v>
      </c>
      <c r="H1959" s="6" t="s">
        <v>7179</v>
      </c>
      <c r="I1959" s="6" t="s">
        <v>7169</v>
      </c>
      <c r="J1959" s="6" t="s">
        <v>7145</v>
      </c>
      <c r="K1959" s="5"/>
      <c r="L1959" s="4" t="s">
        <v>51</v>
      </c>
      <c r="M1959" s="8" t="s">
        <v>79</v>
      </c>
      <c r="N1959" s="9" t="s">
        <v>6387</v>
      </c>
      <c r="O1959" s="5"/>
      <c r="P1959" s="5"/>
      <c r="Q1959" s="6" t="s">
        <v>30</v>
      </c>
      <c r="R1959" s="4" t="s">
        <v>31</v>
      </c>
      <c r="S1959" s="7" t="s">
        <v>32</v>
      </c>
      <c r="T1959" s="5"/>
    </row>
    <row r="1960" customFormat="false" ht="29.25" hidden="false" customHeight="true" outlineLevel="0" collapsed="false">
      <c r="A1960" s="4" t="n">
        <v>1959</v>
      </c>
      <c r="B1960" s="6" t="s">
        <v>1787</v>
      </c>
      <c r="C1960" s="6" t="s">
        <v>6383</v>
      </c>
      <c r="D1960" s="6" t="s">
        <v>6384</v>
      </c>
      <c r="E1960" s="7" t="s">
        <v>21</v>
      </c>
      <c r="F1960" s="6" t="s">
        <v>7182</v>
      </c>
      <c r="G1960" s="5" t="s">
        <v>7183</v>
      </c>
      <c r="H1960" s="5" t="s">
        <v>7184</v>
      </c>
      <c r="I1960" s="5" t="s">
        <v>7185</v>
      </c>
      <c r="J1960" s="5" t="s">
        <v>7186</v>
      </c>
      <c r="K1960" s="5"/>
      <c r="L1960" s="4" t="s">
        <v>51</v>
      </c>
      <c r="M1960" s="8" t="s">
        <v>79</v>
      </c>
      <c r="N1960" s="9" t="s">
        <v>6387</v>
      </c>
      <c r="O1960" s="5"/>
      <c r="P1960" s="5"/>
      <c r="Q1960" s="6" t="s">
        <v>30</v>
      </c>
      <c r="R1960" s="4" t="s">
        <v>31</v>
      </c>
      <c r="S1960" s="7" t="s">
        <v>32</v>
      </c>
      <c r="T1960" s="5"/>
    </row>
    <row r="1961" customFormat="false" ht="29.25" hidden="false" customHeight="true" outlineLevel="0" collapsed="false">
      <c r="A1961" s="4" t="n">
        <v>1960</v>
      </c>
      <c r="B1961" s="6" t="s">
        <v>1787</v>
      </c>
      <c r="C1961" s="6" t="s">
        <v>6383</v>
      </c>
      <c r="D1961" s="6" t="s">
        <v>6384</v>
      </c>
      <c r="E1961" s="7" t="s">
        <v>21</v>
      </c>
      <c r="F1961" s="6" t="s">
        <v>7187</v>
      </c>
      <c r="G1961" s="5" t="s">
        <v>7188</v>
      </c>
      <c r="H1961" s="5" t="s">
        <v>7189</v>
      </c>
      <c r="I1961" s="5" t="s">
        <v>7190</v>
      </c>
      <c r="J1961" s="5" t="s">
        <v>7191</v>
      </c>
      <c r="K1961" s="5"/>
      <c r="L1961" s="4" t="s">
        <v>27</v>
      </c>
      <c r="M1961" s="8" t="s">
        <v>129</v>
      </c>
      <c r="N1961" s="9" t="s">
        <v>6387</v>
      </c>
      <c r="O1961" s="5"/>
      <c r="P1961" s="5"/>
      <c r="Q1961" s="6" t="s">
        <v>30</v>
      </c>
      <c r="R1961" s="4" t="s">
        <v>31</v>
      </c>
      <c r="S1961" s="7" t="s">
        <v>32</v>
      </c>
      <c r="T1961" s="5"/>
    </row>
    <row r="1962" customFormat="false" ht="29.25" hidden="false" customHeight="true" outlineLevel="0" collapsed="false">
      <c r="A1962" s="4" t="n">
        <v>1961</v>
      </c>
      <c r="B1962" s="6" t="s">
        <v>1787</v>
      </c>
      <c r="C1962" s="6" t="s">
        <v>6383</v>
      </c>
      <c r="D1962" s="6" t="s">
        <v>6384</v>
      </c>
      <c r="E1962" s="7" t="s">
        <v>21</v>
      </c>
      <c r="F1962" s="6" t="s">
        <v>7192</v>
      </c>
      <c r="G1962" s="5" t="s">
        <v>7193</v>
      </c>
      <c r="H1962" s="5" t="s">
        <v>7194</v>
      </c>
      <c r="I1962" s="5" t="s">
        <v>7195</v>
      </c>
      <c r="J1962" s="5" t="s">
        <v>7196</v>
      </c>
      <c r="K1962" s="5"/>
      <c r="L1962" s="4" t="s">
        <v>44</v>
      </c>
      <c r="M1962" s="8" t="s">
        <v>79</v>
      </c>
      <c r="N1962" s="9" t="s">
        <v>6387</v>
      </c>
      <c r="O1962" s="5"/>
      <c r="P1962" s="5"/>
      <c r="Q1962" s="6" t="s">
        <v>30</v>
      </c>
      <c r="R1962" s="4" t="s">
        <v>31</v>
      </c>
      <c r="S1962" s="7" t="s">
        <v>32</v>
      </c>
      <c r="T1962" s="5"/>
    </row>
    <row r="1963" customFormat="false" ht="29.25" hidden="false" customHeight="true" outlineLevel="0" collapsed="false">
      <c r="A1963" s="4" t="n">
        <v>1962</v>
      </c>
      <c r="B1963" s="6" t="s">
        <v>1787</v>
      </c>
      <c r="C1963" s="6" t="s">
        <v>6383</v>
      </c>
      <c r="D1963" s="6" t="s">
        <v>6384</v>
      </c>
      <c r="E1963" s="7" t="s">
        <v>21</v>
      </c>
      <c r="F1963" s="6" t="s">
        <v>7197</v>
      </c>
      <c r="G1963" s="6" t="s">
        <v>7198</v>
      </c>
      <c r="H1963" s="6" t="s">
        <v>7199</v>
      </c>
      <c r="I1963" s="6" t="s">
        <v>7200</v>
      </c>
      <c r="J1963" s="6" t="s">
        <v>7201</v>
      </c>
      <c r="K1963" s="5"/>
      <c r="L1963" s="4" t="s">
        <v>44</v>
      </c>
      <c r="M1963" s="8" t="s">
        <v>79</v>
      </c>
      <c r="N1963" s="9" t="s">
        <v>6387</v>
      </c>
      <c r="O1963" s="5"/>
      <c r="P1963" s="5"/>
      <c r="Q1963" s="6" t="s">
        <v>30</v>
      </c>
      <c r="R1963" s="4" t="s">
        <v>31</v>
      </c>
      <c r="S1963" s="7" t="s">
        <v>32</v>
      </c>
      <c r="T1963" s="5"/>
    </row>
    <row r="1964" customFormat="false" ht="29.25" hidden="false" customHeight="true" outlineLevel="0" collapsed="false">
      <c r="A1964" s="4" t="n">
        <v>1963</v>
      </c>
      <c r="B1964" s="6" t="s">
        <v>1787</v>
      </c>
      <c r="C1964" s="6" t="s">
        <v>6383</v>
      </c>
      <c r="D1964" s="6" t="s">
        <v>6384</v>
      </c>
      <c r="E1964" s="7" t="s">
        <v>21</v>
      </c>
      <c r="F1964" s="6" t="s">
        <v>7202</v>
      </c>
      <c r="G1964" s="6" t="s">
        <v>7203</v>
      </c>
      <c r="H1964" s="6" t="s">
        <v>7204</v>
      </c>
      <c r="I1964" s="6" t="s">
        <v>7205</v>
      </c>
      <c r="J1964" s="6" t="s">
        <v>7206</v>
      </c>
      <c r="K1964" s="5"/>
      <c r="L1964" s="4" t="s">
        <v>44</v>
      </c>
      <c r="M1964" s="8" t="s">
        <v>79</v>
      </c>
      <c r="N1964" s="9" t="s">
        <v>6387</v>
      </c>
      <c r="O1964" s="5"/>
      <c r="P1964" s="5"/>
      <c r="Q1964" s="6" t="s">
        <v>30</v>
      </c>
      <c r="R1964" s="4" t="s">
        <v>31</v>
      </c>
      <c r="S1964" s="7" t="s">
        <v>32</v>
      </c>
      <c r="T1964" s="5"/>
    </row>
    <row r="1965" customFormat="false" ht="29.25" hidden="false" customHeight="true" outlineLevel="0" collapsed="false">
      <c r="A1965" s="4" t="n">
        <v>1964</v>
      </c>
      <c r="B1965" s="6" t="s">
        <v>1787</v>
      </c>
      <c r="C1965" s="6" t="s">
        <v>6383</v>
      </c>
      <c r="D1965" s="6" t="s">
        <v>6384</v>
      </c>
      <c r="E1965" s="7" t="s">
        <v>21</v>
      </c>
      <c r="F1965" s="6" t="s">
        <v>7207</v>
      </c>
      <c r="G1965" s="6" t="s">
        <v>7201</v>
      </c>
      <c r="H1965" s="6" t="s">
        <v>7199</v>
      </c>
      <c r="I1965" s="6" t="s">
        <v>7200</v>
      </c>
      <c r="J1965" s="6" t="s">
        <v>7198</v>
      </c>
      <c r="K1965" s="5"/>
      <c r="L1965" s="4" t="s">
        <v>44</v>
      </c>
      <c r="M1965" s="8" t="s">
        <v>129</v>
      </c>
      <c r="N1965" s="9" t="s">
        <v>6387</v>
      </c>
      <c r="O1965" s="5"/>
      <c r="P1965" s="5"/>
      <c r="Q1965" s="6" t="s">
        <v>30</v>
      </c>
      <c r="R1965" s="4" t="s">
        <v>31</v>
      </c>
      <c r="S1965" s="7" t="s">
        <v>32</v>
      </c>
      <c r="T1965" s="5"/>
    </row>
    <row r="1966" customFormat="false" ht="29.25" hidden="false" customHeight="true" outlineLevel="0" collapsed="false">
      <c r="A1966" s="4" t="n">
        <v>1965</v>
      </c>
      <c r="B1966" s="6" t="s">
        <v>1787</v>
      </c>
      <c r="C1966" s="6" t="s">
        <v>6383</v>
      </c>
      <c r="D1966" s="6" t="s">
        <v>6384</v>
      </c>
      <c r="E1966" s="7" t="s">
        <v>21</v>
      </c>
      <c r="F1966" s="6" t="s">
        <v>7208</v>
      </c>
      <c r="G1966" s="6" t="s">
        <v>7209</v>
      </c>
      <c r="H1966" s="6" t="s">
        <v>7210</v>
      </c>
      <c r="I1966" s="6" t="s">
        <v>7206</v>
      </c>
      <c r="J1966" s="6" t="s">
        <v>7199</v>
      </c>
      <c r="K1966" s="5"/>
      <c r="L1966" s="4" t="s">
        <v>44</v>
      </c>
      <c r="M1966" s="8" t="s">
        <v>79</v>
      </c>
      <c r="N1966" s="9" t="s">
        <v>6387</v>
      </c>
      <c r="O1966" s="5"/>
      <c r="P1966" s="5"/>
      <c r="Q1966" s="6" t="s">
        <v>30</v>
      </c>
      <c r="R1966" s="4" t="s">
        <v>31</v>
      </c>
      <c r="S1966" s="7" t="s">
        <v>32</v>
      </c>
      <c r="T1966" s="5"/>
    </row>
    <row r="1967" customFormat="false" ht="29.25" hidden="false" customHeight="true" outlineLevel="0" collapsed="false">
      <c r="A1967" s="4" t="n">
        <v>1966</v>
      </c>
      <c r="B1967" s="6" t="s">
        <v>1787</v>
      </c>
      <c r="C1967" s="6" t="s">
        <v>6383</v>
      </c>
      <c r="D1967" s="6" t="s">
        <v>6384</v>
      </c>
      <c r="E1967" s="7" t="s">
        <v>21</v>
      </c>
      <c r="F1967" s="6" t="s">
        <v>7211</v>
      </c>
      <c r="G1967" s="6" t="s">
        <v>7212</v>
      </c>
      <c r="H1967" s="6" t="s">
        <v>7213</v>
      </c>
      <c r="I1967" s="6" t="s">
        <v>7214</v>
      </c>
      <c r="J1967" s="6" t="s">
        <v>322</v>
      </c>
      <c r="K1967" s="5"/>
      <c r="L1967" s="4" t="s">
        <v>44</v>
      </c>
      <c r="M1967" s="8" t="s">
        <v>79</v>
      </c>
      <c r="N1967" s="9" t="s">
        <v>6387</v>
      </c>
      <c r="O1967" s="5"/>
      <c r="P1967" s="5"/>
      <c r="Q1967" s="6" t="s">
        <v>30</v>
      </c>
      <c r="R1967" s="4" t="s">
        <v>31</v>
      </c>
      <c r="S1967" s="7" t="s">
        <v>32</v>
      </c>
      <c r="T1967" s="5"/>
    </row>
    <row r="1968" customFormat="false" ht="29.25" hidden="false" customHeight="true" outlineLevel="0" collapsed="false">
      <c r="A1968" s="4" t="n">
        <v>1967</v>
      </c>
      <c r="B1968" s="6" t="s">
        <v>1787</v>
      </c>
      <c r="C1968" s="6" t="s">
        <v>6383</v>
      </c>
      <c r="D1968" s="6" t="s">
        <v>6384</v>
      </c>
      <c r="E1968" s="7" t="s">
        <v>21</v>
      </c>
      <c r="F1968" s="6" t="s">
        <v>7215</v>
      </c>
      <c r="G1968" s="6" t="s">
        <v>7200</v>
      </c>
      <c r="H1968" s="6" t="s">
        <v>7199</v>
      </c>
      <c r="I1968" s="6" t="s">
        <v>7216</v>
      </c>
      <c r="J1968" s="6" t="s">
        <v>7201</v>
      </c>
      <c r="K1968" s="5"/>
      <c r="L1968" s="4" t="s">
        <v>51</v>
      </c>
      <c r="M1968" s="8" t="s">
        <v>79</v>
      </c>
      <c r="N1968" s="9" t="s">
        <v>6387</v>
      </c>
      <c r="O1968" s="5"/>
      <c r="P1968" s="5"/>
      <c r="Q1968" s="6" t="s">
        <v>30</v>
      </c>
      <c r="R1968" s="4" t="s">
        <v>31</v>
      </c>
      <c r="S1968" s="7" t="s">
        <v>32</v>
      </c>
      <c r="T1968" s="5"/>
    </row>
    <row r="1969" customFormat="false" ht="29.25" hidden="false" customHeight="true" outlineLevel="0" collapsed="false">
      <c r="A1969" s="4" t="n">
        <v>1968</v>
      </c>
      <c r="B1969" s="6" t="s">
        <v>1787</v>
      </c>
      <c r="C1969" s="6" t="s">
        <v>6383</v>
      </c>
      <c r="D1969" s="6" t="s">
        <v>6384</v>
      </c>
      <c r="E1969" s="7" t="s">
        <v>21</v>
      </c>
      <c r="F1969" s="6" t="s">
        <v>7217</v>
      </c>
      <c r="G1969" s="6" t="s">
        <v>7218</v>
      </c>
      <c r="H1969" s="6" t="s">
        <v>7219</v>
      </c>
      <c r="I1969" s="6" t="s">
        <v>7220</v>
      </c>
      <c r="J1969" s="6" t="s">
        <v>7221</v>
      </c>
      <c r="K1969" s="5"/>
      <c r="L1969" s="4" t="s">
        <v>44</v>
      </c>
      <c r="M1969" s="8" t="s">
        <v>79</v>
      </c>
      <c r="N1969" s="9" t="s">
        <v>6387</v>
      </c>
      <c r="O1969" s="5"/>
      <c r="P1969" s="5"/>
      <c r="Q1969" s="6" t="s">
        <v>30</v>
      </c>
      <c r="R1969" s="4" t="s">
        <v>31</v>
      </c>
      <c r="S1969" s="7" t="s">
        <v>32</v>
      </c>
      <c r="T1969" s="5"/>
    </row>
    <row r="1970" customFormat="false" ht="29.25" hidden="false" customHeight="true" outlineLevel="0" collapsed="false">
      <c r="A1970" s="4" t="n">
        <v>1969</v>
      </c>
      <c r="B1970" s="6" t="s">
        <v>1787</v>
      </c>
      <c r="C1970" s="6" t="s">
        <v>6383</v>
      </c>
      <c r="D1970" s="6" t="s">
        <v>6384</v>
      </c>
      <c r="E1970" s="7" t="s">
        <v>21</v>
      </c>
      <c r="F1970" s="6" t="s">
        <v>7222</v>
      </c>
      <c r="G1970" s="6" t="s">
        <v>7199</v>
      </c>
      <c r="H1970" s="6" t="s">
        <v>7201</v>
      </c>
      <c r="I1970" s="6" t="s">
        <v>7216</v>
      </c>
      <c r="J1970" s="6" t="s">
        <v>7200</v>
      </c>
      <c r="K1970" s="5"/>
      <c r="L1970" s="4" t="s">
        <v>27</v>
      </c>
      <c r="M1970" s="8" t="s">
        <v>79</v>
      </c>
      <c r="N1970" s="9" t="s">
        <v>6387</v>
      </c>
      <c r="O1970" s="5"/>
      <c r="P1970" s="5"/>
      <c r="Q1970" s="6" t="s">
        <v>30</v>
      </c>
      <c r="R1970" s="4" t="s">
        <v>31</v>
      </c>
      <c r="S1970" s="7" t="s">
        <v>32</v>
      </c>
      <c r="T1970" s="5"/>
    </row>
    <row r="1971" customFormat="false" ht="29.25" hidden="false" customHeight="true" outlineLevel="0" collapsed="false">
      <c r="A1971" s="4" t="n">
        <v>1970</v>
      </c>
      <c r="B1971" s="6" t="s">
        <v>1787</v>
      </c>
      <c r="C1971" s="6" t="s">
        <v>6383</v>
      </c>
      <c r="D1971" s="6" t="s">
        <v>6384</v>
      </c>
      <c r="E1971" s="7" t="s">
        <v>21</v>
      </c>
      <c r="F1971" s="6" t="s">
        <v>7223</v>
      </c>
      <c r="G1971" s="6" t="s">
        <v>7224</v>
      </c>
      <c r="H1971" s="6" t="s">
        <v>7225</v>
      </c>
      <c r="I1971" s="6" t="s">
        <v>7226</v>
      </c>
      <c r="J1971" s="6" t="s">
        <v>7199</v>
      </c>
      <c r="K1971" s="5"/>
      <c r="L1971" s="4" t="s">
        <v>51</v>
      </c>
      <c r="M1971" s="8" t="s">
        <v>129</v>
      </c>
      <c r="N1971" s="9" t="s">
        <v>6387</v>
      </c>
      <c r="O1971" s="5"/>
      <c r="P1971" s="5"/>
      <c r="Q1971" s="6" t="s">
        <v>30</v>
      </c>
      <c r="R1971" s="4" t="s">
        <v>31</v>
      </c>
      <c r="S1971" s="7" t="s">
        <v>32</v>
      </c>
      <c r="T1971" s="5"/>
    </row>
    <row r="1972" customFormat="false" ht="29.25" hidden="false" customHeight="true" outlineLevel="0" collapsed="false">
      <c r="A1972" s="4" t="n">
        <v>1971</v>
      </c>
      <c r="B1972" s="6" t="s">
        <v>1787</v>
      </c>
      <c r="C1972" s="6" t="s">
        <v>7227</v>
      </c>
      <c r="D1972" s="6" t="s">
        <v>7228</v>
      </c>
      <c r="E1972" s="7" t="s">
        <v>21</v>
      </c>
      <c r="F1972" s="6" t="s">
        <v>7229</v>
      </c>
      <c r="G1972" s="6" t="s">
        <v>7230</v>
      </c>
      <c r="H1972" s="6" t="s">
        <v>7231</v>
      </c>
      <c r="I1972" s="6" t="s">
        <v>7232</v>
      </c>
      <c r="J1972" s="6" t="s">
        <v>78</v>
      </c>
      <c r="K1972" s="5"/>
      <c r="L1972" s="4" t="s">
        <v>44</v>
      </c>
      <c r="M1972" s="8" t="s">
        <v>28</v>
      </c>
      <c r="N1972" s="9" t="s">
        <v>7233</v>
      </c>
      <c r="O1972" s="5"/>
      <c r="P1972" s="5"/>
      <c r="Q1972" s="6" t="s">
        <v>30</v>
      </c>
      <c r="R1972" s="4" t="s">
        <v>31</v>
      </c>
      <c r="S1972" s="7" t="s">
        <v>32</v>
      </c>
      <c r="T1972" s="5"/>
    </row>
    <row r="1973" customFormat="false" ht="29.25" hidden="false" customHeight="true" outlineLevel="0" collapsed="false">
      <c r="A1973" s="4" t="n">
        <v>1972</v>
      </c>
      <c r="B1973" s="6" t="s">
        <v>1787</v>
      </c>
      <c r="C1973" s="6" t="s">
        <v>7227</v>
      </c>
      <c r="D1973" s="6" t="s">
        <v>7228</v>
      </c>
      <c r="E1973" s="7" t="s">
        <v>21</v>
      </c>
      <c r="F1973" s="6" t="s">
        <v>7234</v>
      </c>
      <c r="G1973" s="5" t="s">
        <v>3643</v>
      </c>
      <c r="H1973" s="5" t="s">
        <v>1327</v>
      </c>
      <c r="I1973" s="5" t="s">
        <v>2671</v>
      </c>
      <c r="J1973" s="5" t="s">
        <v>7235</v>
      </c>
      <c r="K1973" s="5"/>
      <c r="L1973" s="4" t="s">
        <v>44</v>
      </c>
      <c r="M1973" s="8" t="s">
        <v>79</v>
      </c>
      <c r="N1973" s="9" t="s">
        <v>7236</v>
      </c>
      <c r="O1973" s="5"/>
      <c r="P1973" s="5"/>
      <c r="Q1973" s="6" t="s">
        <v>30</v>
      </c>
      <c r="R1973" s="4" t="s">
        <v>31</v>
      </c>
      <c r="S1973" s="7" t="s">
        <v>32</v>
      </c>
      <c r="T1973" s="5"/>
    </row>
    <row r="1974" customFormat="false" ht="43.5" hidden="false" customHeight="true" outlineLevel="0" collapsed="false">
      <c r="A1974" s="4" t="n">
        <v>1973</v>
      </c>
      <c r="B1974" s="6" t="s">
        <v>1787</v>
      </c>
      <c r="C1974" s="6" t="s">
        <v>7227</v>
      </c>
      <c r="D1974" s="6" t="s">
        <v>7228</v>
      </c>
      <c r="E1974" s="7" t="s">
        <v>21</v>
      </c>
      <c r="F1974" s="6" t="s">
        <v>7237</v>
      </c>
      <c r="G1974" s="5" t="s">
        <v>7238</v>
      </c>
      <c r="H1974" s="5" t="s">
        <v>7239</v>
      </c>
      <c r="I1974" s="5" t="s">
        <v>7240</v>
      </c>
      <c r="J1974" s="5" t="s">
        <v>7241</v>
      </c>
      <c r="K1974" s="5"/>
      <c r="L1974" s="4" t="s">
        <v>44</v>
      </c>
      <c r="M1974" s="8" t="s">
        <v>28</v>
      </c>
      <c r="N1974" s="9" t="s">
        <v>7242</v>
      </c>
      <c r="O1974" s="5"/>
      <c r="P1974" s="5"/>
      <c r="Q1974" s="6" t="s">
        <v>30</v>
      </c>
      <c r="R1974" s="4" t="s">
        <v>31</v>
      </c>
      <c r="S1974" s="7" t="s">
        <v>32</v>
      </c>
      <c r="T1974" s="5"/>
    </row>
    <row r="1975" customFormat="false" ht="29.25" hidden="false" customHeight="true" outlineLevel="0" collapsed="false">
      <c r="A1975" s="4" t="n">
        <v>1974</v>
      </c>
      <c r="B1975" s="6" t="s">
        <v>1787</v>
      </c>
      <c r="C1975" s="6" t="s">
        <v>7227</v>
      </c>
      <c r="D1975" s="6" t="s">
        <v>7228</v>
      </c>
      <c r="E1975" s="7" t="s">
        <v>21</v>
      </c>
      <c r="F1975" s="6" t="s">
        <v>7243</v>
      </c>
      <c r="G1975" s="5" t="s">
        <v>2547</v>
      </c>
      <c r="H1975" s="5" t="s">
        <v>3448</v>
      </c>
      <c r="I1975" s="5" t="s">
        <v>6055</v>
      </c>
      <c r="J1975" s="5" t="s">
        <v>7244</v>
      </c>
      <c r="K1975" s="5"/>
      <c r="L1975" s="4" t="s">
        <v>62</v>
      </c>
      <c r="M1975" s="8" t="s">
        <v>129</v>
      </c>
      <c r="N1975" s="9" t="s">
        <v>7233</v>
      </c>
      <c r="O1975" s="5"/>
      <c r="P1975" s="5"/>
      <c r="Q1975" s="6" t="s">
        <v>30</v>
      </c>
      <c r="R1975" s="4" t="s">
        <v>31</v>
      </c>
      <c r="S1975" s="7" t="s">
        <v>32</v>
      </c>
      <c r="T1975" s="5"/>
    </row>
    <row r="1976" customFormat="false" ht="29.25" hidden="false" customHeight="true" outlineLevel="0" collapsed="false">
      <c r="A1976" s="4" t="n">
        <v>1975</v>
      </c>
      <c r="B1976" s="6" t="s">
        <v>1787</v>
      </c>
      <c r="C1976" s="6" t="s">
        <v>7227</v>
      </c>
      <c r="D1976" s="6" t="s">
        <v>7228</v>
      </c>
      <c r="E1976" s="7" t="s">
        <v>21</v>
      </c>
      <c r="F1976" s="6" t="s">
        <v>7245</v>
      </c>
      <c r="G1976" s="5" t="s">
        <v>1327</v>
      </c>
      <c r="H1976" s="5" t="s">
        <v>2677</v>
      </c>
      <c r="I1976" s="5" t="s">
        <v>2672</v>
      </c>
      <c r="J1976" s="5" t="s">
        <v>7246</v>
      </c>
      <c r="K1976" s="5"/>
      <c r="L1976" s="4" t="s">
        <v>51</v>
      </c>
      <c r="M1976" s="8" t="s">
        <v>79</v>
      </c>
      <c r="N1976" s="9" t="s">
        <v>7242</v>
      </c>
      <c r="O1976" s="5"/>
      <c r="P1976" s="5"/>
      <c r="Q1976" s="6" t="s">
        <v>30</v>
      </c>
      <c r="R1976" s="4" t="s">
        <v>31</v>
      </c>
      <c r="S1976" s="7" t="s">
        <v>32</v>
      </c>
      <c r="T1976" s="5"/>
    </row>
    <row r="1977" customFormat="false" ht="29.25" hidden="false" customHeight="true" outlineLevel="0" collapsed="false">
      <c r="A1977" s="4" t="n">
        <v>1976</v>
      </c>
      <c r="B1977" s="6" t="s">
        <v>1787</v>
      </c>
      <c r="C1977" s="6" t="s">
        <v>7227</v>
      </c>
      <c r="D1977" s="6" t="s">
        <v>7228</v>
      </c>
      <c r="E1977" s="7" t="s">
        <v>21</v>
      </c>
      <c r="F1977" s="6" t="s">
        <v>7247</v>
      </c>
      <c r="G1977" s="5" t="s">
        <v>1327</v>
      </c>
      <c r="H1977" s="5" t="s">
        <v>2677</v>
      </c>
      <c r="I1977" s="5" t="s">
        <v>2672</v>
      </c>
      <c r="J1977" s="5" t="s">
        <v>7248</v>
      </c>
      <c r="K1977" s="5"/>
      <c r="L1977" s="4" t="s">
        <v>51</v>
      </c>
      <c r="M1977" s="8" t="s">
        <v>129</v>
      </c>
      <c r="N1977" s="9" t="s">
        <v>7242</v>
      </c>
      <c r="O1977" s="5"/>
      <c r="P1977" s="5"/>
      <c r="Q1977" s="6" t="s">
        <v>30</v>
      </c>
      <c r="R1977" s="4" t="s">
        <v>31</v>
      </c>
      <c r="S1977" s="7" t="s">
        <v>32</v>
      </c>
      <c r="T1977" s="5"/>
    </row>
    <row r="1978" customFormat="false" ht="29.25" hidden="false" customHeight="true" outlineLevel="0" collapsed="false">
      <c r="A1978" s="4" t="n">
        <v>1977</v>
      </c>
      <c r="B1978" s="6" t="s">
        <v>1787</v>
      </c>
      <c r="C1978" s="6" t="s">
        <v>7227</v>
      </c>
      <c r="D1978" s="6" t="s">
        <v>7228</v>
      </c>
      <c r="E1978" s="7" t="s">
        <v>21</v>
      </c>
      <c r="F1978" s="6" t="s">
        <v>7249</v>
      </c>
      <c r="G1978" s="5" t="s">
        <v>7250</v>
      </c>
      <c r="H1978" s="5" t="s">
        <v>7251</v>
      </c>
      <c r="I1978" s="5" t="s">
        <v>7252</v>
      </c>
      <c r="J1978" s="5" t="s">
        <v>7253</v>
      </c>
      <c r="K1978" s="5"/>
      <c r="L1978" s="4" t="s">
        <v>44</v>
      </c>
      <c r="M1978" s="8" t="s">
        <v>129</v>
      </c>
      <c r="N1978" s="9" t="s">
        <v>7233</v>
      </c>
      <c r="O1978" s="5"/>
      <c r="P1978" s="5"/>
      <c r="Q1978" s="6" t="s">
        <v>30</v>
      </c>
      <c r="R1978" s="4" t="s">
        <v>31</v>
      </c>
      <c r="S1978" s="7" t="s">
        <v>32</v>
      </c>
      <c r="T1978" s="5"/>
    </row>
    <row r="1979" customFormat="false" ht="29.25" hidden="false" customHeight="true" outlineLevel="0" collapsed="false">
      <c r="A1979" s="4" t="n">
        <v>1978</v>
      </c>
      <c r="B1979" s="6" t="s">
        <v>1787</v>
      </c>
      <c r="C1979" s="6" t="s">
        <v>7227</v>
      </c>
      <c r="D1979" s="6" t="s">
        <v>7228</v>
      </c>
      <c r="E1979" s="7" t="s">
        <v>21</v>
      </c>
      <c r="F1979" s="6" t="s">
        <v>7254</v>
      </c>
      <c r="G1979" s="6" t="s">
        <v>7255</v>
      </c>
      <c r="H1979" s="6" t="s">
        <v>6234</v>
      </c>
      <c r="I1979" s="6" t="s">
        <v>7256</v>
      </c>
      <c r="J1979" s="6" t="s">
        <v>7257</v>
      </c>
      <c r="K1979" s="5"/>
      <c r="L1979" s="4" t="s">
        <v>27</v>
      </c>
      <c r="M1979" s="8" t="s">
        <v>129</v>
      </c>
      <c r="N1979" s="9" t="s">
        <v>7233</v>
      </c>
      <c r="O1979" s="5"/>
      <c r="P1979" s="5"/>
      <c r="Q1979" s="6" t="s">
        <v>30</v>
      </c>
      <c r="R1979" s="4" t="s">
        <v>31</v>
      </c>
      <c r="S1979" s="7" t="s">
        <v>32</v>
      </c>
      <c r="T1979" s="5"/>
    </row>
    <row r="1980" customFormat="false" ht="29.25" hidden="false" customHeight="true" outlineLevel="0" collapsed="false">
      <c r="A1980" s="4" t="n">
        <v>1979</v>
      </c>
      <c r="B1980" s="6" t="s">
        <v>1787</v>
      </c>
      <c r="C1980" s="6" t="s">
        <v>7227</v>
      </c>
      <c r="D1980" s="6" t="s">
        <v>7228</v>
      </c>
      <c r="E1980" s="7" t="s">
        <v>21</v>
      </c>
      <c r="F1980" s="6" t="s">
        <v>7258</v>
      </c>
      <c r="G1980" s="5" t="s">
        <v>1235</v>
      </c>
      <c r="H1980" s="5" t="s">
        <v>2547</v>
      </c>
      <c r="I1980" s="5" t="s">
        <v>1321</v>
      </c>
      <c r="J1980" s="5" t="s">
        <v>7259</v>
      </c>
      <c r="K1980" s="5"/>
      <c r="L1980" s="4" t="s">
        <v>51</v>
      </c>
      <c r="M1980" s="8" t="s">
        <v>79</v>
      </c>
      <c r="N1980" s="9" t="s">
        <v>7233</v>
      </c>
      <c r="O1980" s="5"/>
      <c r="P1980" s="5"/>
      <c r="Q1980" s="6" t="s">
        <v>30</v>
      </c>
      <c r="R1980" s="4" t="s">
        <v>31</v>
      </c>
      <c r="S1980" s="7" t="s">
        <v>32</v>
      </c>
      <c r="T1980" s="5"/>
    </row>
    <row r="1981" customFormat="false" ht="29.25" hidden="false" customHeight="true" outlineLevel="0" collapsed="false">
      <c r="A1981" s="4" t="n">
        <v>1980</v>
      </c>
      <c r="B1981" s="6" t="s">
        <v>1787</v>
      </c>
      <c r="C1981" s="6" t="s">
        <v>7227</v>
      </c>
      <c r="D1981" s="6" t="s">
        <v>7228</v>
      </c>
      <c r="E1981" s="7" t="s">
        <v>21</v>
      </c>
      <c r="F1981" s="6" t="s">
        <v>7260</v>
      </c>
      <c r="G1981" s="5" t="s">
        <v>4877</v>
      </c>
      <c r="H1981" s="5" t="s">
        <v>2540</v>
      </c>
      <c r="I1981" s="5" t="s">
        <v>4878</v>
      </c>
      <c r="J1981" s="5" t="s">
        <v>7261</v>
      </c>
      <c r="K1981" s="5"/>
      <c r="L1981" s="4" t="s">
        <v>62</v>
      </c>
      <c r="M1981" s="8" t="s">
        <v>79</v>
      </c>
      <c r="N1981" s="9" t="s">
        <v>7233</v>
      </c>
      <c r="O1981" s="5"/>
      <c r="P1981" s="5"/>
      <c r="Q1981" s="6" t="s">
        <v>30</v>
      </c>
      <c r="R1981" s="4" t="s">
        <v>31</v>
      </c>
      <c r="S1981" s="7" t="s">
        <v>32</v>
      </c>
      <c r="T1981" s="5"/>
    </row>
    <row r="1982" customFormat="false" ht="29.25" hidden="false" customHeight="true" outlineLevel="0" collapsed="false">
      <c r="A1982" s="4" t="n">
        <v>1981</v>
      </c>
      <c r="B1982" s="6" t="s">
        <v>1787</v>
      </c>
      <c r="C1982" s="6" t="s">
        <v>7227</v>
      </c>
      <c r="D1982" s="6" t="s">
        <v>7228</v>
      </c>
      <c r="E1982" s="7" t="s">
        <v>21</v>
      </c>
      <c r="F1982" s="6" t="s">
        <v>7262</v>
      </c>
      <c r="G1982" s="5" t="s">
        <v>4877</v>
      </c>
      <c r="H1982" s="5" t="s">
        <v>2540</v>
      </c>
      <c r="I1982" s="5" t="s">
        <v>4878</v>
      </c>
      <c r="J1982" s="5" t="s">
        <v>7263</v>
      </c>
      <c r="K1982" s="5"/>
      <c r="L1982" s="4" t="s">
        <v>62</v>
      </c>
      <c r="M1982" s="8" t="s">
        <v>79</v>
      </c>
      <c r="N1982" s="9" t="s">
        <v>7233</v>
      </c>
      <c r="O1982" s="5"/>
      <c r="P1982" s="5"/>
      <c r="Q1982" s="6" t="s">
        <v>30</v>
      </c>
      <c r="R1982" s="4" t="s">
        <v>31</v>
      </c>
      <c r="S1982" s="7" t="s">
        <v>32</v>
      </c>
      <c r="T1982" s="5"/>
    </row>
    <row r="1983" customFormat="false" ht="29.25" hidden="false" customHeight="true" outlineLevel="0" collapsed="false">
      <c r="A1983" s="4" t="n">
        <v>1982</v>
      </c>
      <c r="B1983" s="6" t="s">
        <v>1787</v>
      </c>
      <c r="C1983" s="6" t="s">
        <v>7227</v>
      </c>
      <c r="D1983" s="6" t="s">
        <v>7228</v>
      </c>
      <c r="E1983" s="7" t="s">
        <v>21</v>
      </c>
      <c r="F1983" s="6" t="s">
        <v>7264</v>
      </c>
      <c r="G1983" s="5" t="s">
        <v>1324</v>
      </c>
      <c r="H1983" s="5" t="s">
        <v>3643</v>
      </c>
      <c r="I1983" s="5" t="s">
        <v>1327</v>
      </c>
      <c r="J1983" s="5" t="s">
        <v>7265</v>
      </c>
      <c r="K1983" s="5"/>
      <c r="L1983" s="4" t="s">
        <v>62</v>
      </c>
      <c r="M1983" s="8" t="s">
        <v>79</v>
      </c>
      <c r="N1983" s="9" t="s">
        <v>7233</v>
      </c>
      <c r="O1983" s="5"/>
      <c r="P1983" s="5"/>
      <c r="Q1983" s="6" t="s">
        <v>30</v>
      </c>
      <c r="R1983" s="4" t="s">
        <v>31</v>
      </c>
      <c r="S1983" s="7" t="s">
        <v>32</v>
      </c>
      <c r="T1983" s="5"/>
    </row>
    <row r="1984" customFormat="false" ht="29.25" hidden="false" customHeight="true" outlineLevel="0" collapsed="false">
      <c r="A1984" s="4" t="n">
        <v>1983</v>
      </c>
      <c r="B1984" s="6" t="s">
        <v>1787</v>
      </c>
      <c r="C1984" s="6" t="s">
        <v>7227</v>
      </c>
      <c r="D1984" s="6" t="s">
        <v>7228</v>
      </c>
      <c r="E1984" s="7" t="s">
        <v>21</v>
      </c>
      <c r="F1984" s="6" t="s">
        <v>7266</v>
      </c>
      <c r="G1984" s="5" t="s">
        <v>2547</v>
      </c>
      <c r="H1984" s="5" t="s">
        <v>1321</v>
      </c>
      <c r="I1984" s="5" t="s">
        <v>1226</v>
      </c>
      <c r="J1984" s="5" t="s">
        <v>6643</v>
      </c>
      <c r="K1984" s="5"/>
      <c r="L1984" s="4" t="s">
        <v>62</v>
      </c>
      <c r="M1984" s="8" t="s">
        <v>79</v>
      </c>
      <c r="N1984" s="9" t="s">
        <v>7233</v>
      </c>
      <c r="O1984" s="5"/>
      <c r="P1984" s="5"/>
      <c r="Q1984" s="6" t="s">
        <v>30</v>
      </c>
      <c r="R1984" s="4" t="s">
        <v>31</v>
      </c>
      <c r="S1984" s="7" t="s">
        <v>32</v>
      </c>
      <c r="T1984" s="5"/>
    </row>
    <row r="1985" customFormat="false" ht="29.25" hidden="false" customHeight="true" outlineLevel="0" collapsed="false">
      <c r="A1985" s="4" t="n">
        <v>1984</v>
      </c>
      <c r="B1985" s="6" t="s">
        <v>1787</v>
      </c>
      <c r="C1985" s="6" t="s">
        <v>7227</v>
      </c>
      <c r="D1985" s="6" t="s">
        <v>7228</v>
      </c>
      <c r="E1985" s="7" t="s">
        <v>21</v>
      </c>
      <c r="F1985" s="6" t="s">
        <v>7267</v>
      </c>
      <c r="G1985" s="5" t="s">
        <v>1324</v>
      </c>
      <c r="H1985" s="5" t="s">
        <v>2671</v>
      </c>
      <c r="I1985" s="5" t="s">
        <v>2673</v>
      </c>
      <c r="J1985" s="5" t="s">
        <v>7268</v>
      </c>
      <c r="K1985" s="5"/>
      <c r="L1985" s="4" t="s">
        <v>51</v>
      </c>
      <c r="M1985" s="8" t="s">
        <v>129</v>
      </c>
      <c r="N1985" s="9" t="s">
        <v>7233</v>
      </c>
      <c r="O1985" s="5"/>
      <c r="P1985" s="5"/>
      <c r="Q1985" s="6" t="s">
        <v>30</v>
      </c>
      <c r="R1985" s="4" t="s">
        <v>31</v>
      </c>
      <c r="S1985" s="7" t="s">
        <v>32</v>
      </c>
      <c r="T1985" s="5"/>
    </row>
    <row r="1986" customFormat="false" ht="29.25" hidden="false" customHeight="true" outlineLevel="0" collapsed="false">
      <c r="A1986" s="4" t="n">
        <v>1985</v>
      </c>
      <c r="B1986" s="6" t="s">
        <v>1787</v>
      </c>
      <c r="C1986" s="6" t="s">
        <v>7227</v>
      </c>
      <c r="D1986" s="6" t="s">
        <v>7228</v>
      </c>
      <c r="E1986" s="7" t="s">
        <v>21</v>
      </c>
      <c r="F1986" s="6" t="s">
        <v>7269</v>
      </c>
      <c r="G1986" s="5" t="s">
        <v>1324</v>
      </c>
      <c r="H1986" s="5" t="s">
        <v>2671</v>
      </c>
      <c r="I1986" s="5" t="s">
        <v>2673</v>
      </c>
      <c r="J1986" s="5" t="s">
        <v>7268</v>
      </c>
      <c r="K1986" s="5"/>
      <c r="L1986" s="4" t="s">
        <v>62</v>
      </c>
      <c r="M1986" s="8" t="s">
        <v>129</v>
      </c>
      <c r="N1986" s="9" t="s">
        <v>7233</v>
      </c>
      <c r="O1986" s="5"/>
      <c r="P1986" s="5"/>
      <c r="Q1986" s="6" t="s">
        <v>30</v>
      </c>
      <c r="R1986" s="4" t="s">
        <v>31</v>
      </c>
      <c r="S1986" s="7" t="s">
        <v>32</v>
      </c>
      <c r="T1986" s="5"/>
    </row>
    <row r="1987" customFormat="false" ht="57.75" hidden="false" customHeight="true" outlineLevel="0" collapsed="false">
      <c r="A1987" s="4" t="n">
        <v>1986</v>
      </c>
      <c r="B1987" s="6" t="s">
        <v>1787</v>
      </c>
      <c r="C1987" s="6" t="s">
        <v>7227</v>
      </c>
      <c r="D1987" s="6" t="s">
        <v>7228</v>
      </c>
      <c r="E1987" s="7" t="s">
        <v>21</v>
      </c>
      <c r="F1987" s="6" t="s">
        <v>7270</v>
      </c>
      <c r="G1987" s="6" t="s">
        <v>526</v>
      </c>
      <c r="H1987" s="6" t="s">
        <v>332</v>
      </c>
      <c r="I1987" s="6" t="s">
        <v>7271</v>
      </c>
      <c r="J1987" s="6" t="s">
        <v>7272</v>
      </c>
      <c r="K1987" s="5"/>
      <c r="L1987" s="4" t="s">
        <v>44</v>
      </c>
      <c r="M1987" s="8" t="s">
        <v>28</v>
      </c>
      <c r="N1987" s="9" t="s">
        <v>7233</v>
      </c>
      <c r="O1987" s="5"/>
      <c r="P1987" s="5"/>
      <c r="Q1987" s="6" t="s">
        <v>30</v>
      </c>
      <c r="R1987" s="4" t="s">
        <v>31</v>
      </c>
      <c r="S1987" s="7" t="s">
        <v>32</v>
      </c>
      <c r="T1987" s="5"/>
    </row>
    <row r="1988" customFormat="false" ht="29.25" hidden="false" customHeight="true" outlineLevel="0" collapsed="false">
      <c r="A1988" s="4" t="n">
        <v>1987</v>
      </c>
      <c r="B1988" s="6" t="s">
        <v>1787</v>
      </c>
      <c r="C1988" s="6" t="s">
        <v>7227</v>
      </c>
      <c r="D1988" s="6" t="s">
        <v>7228</v>
      </c>
      <c r="E1988" s="7" t="s">
        <v>21</v>
      </c>
      <c r="F1988" s="6" t="s">
        <v>7273</v>
      </c>
      <c r="G1988" s="6" t="s">
        <v>7274</v>
      </c>
      <c r="H1988" s="6" t="s">
        <v>7275</v>
      </c>
      <c r="I1988" s="6" t="s">
        <v>7276</v>
      </c>
      <c r="J1988" s="6" t="s">
        <v>7277</v>
      </c>
      <c r="K1988" s="5"/>
      <c r="L1988" s="4" t="s">
        <v>44</v>
      </c>
      <c r="M1988" s="8" t="s">
        <v>129</v>
      </c>
      <c r="N1988" s="9" t="s">
        <v>7242</v>
      </c>
      <c r="O1988" s="5"/>
      <c r="P1988" s="5"/>
      <c r="Q1988" s="6" t="s">
        <v>30</v>
      </c>
      <c r="R1988" s="4" t="s">
        <v>31</v>
      </c>
      <c r="S1988" s="7" t="s">
        <v>32</v>
      </c>
      <c r="T1988" s="5"/>
    </row>
    <row r="1989" customFormat="false" ht="43.5" hidden="false" customHeight="true" outlineLevel="0" collapsed="false">
      <c r="A1989" s="4" t="n">
        <v>1988</v>
      </c>
      <c r="B1989" s="6" t="s">
        <v>1787</v>
      </c>
      <c r="C1989" s="6" t="s">
        <v>7227</v>
      </c>
      <c r="D1989" s="6" t="s">
        <v>7228</v>
      </c>
      <c r="E1989" s="7" t="s">
        <v>21</v>
      </c>
      <c r="F1989" s="6" t="s">
        <v>7278</v>
      </c>
      <c r="G1989" s="5" t="s">
        <v>2688</v>
      </c>
      <c r="H1989" s="5" t="s">
        <v>7279</v>
      </c>
      <c r="I1989" s="5" t="s">
        <v>7280</v>
      </c>
      <c r="J1989" s="5" t="s">
        <v>7281</v>
      </c>
      <c r="K1989" s="5"/>
      <c r="L1989" s="4" t="s">
        <v>27</v>
      </c>
      <c r="M1989" s="8" t="s">
        <v>28</v>
      </c>
      <c r="N1989" s="9" t="s">
        <v>7233</v>
      </c>
      <c r="O1989" s="5"/>
      <c r="P1989" s="5"/>
      <c r="Q1989" s="6" t="s">
        <v>30</v>
      </c>
      <c r="R1989" s="4" t="s">
        <v>31</v>
      </c>
      <c r="S1989" s="7" t="s">
        <v>32</v>
      </c>
      <c r="T1989" s="5"/>
    </row>
    <row r="1990" customFormat="false" ht="29.25" hidden="false" customHeight="true" outlineLevel="0" collapsed="false">
      <c r="A1990" s="4" t="n">
        <v>1989</v>
      </c>
      <c r="B1990" s="6" t="s">
        <v>1787</v>
      </c>
      <c r="C1990" s="6" t="s">
        <v>7227</v>
      </c>
      <c r="D1990" s="6" t="s">
        <v>7228</v>
      </c>
      <c r="E1990" s="7" t="s">
        <v>21</v>
      </c>
      <c r="F1990" s="6" t="s">
        <v>7282</v>
      </c>
      <c r="G1990" s="5" t="s">
        <v>7283</v>
      </c>
      <c r="H1990" s="5" t="s">
        <v>7284</v>
      </c>
      <c r="I1990" s="5" t="s">
        <v>7285</v>
      </c>
      <c r="J1990" s="5" t="s">
        <v>7286</v>
      </c>
      <c r="K1990" s="5"/>
      <c r="L1990" s="4" t="s">
        <v>44</v>
      </c>
      <c r="M1990" s="8" t="s">
        <v>129</v>
      </c>
      <c r="N1990" s="9" t="s">
        <v>7233</v>
      </c>
      <c r="O1990" s="5"/>
      <c r="P1990" s="5"/>
      <c r="Q1990" s="6" t="s">
        <v>30</v>
      </c>
      <c r="R1990" s="4" t="s">
        <v>31</v>
      </c>
      <c r="S1990" s="7" t="s">
        <v>32</v>
      </c>
      <c r="T1990" s="5"/>
    </row>
    <row r="1991" customFormat="false" ht="29.25" hidden="false" customHeight="true" outlineLevel="0" collapsed="false">
      <c r="A1991" s="4" t="n">
        <v>1990</v>
      </c>
      <c r="B1991" s="6" t="s">
        <v>1787</v>
      </c>
      <c r="C1991" s="6" t="s">
        <v>7227</v>
      </c>
      <c r="D1991" s="6" t="s">
        <v>7228</v>
      </c>
      <c r="E1991" s="7" t="s">
        <v>21</v>
      </c>
      <c r="F1991" s="6" t="s">
        <v>7287</v>
      </c>
      <c r="G1991" s="5" t="s">
        <v>7288</v>
      </c>
      <c r="H1991" s="5" t="s">
        <v>7289</v>
      </c>
      <c r="I1991" s="5" t="s">
        <v>7290</v>
      </c>
      <c r="J1991" s="5" t="s">
        <v>7291</v>
      </c>
      <c r="K1991" s="5"/>
      <c r="L1991" s="4" t="s">
        <v>27</v>
      </c>
      <c r="M1991" s="8" t="s">
        <v>79</v>
      </c>
      <c r="N1991" s="9" t="s">
        <v>7242</v>
      </c>
      <c r="O1991" s="5"/>
      <c r="P1991" s="5"/>
      <c r="Q1991" s="6" t="s">
        <v>30</v>
      </c>
      <c r="R1991" s="4" t="s">
        <v>31</v>
      </c>
      <c r="S1991" s="7" t="s">
        <v>32</v>
      </c>
      <c r="T1991" s="5"/>
    </row>
    <row r="1992" customFormat="false" ht="29.25" hidden="false" customHeight="true" outlineLevel="0" collapsed="false">
      <c r="A1992" s="4" t="n">
        <v>1991</v>
      </c>
      <c r="B1992" s="6" t="s">
        <v>1787</v>
      </c>
      <c r="C1992" s="6" t="s">
        <v>7227</v>
      </c>
      <c r="D1992" s="6" t="s">
        <v>7228</v>
      </c>
      <c r="E1992" s="7" t="s">
        <v>21</v>
      </c>
      <c r="F1992" s="6" t="s">
        <v>7292</v>
      </c>
      <c r="G1992" s="5" t="s">
        <v>7288</v>
      </c>
      <c r="H1992" s="5" t="s">
        <v>7289</v>
      </c>
      <c r="I1992" s="5" t="s">
        <v>7290</v>
      </c>
      <c r="J1992" s="5" t="s">
        <v>7291</v>
      </c>
      <c r="K1992" s="5"/>
      <c r="L1992" s="4" t="s">
        <v>62</v>
      </c>
      <c r="M1992" s="8" t="s">
        <v>79</v>
      </c>
      <c r="N1992" s="9" t="s">
        <v>7242</v>
      </c>
      <c r="O1992" s="5"/>
      <c r="P1992" s="5"/>
      <c r="Q1992" s="6" t="s">
        <v>30</v>
      </c>
      <c r="R1992" s="4" t="s">
        <v>31</v>
      </c>
      <c r="S1992" s="7" t="s">
        <v>32</v>
      </c>
      <c r="T1992" s="5"/>
    </row>
    <row r="1993" customFormat="false" ht="29.25" hidden="false" customHeight="true" outlineLevel="0" collapsed="false">
      <c r="A1993" s="4" t="n">
        <v>1992</v>
      </c>
      <c r="B1993" s="6" t="s">
        <v>1787</v>
      </c>
      <c r="C1993" s="6" t="s">
        <v>7227</v>
      </c>
      <c r="D1993" s="6" t="s">
        <v>7228</v>
      </c>
      <c r="E1993" s="7" t="s">
        <v>21</v>
      </c>
      <c r="F1993" s="6" t="s">
        <v>7293</v>
      </c>
      <c r="G1993" s="6" t="s">
        <v>7294</v>
      </c>
      <c r="H1993" s="6" t="s">
        <v>7295</v>
      </c>
      <c r="I1993" s="6" t="s">
        <v>7296</v>
      </c>
      <c r="J1993" s="6" t="s">
        <v>7297</v>
      </c>
      <c r="K1993" s="5"/>
      <c r="L1993" s="4" t="s">
        <v>44</v>
      </c>
      <c r="M1993" s="8" t="s">
        <v>129</v>
      </c>
      <c r="N1993" s="9" t="s">
        <v>7233</v>
      </c>
      <c r="O1993" s="5"/>
      <c r="P1993" s="5"/>
      <c r="Q1993" s="6" t="s">
        <v>30</v>
      </c>
      <c r="R1993" s="4" t="s">
        <v>31</v>
      </c>
      <c r="S1993" s="7" t="s">
        <v>32</v>
      </c>
      <c r="T1993" s="5"/>
    </row>
    <row r="1994" customFormat="false" ht="29.25" hidden="false" customHeight="true" outlineLevel="0" collapsed="false">
      <c r="A1994" s="4" t="n">
        <v>1993</v>
      </c>
      <c r="B1994" s="6" t="s">
        <v>1787</v>
      </c>
      <c r="C1994" s="6" t="s">
        <v>7227</v>
      </c>
      <c r="D1994" s="6" t="s">
        <v>7228</v>
      </c>
      <c r="E1994" s="7" t="s">
        <v>21</v>
      </c>
      <c r="F1994" s="6" t="s">
        <v>7298</v>
      </c>
      <c r="G1994" s="6" t="s">
        <v>7299</v>
      </c>
      <c r="H1994" s="6" t="s">
        <v>7300</v>
      </c>
      <c r="I1994" s="6" t="s">
        <v>7301</v>
      </c>
      <c r="J1994" s="6" t="s">
        <v>78</v>
      </c>
      <c r="K1994" s="5"/>
      <c r="L1994" s="4" t="s">
        <v>44</v>
      </c>
      <c r="M1994" s="8" t="s">
        <v>79</v>
      </c>
      <c r="N1994" s="9" t="s">
        <v>7233</v>
      </c>
      <c r="O1994" s="5"/>
      <c r="P1994" s="5"/>
      <c r="Q1994" s="6" t="s">
        <v>30</v>
      </c>
      <c r="R1994" s="4" t="s">
        <v>31</v>
      </c>
      <c r="S1994" s="7" t="s">
        <v>32</v>
      </c>
      <c r="T1994" s="5"/>
    </row>
    <row r="1995" customFormat="false" ht="29.25" hidden="false" customHeight="true" outlineLevel="0" collapsed="false">
      <c r="A1995" s="4" t="n">
        <v>1994</v>
      </c>
      <c r="B1995" s="6" t="s">
        <v>1787</v>
      </c>
      <c r="C1995" s="6" t="s">
        <v>7227</v>
      </c>
      <c r="D1995" s="6" t="s">
        <v>7228</v>
      </c>
      <c r="E1995" s="7" t="s">
        <v>21</v>
      </c>
      <c r="F1995" s="6" t="s">
        <v>7302</v>
      </c>
      <c r="G1995" s="6" t="s">
        <v>7303</v>
      </c>
      <c r="H1995" s="6" t="s">
        <v>7304</v>
      </c>
      <c r="I1995" s="6" t="s">
        <v>7305</v>
      </c>
      <c r="J1995" s="6" t="s">
        <v>7306</v>
      </c>
      <c r="K1995" s="5"/>
      <c r="L1995" s="4" t="s">
        <v>44</v>
      </c>
      <c r="M1995" s="8" t="s">
        <v>79</v>
      </c>
      <c r="N1995" s="9" t="s">
        <v>7242</v>
      </c>
      <c r="O1995" s="5"/>
      <c r="P1995" s="5"/>
      <c r="Q1995" s="6" t="s">
        <v>30</v>
      </c>
      <c r="R1995" s="4" t="s">
        <v>31</v>
      </c>
      <c r="S1995" s="7" t="s">
        <v>32</v>
      </c>
      <c r="T1995" s="5"/>
    </row>
    <row r="1996" customFormat="false" ht="43.5" hidden="false" customHeight="true" outlineLevel="0" collapsed="false">
      <c r="A1996" s="4" t="n">
        <v>1995</v>
      </c>
      <c r="B1996" s="6" t="s">
        <v>1787</v>
      </c>
      <c r="C1996" s="6" t="s">
        <v>7227</v>
      </c>
      <c r="D1996" s="6" t="s">
        <v>7228</v>
      </c>
      <c r="E1996" s="7" t="s">
        <v>21</v>
      </c>
      <c r="F1996" s="6" t="s">
        <v>7307</v>
      </c>
      <c r="G1996" s="6" t="s">
        <v>7299</v>
      </c>
      <c r="H1996" s="6" t="s">
        <v>7300</v>
      </c>
      <c r="I1996" s="6" t="s">
        <v>7301</v>
      </c>
      <c r="J1996" s="6" t="s">
        <v>7308</v>
      </c>
      <c r="K1996" s="5"/>
      <c r="L1996" s="4" t="s">
        <v>51</v>
      </c>
      <c r="M1996" s="8" t="s">
        <v>28</v>
      </c>
      <c r="N1996" s="9" t="s">
        <v>7242</v>
      </c>
      <c r="O1996" s="5"/>
      <c r="P1996" s="5"/>
      <c r="Q1996" s="6" t="s">
        <v>30</v>
      </c>
      <c r="R1996" s="4" t="s">
        <v>31</v>
      </c>
      <c r="S1996" s="7" t="s">
        <v>32</v>
      </c>
      <c r="T1996" s="5"/>
    </row>
    <row r="1997" customFormat="false" ht="43.5" hidden="false" customHeight="true" outlineLevel="0" collapsed="false">
      <c r="A1997" s="4" t="n">
        <v>1996</v>
      </c>
      <c r="B1997" s="6" t="s">
        <v>1787</v>
      </c>
      <c r="C1997" s="6" t="s">
        <v>7227</v>
      </c>
      <c r="D1997" s="6" t="s">
        <v>7228</v>
      </c>
      <c r="E1997" s="7" t="s">
        <v>21</v>
      </c>
      <c r="F1997" s="6" t="s">
        <v>7309</v>
      </c>
      <c r="G1997" s="6" t="s">
        <v>7299</v>
      </c>
      <c r="H1997" s="6" t="s">
        <v>7300</v>
      </c>
      <c r="I1997" s="6" t="s">
        <v>7301</v>
      </c>
      <c r="J1997" s="6" t="s">
        <v>7308</v>
      </c>
      <c r="K1997" s="5"/>
      <c r="L1997" s="4" t="s">
        <v>62</v>
      </c>
      <c r="M1997" s="8" t="s">
        <v>28</v>
      </c>
      <c r="N1997" s="9" t="s">
        <v>7242</v>
      </c>
      <c r="O1997" s="5"/>
      <c r="P1997" s="5"/>
      <c r="Q1997" s="6" t="s">
        <v>30</v>
      </c>
      <c r="R1997" s="4" t="s">
        <v>31</v>
      </c>
      <c r="S1997" s="7" t="s">
        <v>32</v>
      </c>
      <c r="T1997" s="5"/>
    </row>
    <row r="1998" customFormat="false" ht="43.5" hidden="false" customHeight="true" outlineLevel="0" collapsed="false">
      <c r="A1998" s="4" t="n">
        <v>1997</v>
      </c>
      <c r="B1998" s="6" t="s">
        <v>1787</v>
      </c>
      <c r="C1998" s="6" t="s">
        <v>7227</v>
      </c>
      <c r="D1998" s="6" t="s">
        <v>7228</v>
      </c>
      <c r="E1998" s="7" t="s">
        <v>21</v>
      </c>
      <c r="F1998" s="6" t="s">
        <v>7310</v>
      </c>
      <c r="G1998" s="6" t="s">
        <v>7311</v>
      </c>
      <c r="H1998" s="6" t="s">
        <v>7312</v>
      </c>
      <c r="I1998" s="6" t="s">
        <v>7313</v>
      </c>
      <c r="J1998" s="6" t="s">
        <v>7314</v>
      </c>
      <c r="K1998" s="5"/>
      <c r="L1998" s="4" t="s">
        <v>27</v>
      </c>
      <c r="M1998" s="8" t="s">
        <v>28</v>
      </c>
      <c r="N1998" s="9" t="s">
        <v>7242</v>
      </c>
      <c r="O1998" s="5"/>
      <c r="P1998" s="5"/>
      <c r="Q1998" s="6" t="s">
        <v>30</v>
      </c>
      <c r="R1998" s="4" t="s">
        <v>31</v>
      </c>
      <c r="S1998" s="7" t="s">
        <v>32</v>
      </c>
      <c r="T1998" s="5"/>
    </row>
    <row r="1999" customFormat="false" ht="29.25" hidden="false" customHeight="true" outlineLevel="0" collapsed="false">
      <c r="A1999" s="4" t="n">
        <v>1998</v>
      </c>
      <c r="B1999" s="6" t="s">
        <v>1787</v>
      </c>
      <c r="C1999" s="6" t="s">
        <v>7227</v>
      </c>
      <c r="D1999" s="6" t="s">
        <v>7228</v>
      </c>
      <c r="E1999" s="7" t="s">
        <v>21</v>
      </c>
      <c r="F1999" s="6" t="s">
        <v>7315</v>
      </c>
      <c r="G1999" s="6" t="s">
        <v>7316</v>
      </c>
      <c r="H1999" s="5" t="s">
        <v>7317</v>
      </c>
      <c r="I1999" s="5" t="s">
        <v>7318</v>
      </c>
      <c r="J1999" s="5" t="s">
        <v>7319</v>
      </c>
      <c r="K1999" s="5"/>
      <c r="L1999" s="4" t="s">
        <v>51</v>
      </c>
      <c r="M1999" s="8" t="s">
        <v>79</v>
      </c>
      <c r="N1999" s="9" t="s">
        <v>7233</v>
      </c>
      <c r="O1999" s="5"/>
      <c r="P1999" s="5"/>
      <c r="Q1999" s="6" t="s">
        <v>30</v>
      </c>
      <c r="R1999" s="4" t="s">
        <v>31</v>
      </c>
      <c r="S1999" s="7" t="s">
        <v>32</v>
      </c>
      <c r="T1999" s="5"/>
    </row>
    <row r="2000" customFormat="false" ht="29.25" hidden="false" customHeight="true" outlineLevel="0" collapsed="false">
      <c r="A2000" s="4" t="n">
        <v>1999</v>
      </c>
      <c r="B2000" s="6" t="s">
        <v>1787</v>
      </c>
      <c r="C2000" s="6" t="s">
        <v>7227</v>
      </c>
      <c r="D2000" s="6" t="s">
        <v>7228</v>
      </c>
      <c r="E2000" s="7" t="s">
        <v>21</v>
      </c>
      <c r="F2000" s="6" t="s">
        <v>7320</v>
      </c>
      <c r="G2000" s="5" t="s">
        <v>7321</v>
      </c>
      <c r="H2000" s="5" t="s">
        <v>7322</v>
      </c>
      <c r="I2000" s="5" t="s">
        <v>6642</v>
      </c>
      <c r="J2000" s="5" t="s">
        <v>7323</v>
      </c>
      <c r="K2000" s="5"/>
      <c r="L2000" s="4" t="s">
        <v>44</v>
      </c>
      <c r="M2000" s="8" t="s">
        <v>129</v>
      </c>
      <c r="N2000" s="9" t="s">
        <v>7233</v>
      </c>
      <c r="O2000" s="5"/>
      <c r="P2000" s="5"/>
      <c r="Q2000" s="6" t="s">
        <v>30</v>
      </c>
      <c r="R2000" s="4" t="s">
        <v>31</v>
      </c>
      <c r="S2000" s="7" t="s">
        <v>32</v>
      </c>
      <c r="T2000" s="5"/>
    </row>
    <row r="2001" customFormat="false" ht="29.25" hidden="false" customHeight="true" outlineLevel="0" collapsed="false">
      <c r="A2001" s="4" t="n">
        <v>2000</v>
      </c>
      <c r="B2001" s="6" t="s">
        <v>1787</v>
      </c>
      <c r="C2001" s="6" t="s">
        <v>7227</v>
      </c>
      <c r="D2001" s="6" t="s">
        <v>7228</v>
      </c>
      <c r="E2001" s="7" t="s">
        <v>21</v>
      </c>
      <c r="F2001" s="6" t="s">
        <v>7324</v>
      </c>
      <c r="G2001" s="5" t="s">
        <v>7321</v>
      </c>
      <c r="H2001" s="5" t="s">
        <v>7325</v>
      </c>
      <c r="I2001" s="5" t="s">
        <v>6642</v>
      </c>
      <c r="J2001" s="5" t="s">
        <v>7326</v>
      </c>
      <c r="K2001" s="5"/>
      <c r="L2001" s="4" t="s">
        <v>44</v>
      </c>
      <c r="M2001" s="8" t="s">
        <v>129</v>
      </c>
      <c r="N2001" s="9" t="s">
        <v>7233</v>
      </c>
      <c r="O2001" s="5"/>
      <c r="P2001" s="5"/>
      <c r="Q2001" s="6" t="s">
        <v>30</v>
      </c>
      <c r="R2001" s="4" t="s">
        <v>31</v>
      </c>
      <c r="S2001" s="7" t="s">
        <v>32</v>
      </c>
      <c r="T2001" s="5"/>
    </row>
    <row r="2002" customFormat="false" ht="29.25" hidden="false" customHeight="true" outlineLevel="0" collapsed="false">
      <c r="A2002" s="4" t="n">
        <v>2001</v>
      </c>
      <c r="B2002" s="6" t="s">
        <v>1787</v>
      </c>
      <c r="C2002" s="6" t="s">
        <v>7227</v>
      </c>
      <c r="D2002" s="6" t="s">
        <v>7228</v>
      </c>
      <c r="E2002" s="7" t="s">
        <v>21</v>
      </c>
      <c r="F2002" s="6" t="s">
        <v>7327</v>
      </c>
      <c r="G2002" s="5" t="s">
        <v>6653</v>
      </c>
      <c r="H2002" s="5" t="s">
        <v>6652</v>
      </c>
      <c r="I2002" s="5" t="s">
        <v>6651</v>
      </c>
      <c r="J2002" s="5" t="s">
        <v>7328</v>
      </c>
      <c r="K2002" s="5"/>
      <c r="L2002" s="4" t="s">
        <v>51</v>
      </c>
      <c r="M2002" s="8" t="s">
        <v>129</v>
      </c>
      <c r="N2002" s="9" t="s">
        <v>7242</v>
      </c>
      <c r="O2002" s="5"/>
      <c r="P2002" s="5"/>
      <c r="Q2002" s="6" t="s">
        <v>30</v>
      </c>
      <c r="R2002" s="4" t="s">
        <v>31</v>
      </c>
      <c r="S2002" s="7" t="s">
        <v>32</v>
      </c>
      <c r="T2002" s="5"/>
    </row>
    <row r="2003" customFormat="false" ht="29.25" hidden="false" customHeight="true" outlineLevel="0" collapsed="false">
      <c r="A2003" s="4" t="n">
        <v>2002</v>
      </c>
      <c r="B2003" s="6" t="s">
        <v>1787</v>
      </c>
      <c r="C2003" s="6" t="s">
        <v>7227</v>
      </c>
      <c r="D2003" s="6" t="s">
        <v>7228</v>
      </c>
      <c r="E2003" s="7" t="s">
        <v>21</v>
      </c>
      <c r="F2003" s="6" t="s">
        <v>7329</v>
      </c>
      <c r="G2003" s="5" t="s">
        <v>1226</v>
      </c>
      <c r="H2003" s="5" t="s">
        <v>1327</v>
      </c>
      <c r="I2003" s="5" t="s">
        <v>7330</v>
      </c>
      <c r="J2003" s="5" t="s">
        <v>7331</v>
      </c>
      <c r="K2003" s="5"/>
      <c r="L2003" s="4" t="s">
        <v>62</v>
      </c>
      <c r="M2003" s="8" t="s">
        <v>129</v>
      </c>
      <c r="N2003" s="9" t="s">
        <v>7233</v>
      </c>
      <c r="O2003" s="5"/>
      <c r="P2003" s="5"/>
      <c r="Q2003" s="6" t="s">
        <v>30</v>
      </c>
      <c r="R2003" s="4" t="s">
        <v>31</v>
      </c>
      <c r="S2003" s="7" t="s">
        <v>32</v>
      </c>
      <c r="T2003" s="5"/>
    </row>
    <row r="2004" customFormat="false" ht="29.25" hidden="false" customHeight="true" outlineLevel="0" collapsed="false">
      <c r="A2004" s="4" t="n">
        <v>2003</v>
      </c>
      <c r="B2004" s="6" t="s">
        <v>1787</v>
      </c>
      <c r="C2004" s="6" t="s">
        <v>7227</v>
      </c>
      <c r="D2004" s="6" t="s">
        <v>7228</v>
      </c>
      <c r="E2004" s="7" t="s">
        <v>21</v>
      </c>
      <c r="F2004" s="6" t="s">
        <v>7332</v>
      </c>
      <c r="G2004" s="5" t="s">
        <v>7333</v>
      </c>
      <c r="H2004" s="5" t="s">
        <v>7334</v>
      </c>
      <c r="I2004" s="5" t="s">
        <v>5938</v>
      </c>
      <c r="J2004" s="5" t="s">
        <v>7335</v>
      </c>
      <c r="K2004" s="5"/>
      <c r="L2004" s="4" t="s">
        <v>44</v>
      </c>
      <c r="M2004" s="8" t="s">
        <v>129</v>
      </c>
      <c r="N2004" s="9" t="s">
        <v>7242</v>
      </c>
      <c r="O2004" s="5"/>
      <c r="P2004" s="5"/>
      <c r="Q2004" s="6" t="s">
        <v>30</v>
      </c>
      <c r="R2004" s="4" t="s">
        <v>31</v>
      </c>
      <c r="S2004" s="7" t="s">
        <v>32</v>
      </c>
      <c r="T2004" s="5"/>
    </row>
    <row r="2005" customFormat="false" ht="29.25" hidden="false" customHeight="true" outlineLevel="0" collapsed="false">
      <c r="A2005" s="4" t="n">
        <v>2004</v>
      </c>
      <c r="B2005" s="6" t="s">
        <v>1787</v>
      </c>
      <c r="C2005" s="6" t="s">
        <v>7227</v>
      </c>
      <c r="D2005" s="6" t="s">
        <v>7228</v>
      </c>
      <c r="E2005" s="7" t="s">
        <v>21</v>
      </c>
      <c r="F2005" s="6" t="s">
        <v>7336</v>
      </c>
      <c r="G2005" s="5" t="s">
        <v>7337</v>
      </c>
      <c r="H2005" s="5" t="s">
        <v>4993</v>
      </c>
      <c r="I2005" s="5" t="s">
        <v>4992</v>
      </c>
      <c r="J2005" s="5" t="s">
        <v>7338</v>
      </c>
      <c r="K2005" s="5"/>
      <c r="L2005" s="4" t="s">
        <v>62</v>
      </c>
      <c r="M2005" s="8" t="s">
        <v>129</v>
      </c>
      <c r="N2005" s="9" t="s">
        <v>7233</v>
      </c>
      <c r="O2005" s="5"/>
      <c r="P2005" s="5"/>
      <c r="Q2005" s="6" t="s">
        <v>30</v>
      </c>
      <c r="R2005" s="4" t="s">
        <v>31</v>
      </c>
      <c r="S2005" s="7" t="s">
        <v>32</v>
      </c>
      <c r="T2005" s="5"/>
    </row>
    <row r="2006" customFormat="false" ht="29.25" hidden="false" customHeight="true" outlineLevel="0" collapsed="false">
      <c r="A2006" s="4" t="n">
        <v>2005</v>
      </c>
      <c r="B2006" s="6" t="s">
        <v>1787</v>
      </c>
      <c r="C2006" s="6" t="s">
        <v>7227</v>
      </c>
      <c r="D2006" s="6" t="s">
        <v>7228</v>
      </c>
      <c r="E2006" s="7" t="s">
        <v>21</v>
      </c>
      <c r="F2006" s="6" t="s">
        <v>7339</v>
      </c>
      <c r="G2006" s="5" t="s">
        <v>7340</v>
      </c>
      <c r="H2006" s="5" t="s">
        <v>7341</v>
      </c>
      <c r="I2006" s="5" t="s">
        <v>7342</v>
      </c>
      <c r="J2006" s="5" t="s">
        <v>7343</v>
      </c>
      <c r="K2006" s="5"/>
      <c r="L2006" s="4" t="s">
        <v>44</v>
      </c>
      <c r="M2006" s="8" t="s">
        <v>129</v>
      </c>
      <c r="N2006" s="9" t="s">
        <v>7242</v>
      </c>
      <c r="O2006" s="5"/>
      <c r="P2006" s="5"/>
      <c r="Q2006" s="6" t="s">
        <v>30</v>
      </c>
      <c r="R2006" s="4" t="s">
        <v>31</v>
      </c>
      <c r="S2006" s="7" t="s">
        <v>32</v>
      </c>
      <c r="T2006" s="5"/>
    </row>
    <row r="2007" customFormat="false" ht="57.75" hidden="false" customHeight="true" outlineLevel="0" collapsed="false">
      <c r="A2007" s="4" t="n">
        <v>2006</v>
      </c>
      <c r="B2007" s="6" t="s">
        <v>1787</v>
      </c>
      <c r="C2007" s="6" t="s">
        <v>7227</v>
      </c>
      <c r="D2007" s="6" t="s">
        <v>7228</v>
      </c>
      <c r="E2007" s="7" t="s">
        <v>21</v>
      </c>
      <c r="F2007" s="6" t="s">
        <v>7344</v>
      </c>
      <c r="G2007" s="5" t="s">
        <v>1226</v>
      </c>
      <c r="H2007" s="5" t="s">
        <v>7345</v>
      </c>
      <c r="I2007" s="5" t="s">
        <v>1321</v>
      </c>
      <c r="J2007" s="5" t="s">
        <v>7346</v>
      </c>
      <c r="K2007" s="5"/>
      <c r="L2007" s="4" t="s">
        <v>27</v>
      </c>
      <c r="M2007" s="8" t="s">
        <v>79</v>
      </c>
      <c r="N2007" s="9" t="s">
        <v>7242</v>
      </c>
      <c r="O2007" s="5"/>
      <c r="P2007" s="5"/>
      <c r="Q2007" s="6" t="s">
        <v>30</v>
      </c>
      <c r="R2007" s="4" t="s">
        <v>31</v>
      </c>
      <c r="S2007" s="7" t="s">
        <v>32</v>
      </c>
      <c r="T2007" s="5"/>
    </row>
    <row r="2008" customFormat="false" ht="29.25" hidden="false" customHeight="true" outlineLevel="0" collapsed="false">
      <c r="A2008" s="4" t="n">
        <v>2007</v>
      </c>
      <c r="B2008" s="6" t="s">
        <v>1787</v>
      </c>
      <c r="C2008" s="6" t="s">
        <v>7227</v>
      </c>
      <c r="D2008" s="6" t="s">
        <v>7228</v>
      </c>
      <c r="E2008" s="7" t="s">
        <v>21</v>
      </c>
      <c r="F2008" s="6" t="s">
        <v>7347</v>
      </c>
      <c r="G2008" s="5" t="s">
        <v>1226</v>
      </c>
      <c r="H2008" s="5" t="s">
        <v>1327</v>
      </c>
      <c r="I2008" s="5" t="s">
        <v>2673</v>
      </c>
      <c r="J2008" s="5" t="s">
        <v>7348</v>
      </c>
      <c r="K2008" s="5"/>
      <c r="L2008" s="4" t="s">
        <v>44</v>
      </c>
      <c r="M2008" s="8" t="s">
        <v>129</v>
      </c>
      <c r="N2008" s="9" t="s">
        <v>7233</v>
      </c>
      <c r="O2008" s="5"/>
      <c r="P2008" s="5"/>
      <c r="Q2008" s="6" t="s">
        <v>30</v>
      </c>
      <c r="R2008" s="4" t="s">
        <v>31</v>
      </c>
      <c r="S2008" s="7" t="s">
        <v>32</v>
      </c>
      <c r="T2008" s="5"/>
    </row>
    <row r="2009" customFormat="false" ht="29.25" hidden="false" customHeight="true" outlineLevel="0" collapsed="false">
      <c r="A2009" s="4" t="n">
        <v>2008</v>
      </c>
      <c r="B2009" s="6" t="s">
        <v>1787</v>
      </c>
      <c r="C2009" s="6" t="s">
        <v>7227</v>
      </c>
      <c r="D2009" s="6" t="s">
        <v>7228</v>
      </c>
      <c r="E2009" s="7" t="s">
        <v>21</v>
      </c>
      <c r="F2009" s="6" t="s">
        <v>7349</v>
      </c>
      <c r="G2009" s="5" t="s">
        <v>7350</v>
      </c>
      <c r="H2009" s="5" t="s">
        <v>7351</v>
      </c>
      <c r="I2009" s="5" t="s">
        <v>7352</v>
      </c>
      <c r="J2009" s="5" t="s">
        <v>7353</v>
      </c>
      <c r="K2009" s="5"/>
      <c r="L2009" s="4" t="s">
        <v>51</v>
      </c>
      <c r="M2009" s="8" t="s">
        <v>129</v>
      </c>
      <c r="N2009" s="9" t="s">
        <v>7242</v>
      </c>
      <c r="O2009" s="5"/>
      <c r="P2009" s="5"/>
      <c r="Q2009" s="6" t="s">
        <v>30</v>
      </c>
      <c r="R2009" s="4" t="s">
        <v>31</v>
      </c>
      <c r="S2009" s="7" t="s">
        <v>32</v>
      </c>
      <c r="T2009" s="5"/>
    </row>
    <row r="2010" customFormat="false" ht="29.25" hidden="false" customHeight="true" outlineLevel="0" collapsed="false">
      <c r="A2010" s="4" t="n">
        <v>2009</v>
      </c>
      <c r="B2010" s="6" t="s">
        <v>1787</v>
      </c>
      <c r="C2010" s="6" t="s">
        <v>7227</v>
      </c>
      <c r="D2010" s="6" t="s">
        <v>7228</v>
      </c>
      <c r="E2010" s="7" t="s">
        <v>21</v>
      </c>
      <c r="F2010" s="6" t="s">
        <v>7354</v>
      </c>
      <c r="G2010" s="6" t="s">
        <v>7294</v>
      </c>
      <c r="H2010" s="6" t="s">
        <v>7355</v>
      </c>
      <c r="I2010" s="6" t="s">
        <v>7356</v>
      </c>
      <c r="J2010" s="6" t="s">
        <v>7357</v>
      </c>
      <c r="K2010" s="5"/>
      <c r="L2010" s="4" t="s">
        <v>62</v>
      </c>
      <c r="M2010" s="8" t="s">
        <v>79</v>
      </c>
      <c r="N2010" s="9" t="s">
        <v>7242</v>
      </c>
      <c r="O2010" s="5"/>
      <c r="P2010" s="5"/>
      <c r="Q2010" s="6" t="s">
        <v>30</v>
      </c>
      <c r="R2010" s="4" t="s">
        <v>31</v>
      </c>
      <c r="S2010" s="7" t="s">
        <v>32</v>
      </c>
      <c r="T2010" s="5"/>
    </row>
    <row r="2011" customFormat="false" ht="43.5" hidden="false" customHeight="true" outlineLevel="0" collapsed="false">
      <c r="A2011" s="4" t="n">
        <v>2010</v>
      </c>
      <c r="B2011" s="6" t="s">
        <v>1787</v>
      </c>
      <c r="C2011" s="6" t="s">
        <v>7227</v>
      </c>
      <c r="D2011" s="6" t="s">
        <v>7228</v>
      </c>
      <c r="E2011" s="7" t="s">
        <v>21</v>
      </c>
      <c r="F2011" s="6" t="s">
        <v>7358</v>
      </c>
      <c r="G2011" s="6" t="s">
        <v>7294</v>
      </c>
      <c r="H2011" s="6" t="s">
        <v>7355</v>
      </c>
      <c r="I2011" s="6" t="s">
        <v>7356</v>
      </c>
      <c r="J2011" s="6" t="s">
        <v>7359</v>
      </c>
      <c r="K2011" s="5"/>
      <c r="L2011" s="4" t="s">
        <v>44</v>
      </c>
      <c r="M2011" s="8" t="s">
        <v>28</v>
      </c>
      <c r="N2011" s="9" t="s">
        <v>7242</v>
      </c>
      <c r="O2011" s="5"/>
      <c r="P2011" s="5"/>
      <c r="Q2011" s="6" t="s">
        <v>30</v>
      </c>
      <c r="R2011" s="4" t="s">
        <v>31</v>
      </c>
      <c r="S2011" s="7" t="s">
        <v>32</v>
      </c>
      <c r="T2011" s="5"/>
    </row>
    <row r="2012" customFormat="false" ht="57.75" hidden="false" customHeight="true" outlineLevel="0" collapsed="false">
      <c r="A2012" s="4" t="n">
        <v>2011</v>
      </c>
      <c r="B2012" s="6" t="s">
        <v>1787</v>
      </c>
      <c r="C2012" s="6" t="s">
        <v>7227</v>
      </c>
      <c r="D2012" s="6" t="s">
        <v>7228</v>
      </c>
      <c r="E2012" s="7" t="s">
        <v>21</v>
      </c>
      <c r="F2012" s="6" t="s">
        <v>7360</v>
      </c>
      <c r="G2012" s="6" t="s">
        <v>7361</v>
      </c>
      <c r="H2012" s="6" t="s">
        <v>7362</v>
      </c>
      <c r="I2012" s="6" t="s">
        <v>7363</v>
      </c>
      <c r="J2012" s="6" t="s">
        <v>7364</v>
      </c>
      <c r="K2012" s="5"/>
      <c r="L2012" s="4" t="s">
        <v>27</v>
      </c>
      <c r="M2012" s="8" t="s">
        <v>129</v>
      </c>
      <c r="N2012" s="9" t="s">
        <v>7233</v>
      </c>
      <c r="O2012" s="5"/>
      <c r="P2012" s="5"/>
      <c r="Q2012" s="6" t="s">
        <v>30</v>
      </c>
      <c r="R2012" s="4" t="s">
        <v>31</v>
      </c>
      <c r="S2012" s="7" t="s">
        <v>32</v>
      </c>
      <c r="T2012" s="5"/>
    </row>
    <row r="2013" customFormat="false" ht="86.25" hidden="false" customHeight="true" outlineLevel="0" collapsed="false">
      <c r="A2013" s="4" t="n">
        <v>2012</v>
      </c>
      <c r="B2013" s="6" t="s">
        <v>1787</v>
      </c>
      <c r="C2013" s="6" t="s">
        <v>7227</v>
      </c>
      <c r="D2013" s="6" t="s">
        <v>7228</v>
      </c>
      <c r="E2013" s="7" t="s">
        <v>21</v>
      </c>
      <c r="F2013" s="6" t="s">
        <v>7365</v>
      </c>
      <c r="G2013" s="6" t="s">
        <v>7361</v>
      </c>
      <c r="H2013" s="6" t="s">
        <v>7362</v>
      </c>
      <c r="I2013" s="6" t="s">
        <v>7363</v>
      </c>
      <c r="J2013" s="6" t="s">
        <v>7366</v>
      </c>
      <c r="K2013" s="5"/>
      <c r="L2013" s="4" t="s">
        <v>27</v>
      </c>
      <c r="M2013" s="8" t="s">
        <v>79</v>
      </c>
      <c r="N2013" s="9" t="s">
        <v>7242</v>
      </c>
      <c r="O2013" s="5"/>
      <c r="P2013" s="5"/>
      <c r="Q2013" s="6" t="s">
        <v>30</v>
      </c>
      <c r="R2013" s="4" t="s">
        <v>31</v>
      </c>
      <c r="S2013" s="7" t="s">
        <v>32</v>
      </c>
      <c r="T2013" s="5"/>
    </row>
    <row r="2014" customFormat="false" ht="29.25" hidden="false" customHeight="true" outlineLevel="0" collapsed="false">
      <c r="A2014" s="4" t="n">
        <v>2013</v>
      </c>
      <c r="B2014" s="6" t="s">
        <v>1787</v>
      </c>
      <c r="C2014" s="6" t="s">
        <v>7227</v>
      </c>
      <c r="D2014" s="6" t="s">
        <v>7228</v>
      </c>
      <c r="E2014" s="7" t="s">
        <v>21</v>
      </c>
      <c r="F2014" s="6" t="s">
        <v>7367</v>
      </c>
      <c r="G2014" s="5" t="s">
        <v>2680</v>
      </c>
      <c r="H2014" s="5" t="s">
        <v>2673</v>
      </c>
      <c r="I2014" s="5" t="s">
        <v>4877</v>
      </c>
      <c r="J2014" s="5" t="s">
        <v>7368</v>
      </c>
      <c r="K2014" s="5"/>
      <c r="L2014" s="4" t="s">
        <v>62</v>
      </c>
      <c r="M2014" s="8" t="s">
        <v>129</v>
      </c>
      <c r="N2014" s="9" t="s">
        <v>7233</v>
      </c>
      <c r="O2014" s="5"/>
      <c r="P2014" s="5"/>
      <c r="Q2014" s="6" t="s">
        <v>30</v>
      </c>
      <c r="R2014" s="4" t="s">
        <v>31</v>
      </c>
      <c r="S2014" s="7" t="s">
        <v>32</v>
      </c>
      <c r="T2014" s="5"/>
    </row>
    <row r="2015" customFormat="false" ht="29.25" hidden="false" customHeight="true" outlineLevel="0" collapsed="false">
      <c r="A2015" s="4" t="n">
        <v>2014</v>
      </c>
      <c r="B2015" s="6" t="s">
        <v>1787</v>
      </c>
      <c r="C2015" s="6" t="s">
        <v>7227</v>
      </c>
      <c r="D2015" s="6" t="s">
        <v>7228</v>
      </c>
      <c r="E2015" s="7" t="s">
        <v>21</v>
      </c>
      <c r="F2015" s="6" t="s">
        <v>7369</v>
      </c>
      <c r="G2015" s="6" t="s">
        <v>7370</v>
      </c>
      <c r="H2015" s="6" t="s">
        <v>7371</v>
      </c>
      <c r="I2015" s="6" t="s">
        <v>7372</v>
      </c>
      <c r="J2015" s="6" t="s">
        <v>7373</v>
      </c>
      <c r="K2015" s="5"/>
      <c r="L2015" s="4" t="s">
        <v>44</v>
      </c>
      <c r="M2015" s="8" t="s">
        <v>79</v>
      </c>
      <c r="N2015" s="9" t="s">
        <v>7242</v>
      </c>
      <c r="O2015" s="5"/>
      <c r="P2015" s="5"/>
      <c r="Q2015" s="6" t="s">
        <v>30</v>
      </c>
      <c r="R2015" s="4" t="s">
        <v>31</v>
      </c>
      <c r="S2015" s="7" t="s">
        <v>32</v>
      </c>
      <c r="T2015" s="5"/>
    </row>
    <row r="2016" customFormat="false" ht="29.25" hidden="false" customHeight="true" outlineLevel="0" collapsed="false">
      <c r="A2016" s="4" t="n">
        <v>2015</v>
      </c>
      <c r="B2016" s="6" t="s">
        <v>1787</v>
      </c>
      <c r="C2016" s="6" t="s">
        <v>7227</v>
      </c>
      <c r="D2016" s="6" t="s">
        <v>7228</v>
      </c>
      <c r="E2016" s="7" t="s">
        <v>21</v>
      </c>
      <c r="F2016" s="6" t="s">
        <v>7374</v>
      </c>
      <c r="G2016" s="5" t="s">
        <v>1324</v>
      </c>
      <c r="H2016" s="5" t="s">
        <v>1226</v>
      </c>
      <c r="I2016" s="5" t="s">
        <v>1321</v>
      </c>
      <c r="J2016" s="5" t="s">
        <v>7375</v>
      </c>
      <c r="K2016" s="5"/>
      <c r="L2016" s="4" t="s">
        <v>27</v>
      </c>
      <c r="M2016" s="8" t="s">
        <v>129</v>
      </c>
      <c r="N2016" s="9" t="s">
        <v>7233</v>
      </c>
      <c r="O2016" s="5"/>
      <c r="P2016" s="5"/>
      <c r="Q2016" s="6" t="s">
        <v>30</v>
      </c>
      <c r="R2016" s="4" t="s">
        <v>31</v>
      </c>
      <c r="S2016" s="7" t="s">
        <v>32</v>
      </c>
      <c r="T2016" s="5"/>
    </row>
    <row r="2017" customFormat="false" ht="29.25" hidden="false" customHeight="true" outlineLevel="0" collapsed="false">
      <c r="A2017" s="4" t="n">
        <v>2016</v>
      </c>
      <c r="B2017" s="6" t="s">
        <v>1787</v>
      </c>
      <c r="C2017" s="6" t="s">
        <v>7227</v>
      </c>
      <c r="D2017" s="6" t="s">
        <v>7228</v>
      </c>
      <c r="E2017" s="7" t="s">
        <v>21</v>
      </c>
      <c r="F2017" s="6" t="s">
        <v>7376</v>
      </c>
      <c r="G2017" s="5" t="s">
        <v>1327</v>
      </c>
      <c r="H2017" s="5" t="s">
        <v>3643</v>
      </c>
      <c r="I2017" s="5" t="s">
        <v>1324</v>
      </c>
      <c r="J2017" s="5" t="s">
        <v>7377</v>
      </c>
      <c r="K2017" s="5"/>
      <c r="L2017" s="4" t="s">
        <v>44</v>
      </c>
      <c r="M2017" s="8" t="s">
        <v>79</v>
      </c>
      <c r="N2017" s="9" t="s">
        <v>7242</v>
      </c>
      <c r="O2017" s="5"/>
      <c r="P2017" s="5"/>
      <c r="Q2017" s="6" t="s">
        <v>30</v>
      </c>
      <c r="R2017" s="4" t="s">
        <v>31</v>
      </c>
      <c r="S2017" s="7" t="s">
        <v>32</v>
      </c>
      <c r="T2017" s="5"/>
    </row>
    <row r="2018" customFormat="false" ht="29.25" hidden="false" customHeight="true" outlineLevel="0" collapsed="false">
      <c r="A2018" s="4" t="n">
        <v>2017</v>
      </c>
      <c r="B2018" s="6" t="s">
        <v>1787</v>
      </c>
      <c r="C2018" s="6" t="s">
        <v>7227</v>
      </c>
      <c r="D2018" s="6" t="s">
        <v>7228</v>
      </c>
      <c r="E2018" s="7" t="s">
        <v>21</v>
      </c>
      <c r="F2018" s="6" t="s">
        <v>7378</v>
      </c>
      <c r="G2018" s="5" t="s">
        <v>7379</v>
      </c>
      <c r="H2018" s="5" t="s">
        <v>7380</v>
      </c>
      <c r="I2018" s="5" t="s">
        <v>7381</v>
      </c>
      <c r="J2018" s="5" t="s">
        <v>7382</v>
      </c>
      <c r="K2018" s="5"/>
      <c r="L2018" s="4" t="s">
        <v>51</v>
      </c>
      <c r="M2018" s="8" t="s">
        <v>79</v>
      </c>
      <c r="N2018" s="9" t="s">
        <v>7242</v>
      </c>
      <c r="O2018" s="5"/>
      <c r="P2018" s="5"/>
      <c r="Q2018" s="6" t="s">
        <v>30</v>
      </c>
      <c r="R2018" s="4" t="s">
        <v>31</v>
      </c>
      <c r="S2018" s="7" t="s">
        <v>32</v>
      </c>
      <c r="T2018" s="5"/>
    </row>
    <row r="2019" customFormat="false" ht="29.25" hidden="false" customHeight="true" outlineLevel="0" collapsed="false">
      <c r="A2019" s="4" t="n">
        <v>2018</v>
      </c>
      <c r="B2019" s="6" t="s">
        <v>1787</v>
      </c>
      <c r="C2019" s="6" t="s">
        <v>7227</v>
      </c>
      <c r="D2019" s="6" t="s">
        <v>7228</v>
      </c>
      <c r="E2019" s="7" t="s">
        <v>21</v>
      </c>
      <c r="F2019" s="6" t="s">
        <v>7383</v>
      </c>
      <c r="G2019" s="5" t="s">
        <v>1327</v>
      </c>
      <c r="H2019" s="5" t="s">
        <v>2677</v>
      </c>
      <c r="I2019" s="5" t="s">
        <v>3643</v>
      </c>
      <c r="J2019" s="5" t="s">
        <v>7384</v>
      </c>
      <c r="K2019" s="5"/>
      <c r="L2019" s="4" t="s">
        <v>62</v>
      </c>
      <c r="M2019" s="8" t="s">
        <v>79</v>
      </c>
      <c r="N2019" s="9" t="s">
        <v>7233</v>
      </c>
      <c r="O2019" s="5"/>
      <c r="P2019" s="5"/>
      <c r="Q2019" s="6" t="s">
        <v>30</v>
      </c>
      <c r="R2019" s="4" t="s">
        <v>31</v>
      </c>
      <c r="S2019" s="7" t="s">
        <v>32</v>
      </c>
      <c r="T2019" s="5"/>
    </row>
    <row r="2020" customFormat="false" ht="29.25" hidden="false" customHeight="true" outlineLevel="0" collapsed="false">
      <c r="A2020" s="4" t="n">
        <v>2019</v>
      </c>
      <c r="B2020" s="6" t="s">
        <v>1787</v>
      </c>
      <c r="C2020" s="6" t="s">
        <v>7227</v>
      </c>
      <c r="D2020" s="6" t="s">
        <v>7228</v>
      </c>
      <c r="E2020" s="7" t="s">
        <v>21</v>
      </c>
      <c r="F2020" s="6" t="s">
        <v>7385</v>
      </c>
      <c r="G2020" s="5" t="s">
        <v>1324</v>
      </c>
      <c r="H2020" s="5" t="s">
        <v>1226</v>
      </c>
      <c r="I2020" s="5" t="s">
        <v>1327</v>
      </c>
      <c r="J2020" s="5" t="s">
        <v>7386</v>
      </c>
      <c r="K2020" s="5"/>
      <c r="L2020" s="4" t="s">
        <v>27</v>
      </c>
      <c r="M2020" s="8" t="s">
        <v>129</v>
      </c>
      <c r="N2020" s="9" t="s">
        <v>7233</v>
      </c>
      <c r="O2020" s="5"/>
      <c r="P2020" s="5"/>
      <c r="Q2020" s="6" t="s">
        <v>30</v>
      </c>
      <c r="R2020" s="4" t="s">
        <v>31</v>
      </c>
      <c r="S2020" s="7" t="s">
        <v>32</v>
      </c>
      <c r="T2020" s="5"/>
    </row>
    <row r="2021" customFormat="false" ht="29.25" hidden="false" customHeight="true" outlineLevel="0" collapsed="false">
      <c r="A2021" s="4" t="n">
        <v>2020</v>
      </c>
      <c r="B2021" s="6" t="s">
        <v>1787</v>
      </c>
      <c r="C2021" s="6" t="s">
        <v>7227</v>
      </c>
      <c r="D2021" s="6" t="s">
        <v>7228</v>
      </c>
      <c r="E2021" s="7" t="s">
        <v>21</v>
      </c>
      <c r="F2021" s="6" t="s">
        <v>7387</v>
      </c>
      <c r="G2021" s="6" t="s">
        <v>7388</v>
      </c>
      <c r="H2021" s="6" t="s">
        <v>7389</v>
      </c>
      <c r="I2021" s="6" t="s">
        <v>7390</v>
      </c>
      <c r="J2021" s="6" t="s">
        <v>7391</v>
      </c>
      <c r="K2021" s="5"/>
      <c r="L2021" s="4" t="s">
        <v>62</v>
      </c>
      <c r="M2021" s="8" t="s">
        <v>129</v>
      </c>
      <c r="N2021" s="9" t="s">
        <v>7242</v>
      </c>
      <c r="O2021" s="5"/>
      <c r="P2021" s="5"/>
      <c r="Q2021" s="6" t="s">
        <v>30</v>
      </c>
      <c r="R2021" s="4" t="s">
        <v>31</v>
      </c>
      <c r="S2021" s="7" t="s">
        <v>32</v>
      </c>
      <c r="T2021" s="5"/>
    </row>
    <row r="2022" customFormat="false" ht="29.25" hidden="false" customHeight="true" outlineLevel="0" collapsed="false">
      <c r="A2022" s="4" t="n">
        <v>2021</v>
      </c>
      <c r="B2022" s="6" t="s">
        <v>1787</v>
      </c>
      <c r="C2022" s="6" t="s">
        <v>7227</v>
      </c>
      <c r="D2022" s="6" t="s">
        <v>7228</v>
      </c>
      <c r="E2022" s="7" t="s">
        <v>21</v>
      </c>
      <c r="F2022" s="6" t="s">
        <v>7392</v>
      </c>
      <c r="G2022" s="5" t="s">
        <v>3643</v>
      </c>
      <c r="H2022" s="5" t="s">
        <v>1327</v>
      </c>
      <c r="I2022" s="5" t="s">
        <v>2677</v>
      </c>
      <c r="J2022" s="5" t="s">
        <v>7393</v>
      </c>
      <c r="K2022" s="5"/>
      <c r="L2022" s="4" t="s">
        <v>27</v>
      </c>
      <c r="M2022" s="8" t="s">
        <v>79</v>
      </c>
      <c r="N2022" s="9" t="s">
        <v>7242</v>
      </c>
      <c r="O2022" s="5"/>
      <c r="P2022" s="5"/>
      <c r="Q2022" s="6" t="s">
        <v>30</v>
      </c>
      <c r="R2022" s="4" t="s">
        <v>31</v>
      </c>
      <c r="S2022" s="7" t="s">
        <v>32</v>
      </c>
      <c r="T2022" s="5"/>
    </row>
    <row r="2023" customFormat="false" ht="43.5" hidden="false" customHeight="true" outlineLevel="0" collapsed="false">
      <c r="A2023" s="4" t="n">
        <v>2022</v>
      </c>
      <c r="B2023" s="6" t="s">
        <v>1787</v>
      </c>
      <c r="C2023" s="6" t="s">
        <v>7227</v>
      </c>
      <c r="D2023" s="6" t="s">
        <v>7228</v>
      </c>
      <c r="E2023" s="7" t="s">
        <v>21</v>
      </c>
      <c r="F2023" s="6" t="s">
        <v>7394</v>
      </c>
      <c r="G2023" s="5" t="s">
        <v>2672</v>
      </c>
      <c r="H2023" s="5" t="s">
        <v>2680</v>
      </c>
      <c r="I2023" s="5" t="s">
        <v>2540</v>
      </c>
      <c r="J2023" s="5" t="s">
        <v>7395</v>
      </c>
      <c r="K2023" s="5"/>
      <c r="L2023" s="4" t="s">
        <v>27</v>
      </c>
      <c r="M2023" s="8" t="s">
        <v>129</v>
      </c>
      <c r="N2023" s="9" t="s">
        <v>7242</v>
      </c>
      <c r="O2023" s="5"/>
      <c r="P2023" s="5"/>
      <c r="Q2023" s="6" t="s">
        <v>30</v>
      </c>
      <c r="R2023" s="4" t="s">
        <v>31</v>
      </c>
      <c r="S2023" s="7" t="s">
        <v>32</v>
      </c>
      <c r="T2023" s="5"/>
    </row>
    <row r="2024" customFormat="false" ht="43.5" hidden="false" customHeight="true" outlineLevel="0" collapsed="false">
      <c r="A2024" s="4" t="n">
        <v>2023</v>
      </c>
      <c r="B2024" s="6" t="s">
        <v>1787</v>
      </c>
      <c r="C2024" s="6" t="s">
        <v>7227</v>
      </c>
      <c r="D2024" s="6" t="s">
        <v>7228</v>
      </c>
      <c r="E2024" s="7" t="s">
        <v>21</v>
      </c>
      <c r="F2024" s="6" t="s">
        <v>7394</v>
      </c>
      <c r="G2024" s="5" t="s">
        <v>2672</v>
      </c>
      <c r="H2024" s="5" t="s">
        <v>2680</v>
      </c>
      <c r="I2024" s="5" t="s">
        <v>2540</v>
      </c>
      <c r="J2024" s="5" t="s">
        <v>7396</v>
      </c>
      <c r="K2024" s="5"/>
      <c r="L2024" s="4" t="s">
        <v>44</v>
      </c>
      <c r="M2024" s="8" t="s">
        <v>129</v>
      </c>
      <c r="N2024" s="9" t="s">
        <v>7242</v>
      </c>
      <c r="O2024" s="5"/>
      <c r="P2024" s="5"/>
      <c r="Q2024" s="6" t="s">
        <v>30</v>
      </c>
      <c r="R2024" s="4" t="s">
        <v>31</v>
      </c>
      <c r="S2024" s="7" t="s">
        <v>32</v>
      </c>
      <c r="T2024" s="5"/>
    </row>
    <row r="2025" customFormat="false" ht="29.25" hidden="false" customHeight="true" outlineLevel="0" collapsed="false">
      <c r="A2025" s="4" t="n">
        <v>2024</v>
      </c>
      <c r="B2025" s="6" t="s">
        <v>1787</v>
      </c>
      <c r="C2025" s="6" t="s">
        <v>7227</v>
      </c>
      <c r="D2025" s="6" t="s">
        <v>7228</v>
      </c>
      <c r="E2025" s="7" t="s">
        <v>21</v>
      </c>
      <c r="F2025" s="6" t="s">
        <v>7397</v>
      </c>
      <c r="G2025" s="6" t="s">
        <v>7305</v>
      </c>
      <c r="H2025" s="6" t="s">
        <v>7361</v>
      </c>
      <c r="I2025" s="6" t="s">
        <v>7389</v>
      </c>
      <c r="J2025" s="6" t="s">
        <v>7304</v>
      </c>
      <c r="K2025" s="5"/>
      <c r="L2025" s="4" t="s">
        <v>27</v>
      </c>
      <c r="M2025" s="8" t="s">
        <v>79</v>
      </c>
      <c r="N2025" s="9" t="s">
        <v>7242</v>
      </c>
      <c r="O2025" s="5"/>
      <c r="P2025" s="5"/>
      <c r="Q2025" s="6" t="s">
        <v>30</v>
      </c>
      <c r="R2025" s="4" t="s">
        <v>31</v>
      </c>
      <c r="S2025" s="7" t="s">
        <v>32</v>
      </c>
      <c r="T2025" s="5"/>
    </row>
    <row r="2026" customFormat="false" ht="29.25" hidden="false" customHeight="true" outlineLevel="0" collapsed="false">
      <c r="A2026" s="4" t="n">
        <v>2025</v>
      </c>
      <c r="B2026" s="6" t="s">
        <v>1787</v>
      </c>
      <c r="C2026" s="6" t="s">
        <v>7227</v>
      </c>
      <c r="D2026" s="6" t="s">
        <v>7228</v>
      </c>
      <c r="E2026" s="7" t="s">
        <v>21</v>
      </c>
      <c r="F2026" s="6" t="s">
        <v>7398</v>
      </c>
      <c r="G2026" s="5" t="s">
        <v>7399</v>
      </c>
      <c r="H2026" s="5" t="s">
        <v>7400</v>
      </c>
      <c r="I2026" s="5" t="s">
        <v>7401</v>
      </c>
      <c r="J2026" s="5" t="s">
        <v>7402</v>
      </c>
      <c r="K2026" s="5"/>
      <c r="L2026" s="4" t="s">
        <v>27</v>
      </c>
      <c r="M2026" s="8" t="s">
        <v>129</v>
      </c>
      <c r="N2026" s="9" t="s">
        <v>7242</v>
      </c>
      <c r="O2026" s="5"/>
      <c r="P2026" s="5"/>
      <c r="Q2026" s="6" t="s">
        <v>30</v>
      </c>
      <c r="R2026" s="4" t="s">
        <v>31</v>
      </c>
      <c r="S2026" s="7" t="s">
        <v>32</v>
      </c>
      <c r="T2026" s="5"/>
    </row>
    <row r="2027" customFormat="false" ht="29.25" hidden="false" customHeight="true" outlineLevel="0" collapsed="false">
      <c r="A2027" s="4" t="n">
        <v>2026</v>
      </c>
      <c r="B2027" s="6" t="s">
        <v>1787</v>
      </c>
      <c r="C2027" s="6" t="s">
        <v>7227</v>
      </c>
      <c r="D2027" s="6" t="s">
        <v>7228</v>
      </c>
      <c r="E2027" s="7" t="s">
        <v>21</v>
      </c>
      <c r="F2027" s="6" t="s">
        <v>7403</v>
      </c>
      <c r="G2027" s="5" t="s">
        <v>2672</v>
      </c>
      <c r="H2027" s="5" t="s">
        <v>2680</v>
      </c>
      <c r="I2027" s="5" t="s">
        <v>2540</v>
      </c>
      <c r="J2027" s="5" t="s">
        <v>7404</v>
      </c>
      <c r="K2027" s="5"/>
      <c r="L2027" s="4" t="s">
        <v>62</v>
      </c>
      <c r="M2027" s="8" t="s">
        <v>129</v>
      </c>
      <c r="N2027" s="9" t="s">
        <v>7233</v>
      </c>
      <c r="O2027" s="5"/>
      <c r="P2027" s="5"/>
      <c r="Q2027" s="6" t="s">
        <v>30</v>
      </c>
      <c r="R2027" s="4" t="s">
        <v>31</v>
      </c>
      <c r="S2027" s="7" t="s">
        <v>32</v>
      </c>
      <c r="T2027" s="5"/>
    </row>
    <row r="2028" customFormat="false" ht="29.25" hidden="false" customHeight="true" outlineLevel="0" collapsed="false">
      <c r="A2028" s="4" t="n">
        <v>2027</v>
      </c>
      <c r="B2028" s="6" t="s">
        <v>1787</v>
      </c>
      <c r="C2028" s="6" t="s">
        <v>7227</v>
      </c>
      <c r="D2028" s="6" t="s">
        <v>7228</v>
      </c>
      <c r="E2028" s="7" t="s">
        <v>21</v>
      </c>
      <c r="F2028" s="6" t="s">
        <v>7405</v>
      </c>
      <c r="G2028" s="5" t="s">
        <v>2672</v>
      </c>
      <c r="H2028" s="5" t="s">
        <v>2680</v>
      </c>
      <c r="I2028" s="5" t="s">
        <v>2540</v>
      </c>
      <c r="J2028" s="5" t="s">
        <v>7406</v>
      </c>
      <c r="K2028" s="5"/>
      <c r="L2028" s="4" t="s">
        <v>62</v>
      </c>
      <c r="M2028" s="8" t="s">
        <v>129</v>
      </c>
      <c r="N2028" s="9" t="s">
        <v>7233</v>
      </c>
      <c r="O2028" s="5"/>
      <c r="P2028" s="5"/>
      <c r="Q2028" s="6" t="s">
        <v>30</v>
      </c>
      <c r="R2028" s="4" t="s">
        <v>31</v>
      </c>
      <c r="S2028" s="7" t="s">
        <v>32</v>
      </c>
      <c r="T2028" s="5"/>
    </row>
    <row r="2029" customFormat="false" ht="43.5" hidden="false" customHeight="true" outlineLevel="0" collapsed="false">
      <c r="A2029" s="4" t="n">
        <v>2028</v>
      </c>
      <c r="B2029" s="6" t="s">
        <v>1787</v>
      </c>
      <c r="C2029" s="6" t="s">
        <v>7227</v>
      </c>
      <c r="D2029" s="6" t="s">
        <v>7228</v>
      </c>
      <c r="E2029" s="7" t="s">
        <v>21</v>
      </c>
      <c r="F2029" s="6" t="s">
        <v>7407</v>
      </c>
      <c r="G2029" s="5" t="s">
        <v>1321</v>
      </c>
      <c r="H2029" s="5" t="s">
        <v>1226</v>
      </c>
      <c r="I2029" s="5" t="s">
        <v>1324</v>
      </c>
      <c r="J2029" s="5" t="s">
        <v>7408</v>
      </c>
      <c r="K2029" s="5"/>
      <c r="L2029" s="4" t="s">
        <v>62</v>
      </c>
      <c r="M2029" s="8" t="s">
        <v>79</v>
      </c>
      <c r="N2029" s="9" t="s">
        <v>7242</v>
      </c>
      <c r="O2029" s="5"/>
      <c r="P2029" s="5"/>
      <c r="Q2029" s="6" t="s">
        <v>30</v>
      </c>
      <c r="R2029" s="4" t="s">
        <v>31</v>
      </c>
      <c r="S2029" s="7" t="s">
        <v>32</v>
      </c>
      <c r="T2029" s="5"/>
    </row>
    <row r="2030" customFormat="false" ht="29.25" hidden="false" customHeight="true" outlineLevel="0" collapsed="false">
      <c r="A2030" s="4" t="n">
        <v>2029</v>
      </c>
      <c r="B2030" s="6" t="s">
        <v>1787</v>
      </c>
      <c r="C2030" s="6" t="s">
        <v>7227</v>
      </c>
      <c r="D2030" s="6" t="s">
        <v>7228</v>
      </c>
      <c r="E2030" s="7" t="s">
        <v>21</v>
      </c>
      <c r="F2030" s="6" t="s">
        <v>7409</v>
      </c>
      <c r="G2030" s="5" t="s">
        <v>1324</v>
      </c>
      <c r="H2030" s="5" t="s">
        <v>1327</v>
      </c>
      <c r="I2030" s="5" t="s">
        <v>2671</v>
      </c>
      <c r="J2030" s="5" t="s">
        <v>7410</v>
      </c>
      <c r="K2030" s="5"/>
      <c r="L2030" s="4" t="s">
        <v>62</v>
      </c>
      <c r="M2030" s="8" t="s">
        <v>28</v>
      </c>
      <c r="N2030" s="9" t="s">
        <v>7242</v>
      </c>
      <c r="O2030" s="5"/>
      <c r="P2030" s="5"/>
      <c r="Q2030" s="6" t="s">
        <v>30</v>
      </c>
      <c r="R2030" s="4" t="s">
        <v>31</v>
      </c>
      <c r="S2030" s="7" t="s">
        <v>32</v>
      </c>
      <c r="T2030" s="5"/>
    </row>
    <row r="2031" customFormat="false" ht="29.25" hidden="false" customHeight="true" outlineLevel="0" collapsed="false">
      <c r="A2031" s="4" t="n">
        <v>2030</v>
      </c>
      <c r="B2031" s="6" t="s">
        <v>1787</v>
      </c>
      <c r="C2031" s="6" t="s">
        <v>7227</v>
      </c>
      <c r="D2031" s="6" t="s">
        <v>7228</v>
      </c>
      <c r="E2031" s="7" t="s">
        <v>21</v>
      </c>
      <c r="F2031" s="6" t="s">
        <v>7411</v>
      </c>
      <c r="G2031" s="5" t="s">
        <v>2672</v>
      </c>
      <c r="H2031" s="5" t="s">
        <v>2680</v>
      </c>
      <c r="I2031" s="5" t="s">
        <v>2540</v>
      </c>
      <c r="J2031" s="5" t="s">
        <v>7412</v>
      </c>
      <c r="K2031" s="5"/>
      <c r="L2031" s="4" t="s">
        <v>27</v>
      </c>
      <c r="M2031" s="8" t="s">
        <v>129</v>
      </c>
      <c r="N2031" s="9" t="s">
        <v>7242</v>
      </c>
      <c r="O2031" s="5"/>
      <c r="P2031" s="5"/>
      <c r="Q2031" s="6" t="s">
        <v>30</v>
      </c>
      <c r="R2031" s="4" t="s">
        <v>31</v>
      </c>
      <c r="S2031" s="7" t="s">
        <v>32</v>
      </c>
      <c r="T2031" s="5"/>
    </row>
    <row r="2032" customFormat="false" ht="29.25" hidden="false" customHeight="true" outlineLevel="0" collapsed="false">
      <c r="A2032" s="4" t="n">
        <v>2031</v>
      </c>
      <c r="B2032" s="6" t="s">
        <v>1787</v>
      </c>
      <c r="C2032" s="6" t="s">
        <v>7227</v>
      </c>
      <c r="D2032" s="6" t="s">
        <v>7228</v>
      </c>
      <c r="E2032" s="7" t="s">
        <v>21</v>
      </c>
      <c r="F2032" s="6" t="s">
        <v>7413</v>
      </c>
      <c r="G2032" s="5" t="s">
        <v>2672</v>
      </c>
      <c r="H2032" s="5" t="s">
        <v>2680</v>
      </c>
      <c r="I2032" s="5" t="s">
        <v>2540</v>
      </c>
      <c r="J2032" s="5" t="s">
        <v>7414</v>
      </c>
      <c r="K2032" s="5"/>
      <c r="L2032" s="4" t="s">
        <v>27</v>
      </c>
      <c r="M2032" s="8" t="s">
        <v>129</v>
      </c>
      <c r="N2032" s="9" t="s">
        <v>7242</v>
      </c>
      <c r="O2032" s="5"/>
      <c r="P2032" s="5"/>
      <c r="Q2032" s="6" t="s">
        <v>30</v>
      </c>
      <c r="R2032" s="4" t="s">
        <v>31</v>
      </c>
      <c r="S2032" s="7" t="s">
        <v>32</v>
      </c>
      <c r="T2032" s="5"/>
    </row>
    <row r="2033" customFormat="false" ht="29.25" hidden="false" customHeight="true" outlineLevel="0" collapsed="false">
      <c r="A2033" s="4" t="n">
        <v>2032</v>
      </c>
      <c r="B2033" s="6" t="s">
        <v>1787</v>
      </c>
      <c r="C2033" s="6" t="s">
        <v>7227</v>
      </c>
      <c r="D2033" s="6" t="s">
        <v>7228</v>
      </c>
      <c r="E2033" s="7" t="s">
        <v>21</v>
      </c>
      <c r="F2033" s="6" t="s">
        <v>7415</v>
      </c>
      <c r="G2033" s="5" t="s">
        <v>2672</v>
      </c>
      <c r="H2033" s="5" t="s">
        <v>2680</v>
      </c>
      <c r="I2033" s="5" t="s">
        <v>2540</v>
      </c>
      <c r="J2033" s="5" t="s">
        <v>7416</v>
      </c>
      <c r="K2033" s="5"/>
      <c r="L2033" s="4" t="s">
        <v>27</v>
      </c>
      <c r="M2033" s="8" t="s">
        <v>79</v>
      </c>
      <c r="N2033" s="9" t="s">
        <v>7242</v>
      </c>
      <c r="O2033" s="5"/>
      <c r="P2033" s="5"/>
      <c r="Q2033" s="6" t="s">
        <v>30</v>
      </c>
      <c r="R2033" s="4" t="s">
        <v>31</v>
      </c>
      <c r="S2033" s="7" t="s">
        <v>32</v>
      </c>
      <c r="T2033" s="5"/>
    </row>
    <row r="2034" customFormat="false" ht="43.5" hidden="false" customHeight="true" outlineLevel="0" collapsed="false">
      <c r="A2034" s="4" t="n">
        <v>2033</v>
      </c>
      <c r="B2034" s="6" t="s">
        <v>1787</v>
      </c>
      <c r="C2034" s="6" t="s">
        <v>7227</v>
      </c>
      <c r="D2034" s="6" t="s">
        <v>7228</v>
      </c>
      <c r="E2034" s="7" t="s">
        <v>21</v>
      </c>
      <c r="F2034" s="6" t="s">
        <v>7417</v>
      </c>
      <c r="G2034" s="6" t="s">
        <v>7418</v>
      </c>
      <c r="H2034" s="6" t="s">
        <v>7419</v>
      </c>
      <c r="I2034" s="6" t="s">
        <v>7420</v>
      </c>
      <c r="J2034" s="6" t="s">
        <v>7421</v>
      </c>
      <c r="K2034" s="5"/>
      <c r="L2034" s="4" t="s">
        <v>44</v>
      </c>
      <c r="M2034" s="8" t="s">
        <v>79</v>
      </c>
      <c r="N2034" s="9" t="s">
        <v>7242</v>
      </c>
      <c r="O2034" s="5"/>
      <c r="P2034" s="5"/>
      <c r="Q2034" s="6" t="s">
        <v>30</v>
      </c>
      <c r="R2034" s="4" t="s">
        <v>31</v>
      </c>
      <c r="S2034" s="7" t="s">
        <v>32</v>
      </c>
      <c r="T2034" s="5"/>
    </row>
    <row r="2035" customFormat="false" ht="29.25" hidden="false" customHeight="true" outlineLevel="0" collapsed="false">
      <c r="A2035" s="4" t="n">
        <v>2034</v>
      </c>
      <c r="B2035" s="6" t="s">
        <v>1787</v>
      </c>
      <c r="C2035" s="6" t="s">
        <v>7227</v>
      </c>
      <c r="D2035" s="6" t="s">
        <v>7228</v>
      </c>
      <c r="E2035" s="7" t="s">
        <v>21</v>
      </c>
      <c r="F2035" s="6" t="s">
        <v>7392</v>
      </c>
      <c r="G2035" s="5" t="s">
        <v>3643</v>
      </c>
      <c r="H2035" s="5" t="s">
        <v>3642</v>
      </c>
      <c r="I2035" s="5" t="s">
        <v>2677</v>
      </c>
      <c r="J2035" s="5" t="s">
        <v>7422</v>
      </c>
      <c r="K2035" s="5"/>
      <c r="L2035" s="4" t="s">
        <v>27</v>
      </c>
      <c r="M2035" s="8" t="s">
        <v>79</v>
      </c>
      <c r="N2035" s="9" t="s">
        <v>7242</v>
      </c>
      <c r="O2035" s="5"/>
      <c r="P2035" s="5"/>
      <c r="Q2035" s="6" t="s">
        <v>30</v>
      </c>
      <c r="R2035" s="4" t="s">
        <v>31</v>
      </c>
      <c r="S2035" s="7" t="s">
        <v>32</v>
      </c>
      <c r="T2035" s="5"/>
    </row>
    <row r="2036" customFormat="false" ht="43.5" hidden="false" customHeight="true" outlineLevel="0" collapsed="false">
      <c r="A2036" s="4" t="n">
        <v>2035</v>
      </c>
      <c r="B2036" s="6" t="s">
        <v>1787</v>
      </c>
      <c r="C2036" s="6" t="s">
        <v>7227</v>
      </c>
      <c r="D2036" s="6" t="s">
        <v>7228</v>
      </c>
      <c r="E2036" s="7" t="s">
        <v>21</v>
      </c>
      <c r="F2036" s="6" t="s">
        <v>7423</v>
      </c>
      <c r="G2036" s="5" t="s">
        <v>2540</v>
      </c>
      <c r="H2036" s="5" t="s">
        <v>7424</v>
      </c>
      <c r="I2036" s="5" t="s">
        <v>2588</v>
      </c>
      <c r="J2036" s="5" t="s">
        <v>7425</v>
      </c>
      <c r="K2036" s="5"/>
      <c r="L2036" s="4" t="s">
        <v>27</v>
      </c>
      <c r="M2036" s="8" t="s">
        <v>129</v>
      </c>
      <c r="N2036" s="9" t="s">
        <v>7242</v>
      </c>
      <c r="O2036" s="5"/>
      <c r="P2036" s="5"/>
      <c r="Q2036" s="6" t="s">
        <v>30</v>
      </c>
      <c r="R2036" s="4" t="s">
        <v>31</v>
      </c>
      <c r="S2036" s="7" t="s">
        <v>32</v>
      </c>
      <c r="T2036" s="5"/>
    </row>
    <row r="2037" customFormat="false" ht="29.25" hidden="false" customHeight="true" outlineLevel="0" collapsed="false">
      <c r="A2037" s="4" t="n">
        <v>2036</v>
      </c>
      <c r="B2037" s="6" t="s">
        <v>1787</v>
      </c>
      <c r="C2037" s="6" t="s">
        <v>7227</v>
      </c>
      <c r="D2037" s="6" t="s">
        <v>7228</v>
      </c>
      <c r="E2037" s="7" t="s">
        <v>21</v>
      </c>
      <c r="F2037" s="6" t="s">
        <v>7426</v>
      </c>
      <c r="G2037" s="5" t="s">
        <v>7427</v>
      </c>
      <c r="H2037" s="5" t="s">
        <v>7401</v>
      </c>
      <c r="I2037" s="5" t="s">
        <v>7428</v>
      </c>
      <c r="J2037" s="5" t="s">
        <v>7429</v>
      </c>
      <c r="K2037" s="5"/>
      <c r="L2037" s="4" t="s">
        <v>44</v>
      </c>
      <c r="M2037" s="8" t="s">
        <v>79</v>
      </c>
      <c r="N2037" s="9" t="s">
        <v>7242</v>
      </c>
      <c r="O2037" s="5"/>
      <c r="P2037" s="5"/>
      <c r="Q2037" s="6" t="s">
        <v>30</v>
      </c>
      <c r="R2037" s="4" t="s">
        <v>31</v>
      </c>
      <c r="S2037" s="7" t="s">
        <v>32</v>
      </c>
      <c r="T2037" s="5"/>
    </row>
    <row r="2038" customFormat="false" ht="29.25" hidden="false" customHeight="true" outlineLevel="0" collapsed="false">
      <c r="A2038" s="4" t="n">
        <v>2037</v>
      </c>
      <c r="B2038" s="6" t="s">
        <v>1787</v>
      </c>
      <c r="C2038" s="6" t="s">
        <v>7227</v>
      </c>
      <c r="D2038" s="6" t="s">
        <v>7228</v>
      </c>
      <c r="E2038" s="7" t="s">
        <v>21</v>
      </c>
      <c r="F2038" s="6" t="s">
        <v>7430</v>
      </c>
      <c r="G2038" s="6" t="s">
        <v>7431</v>
      </c>
      <c r="H2038" s="6" t="s">
        <v>7432</v>
      </c>
      <c r="I2038" s="6" t="s">
        <v>7433</v>
      </c>
      <c r="J2038" s="6" t="s">
        <v>7434</v>
      </c>
      <c r="K2038" s="5"/>
      <c r="L2038" s="4" t="s">
        <v>44</v>
      </c>
      <c r="M2038" s="8" t="s">
        <v>79</v>
      </c>
      <c r="N2038" s="9" t="s">
        <v>7242</v>
      </c>
      <c r="O2038" s="5"/>
      <c r="P2038" s="5"/>
      <c r="Q2038" s="6" t="s">
        <v>30</v>
      </c>
      <c r="R2038" s="4" t="s">
        <v>31</v>
      </c>
      <c r="S2038" s="7" t="s">
        <v>32</v>
      </c>
      <c r="T2038" s="5"/>
    </row>
    <row r="2039" customFormat="false" ht="43.5" hidden="false" customHeight="true" outlineLevel="0" collapsed="false">
      <c r="A2039" s="4" t="n">
        <v>2038</v>
      </c>
      <c r="B2039" s="6" t="s">
        <v>1787</v>
      </c>
      <c r="C2039" s="6" t="s">
        <v>7227</v>
      </c>
      <c r="D2039" s="6" t="s">
        <v>7228</v>
      </c>
      <c r="E2039" s="7" t="s">
        <v>21</v>
      </c>
      <c r="F2039" s="6" t="s">
        <v>7435</v>
      </c>
      <c r="G2039" s="6" t="s">
        <v>7436</v>
      </c>
      <c r="H2039" s="6" t="s">
        <v>7437</v>
      </c>
      <c r="I2039" s="6" t="s">
        <v>7436</v>
      </c>
      <c r="J2039" s="6" t="s">
        <v>7438</v>
      </c>
      <c r="K2039" s="5"/>
      <c r="L2039" s="4" t="s">
        <v>44</v>
      </c>
      <c r="M2039" s="8" t="s">
        <v>28</v>
      </c>
      <c r="N2039" s="9" t="s">
        <v>7242</v>
      </c>
      <c r="O2039" s="5"/>
      <c r="P2039" s="5"/>
      <c r="Q2039" s="6" t="s">
        <v>30</v>
      </c>
      <c r="R2039" s="4" t="s">
        <v>31</v>
      </c>
      <c r="S2039" s="7" t="s">
        <v>32</v>
      </c>
      <c r="T2039" s="5"/>
    </row>
    <row r="2040" customFormat="false" ht="43.5" hidden="false" customHeight="true" outlineLevel="0" collapsed="false">
      <c r="A2040" s="4" t="n">
        <v>2039</v>
      </c>
      <c r="B2040" s="6" t="s">
        <v>1787</v>
      </c>
      <c r="C2040" s="6" t="s">
        <v>7227</v>
      </c>
      <c r="D2040" s="6" t="s">
        <v>7228</v>
      </c>
      <c r="E2040" s="7" t="s">
        <v>21</v>
      </c>
      <c r="F2040" s="6" t="s">
        <v>7439</v>
      </c>
      <c r="G2040" s="6" t="s">
        <v>7440</v>
      </c>
      <c r="H2040" s="6" t="s">
        <v>7441</v>
      </c>
      <c r="I2040" s="6" t="s">
        <v>7304</v>
      </c>
      <c r="J2040" s="6" t="s">
        <v>7442</v>
      </c>
      <c r="K2040" s="5"/>
      <c r="L2040" s="4" t="s">
        <v>51</v>
      </c>
      <c r="M2040" s="8" t="s">
        <v>28</v>
      </c>
      <c r="N2040" s="9" t="s">
        <v>7233</v>
      </c>
      <c r="O2040" s="5"/>
      <c r="P2040" s="5"/>
      <c r="Q2040" s="6" t="s">
        <v>30</v>
      </c>
      <c r="R2040" s="4" t="s">
        <v>31</v>
      </c>
      <c r="S2040" s="7" t="s">
        <v>32</v>
      </c>
      <c r="T2040" s="5"/>
    </row>
    <row r="2041" customFormat="false" ht="43.5" hidden="false" customHeight="true" outlineLevel="0" collapsed="false">
      <c r="A2041" s="4" t="n">
        <v>2040</v>
      </c>
      <c r="B2041" s="6" t="s">
        <v>1787</v>
      </c>
      <c r="C2041" s="6" t="s">
        <v>7227</v>
      </c>
      <c r="D2041" s="6" t="s">
        <v>7228</v>
      </c>
      <c r="E2041" s="7" t="s">
        <v>21</v>
      </c>
      <c r="F2041" s="6" t="s">
        <v>7443</v>
      </c>
      <c r="G2041" s="6" t="s">
        <v>7440</v>
      </c>
      <c r="H2041" s="6" t="s">
        <v>7441</v>
      </c>
      <c r="I2041" s="6" t="s">
        <v>7304</v>
      </c>
      <c r="J2041" s="6" t="s">
        <v>7442</v>
      </c>
      <c r="K2041" s="5"/>
      <c r="L2041" s="4" t="s">
        <v>62</v>
      </c>
      <c r="M2041" s="8" t="s">
        <v>28</v>
      </c>
      <c r="N2041" s="9" t="s">
        <v>7242</v>
      </c>
      <c r="O2041" s="5"/>
      <c r="P2041" s="5"/>
      <c r="Q2041" s="6" t="s">
        <v>30</v>
      </c>
      <c r="R2041" s="4" t="s">
        <v>31</v>
      </c>
      <c r="S2041" s="7" t="s">
        <v>32</v>
      </c>
      <c r="T2041" s="5"/>
    </row>
    <row r="2042" customFormat="false" ht="29.25" hidden="false" customHeight="true" outlineLevel="0" collapsed="false">
      <c r="A2042" s="4" t="n">
        <v>2041</v>
      </c>
      <c r="B2042" s="6" t="s">
        <v>1787</v>
      </c>
      <c r="C2042" s="6" t="s">
        <v>7227</v>
      </c>
      <c r="D2042" s="6" t="s">
        <v>7228</v>
      </c>
      <c r="E2042" s="7" t="s">
        <v>21</v>
      </c>
      <c r="F2042" s="6" t="s">
        <v>7444</v>
      </c>
      <c r="G2042" s="5" t="s">
        <v>7321</v>
      </c>
      <c r="H2042" s="5" t="s">
        <v>6642</v>
      </c>
      <c r="I2042" s="5" t="s">
        <v>7445</v>
      </c>
      <c r="J2042" s="5" t="s">
        <v>7323</v>
      </c>
      <c r="K2042" s="5"/>
      <c r="L2042" s="4" t="s">
        <v>44</v>
      </c>
      <c r="M2042" s="8" t="s">
        <v>79</v>
      </c>
      <c r="N2042" s="9" t="s">
        <v>7233</v>
      </c>
      <c r="O2042" s="5"/>
      <c r="P2042" s="5"/>
      <c r="Q2042" s="6" t="s">
        <v>30</v>
      </c>
      <c r="R2042" s="4" t="s">
        <v>31</v>
      </c>
      <c r="S2042" s="7" t="s">
        <v>32</v>
      </c>
      <c r="T2042" s="5"/>
    </row>
    <row r="2043" customFormat="false" ht="29.25" hidden="false" customHeight="true" outlineLevel="0" collapsed="false">
      <c r="A2043" s="4" t="n">
        <v>2042</v>
      </c>
      <c r="B2043" s="6" t="s">
        <v>1787</v>
      </c>
      <c r="C2043" s="6" t="s">
        <v>7227</v>
      </c>
      <c r="D2043" s="6" t="s">
        <v>7228</v>
      </c>
      <c r="E2043" s="7" t="s">
        <v>21</v>
      </c>
      <c r="F2043" s="6" t="s">
        <v>7446</v>
      </c>
      <c r="G2043" s="5" t="s">
        <v>2673</v>
      </c>
      <c r="H2043" s="5" t="s">
        <v>2672</v>
      </c>
      <c r="I2043" s="5" t="s">
        <v>1327</v>
      </c>
      <c r="J2043" s="5" t="s">
        <v>7447</v>
      </c>
      <c r="K2043" s="5"/>
      <c r="L2043" s="4" t="s">
        <v>51</v>
      </c>
      <c r="M2043" s="8" t="s">
        <v>79</v>
      </c>
      <c r="N2043" s="9" t="s">
        <v>7242</v>
      </c>
      <c r="O2043" s="5"/>
      <c r="P2043" s="5"/>
      <c r="Q2043" s="6" t="s">
        <v>30</v>
      </c>
      <c r="R2043" s="4" t="s">
        <v>31</v>
      </c>
      <c r="S2043" s="7" t="s">
        <v>32</v>
      </c>
      <c r="T2043" s="5"/>
    </row>
    <row r="2044" customFormat="false" ht="29.25" hidden="false" customHeight="true" outlineLevel="0" collapsed="false">
      <c r="A2044" s="4" t="n">
        <v>2043</v>
      </c>
      <c r="B2044" s="6" t="s">
        <v>1787</v>
      </c>
      <c r="C2044" s="6" t="s">
        <v>7227</v>
      </c>
      <c r="D2044" s="6" t="s">
        <v>7228</v>
      </c>
      <c r="E2044" s="7" t="s">
        <v>21</v>
      </c>
      <c r="F2044" s="6" t="s">
        <v>7448</v>
      </c>
      <c r="G2044" s="6" t="s">
        <v>7449</v>
      </c>
      <c r="H2044" s="6" t="s">
        <v>7450</v>
      </c>
      <c r="I2044" s="5" t="s">
        <v>7451</v>
      </c>
      <c r="J2044" s="6" t="s">
        <v>7452</v>
      </c>
      <c r="K2044" s="5"/>
      <c r="L2044" s="4" t="s">
        <v>27</v>
      </c>
      <c r="M2044" s="8" t="s">
        <v>129</v>
      </c>
      <c r="N2044" s="9" t="s">
        <v>7242</v>
      </c>
      <c r="O2044" s="5"/>
      <c r="P2044" s="5"/>
      <c r="Q2044" s="6" t="s">
        <v>30</v>
      </c>
      <c r="R2044" s="4" t="s">
        <v>31</v>
      </c>
      <c r="S2044" s="7" t="s">
        <v>32</v>
      </c>
      <c r="T2044" s="5"/>
    </row>
    <row r="2045" customFormat="false" ht="29.25" hidden="false" customHeight="true" outlineLevel="0" collapsed="false">
      <c r="A2045" s="4" t="n">
        <v>2044</v>
      </c>
      <c r="B2045" s="6" t="s">
        <v>1787</v>
      </c>
      <c r="C2045" s="6" t="s">
        <v>7227</v>
      </c>
      <c r="D2045" s="6" t="s">
        <v>7228</v>
      </c>
      <c r="E2045" s="7" t="s">
        <v>21</v>
      </c>
      <c r="F2045" s="6" t="s">
        <v>7453</v>
      </c>
      <c r="G2045" s="6" t="s">
        <v>7454</v>
      </c>
      <c r="H2045" s="6" t="s">
        <v>7455</v>
      </c>
      <c r="I2045" s="6" t="s">
        <v>7456</v>
      </c>
      <c r="J2045" s="6" t="s">
        <v>78</v>
      </c>
      <c r="K2045" s="5"/>
      <c r="L2045" s="4" t="s">
        <v>44</v>
      </c>
      <c r="M2045" s="8" t="s">
        <v>79</v>
      </c>
      <c r="N2045" s="9" t="s">
        <v>7233</v>
      </c>
      <c r="O2045" s="5"/>
      <c r="P2045" s="5"/>
      <c r="Q2045" s="6" t="s">
        <v>30</v>
      </c>
      <c r="R2045" s="4" t="s">
        <v>31</v>
      </c>
      <c r="S2045" s="7" t="s">
        <v>32</v>
      </c>
      <c r="T2045" s="5"/>
    </row>
    <row r="2046" customFormat="false" ht="29.25" hidden="false" customHeight="true" outlineLevel="0" collapsed="false">
      <c r="A2046" s="4" t="n">
        <v>2045</v>
      </c>
      <c r="B2046" s="6" t="s">
        <v>1787</v>
      </c>
      <c r="C2046" s="6" t="s">
        <v>7227</v>
      </c>
      <c r="D2046" s="6" t="s">
        <v>7228</v>
      </c>
      <c r="E2046" s="7" t="s">
        <v>21</v>
      </c>
      <c r="F2046" s="6" t="s">
        <v>7457</v>
      </c>
      <c r="G2046" s="5" t="s">
        <v>7290</v>
      </c>
      <c r="H2046" s="5" t="s">
        <v>7458</v>
      </c>
      <c r="I2046" s="5" t="s">
        <v>7289</v>
      </c>
      <c r="J2046" s="5" t="s">
        <v>7459</v>
      </c>
      <c r="K2046" s="5"/>
      <c r="L2046" s="4" t="s">
        <v>51</v>
      </c>
      <c r="M2046" s="8" t="s">
        <v>79</v>
      </c>
      <c r="N2046" s="9" t="s">
        <v>7242</v>
      </c>
      <c r="O2046" s="5"/>
      <c r="P2046" s="5"/>
      <c r="Q2046" s="6" t="s">
        <v>30</v>
      </c>
      <c r="R2046" s="4" t="s">
        <v>31</v>
      </c>
      <c r="S2046" s="7" t="s">
        <v>32</v>
      </c>
      <c r="T2046" s="5"/>
    </row>
    <row r="2047" customFormat="false" ht="29.25" hidden="false" customHeight="true" outlineLevel="0" collapsed="false">
      <c r="A2047" s="4" t="n">
        <v>2046</v>
      </c>
      <c r="B2047" s="6" t="s">
        <v>1787</v>
      </c>
      <c r="C2047" s="6" t="s">
        <v>7227</v>
      </c>
      <c r="D2047" s="6" t="s">
        <v>7228</v>
      </c>
      <c r="E2047" s="7" t="s">
        <v>21</v>
      </c>
      <c r="F2047" s="6" t="s">
        <v>7460</v>
      </c>
      <c r="G2047" s="5" t="s">
        <v>1327</v>
      </c>
      <c r="H2047" s="5" t="s">
        <v>2677</v>
      </c>
      <c r="I2047" s="5" t="s">
        <v>2672</v>
      </c>
      <c r="J2047" s="5" t="s">
        <v>7461</v>
      </c>
      <c r="K2047" s="5"/>
      <c r="L2047" s="4" t="s">
        <v>62</v>
      </c>
      <c r="M2047" s="8" t="s">
        <v>129</v>
      </c>
      <c r="N2047" s="9" t="s">
        <v>7233</v>
      </c>
      <c r="O2047" s="5"/>
      <c r="P2047" s="5"/>
      <c r="Q2047" s="6" t="s">
        <v>30</v>
      </c>
      <c r="R2047" s="4" t="s">
        <v>31</v>
      </c>
      <c r="S2047" s="7" t="s">
        <v>32</v>
      </c>
      <c r="T2047" s="5"/>
    </row>
    <row r="2048" customFormat="false" ht="29.25" hidden="false" customHeight="true" outlineLevel="0" collapsed="false">
      <c r="A2048" s="4" t="n">
        <v>2047</v>
      </c>
      <c r="B2048" s="6" t="s">
        <v>1787</v>
      </c>
      <c r="C2048" s="6" t="s">
        <v>7227</v>
      </c>
      <c r="D2048" s="6" t="s">
        <v>7228</v>
      </c>
      <c r="E2048" s="7" t="s">
        <v>21</v>
      </c>
      <c r="F2048" s="6" t="s">
        <v>7462</v>
      </c>
      <c r="G2048" s="5" t="s">
        <v>1327</v>
      </c>
      <c r="H2048" s="5" t="s">
        <v>2677</v>
      </c>
      <c r="I2048" s="5" t="s">
        <v>2672</v>
      </c>
      <c r="J2048" s="5" t="s">
        <v>7463</v>
      </c>
      <c r="K2048" s="5"/>
      <c r="L2048" s="4" t="s">
        <v>51</v>
      </c>
      <c r="M2048" s="8" t="s">
        <v>129</v>
      </c>
      <c r="N2048" s="9" t="s">
        <v>7233</v>
      </c>
      <c r="O2048" s="5"/>
      <c r="P2048" s="5"/>
      <c r="Q2048" s="6" t="s">
        <v>30</v>
      </c>
      <c r="R2048" s="4" t="s">
        <v>31</v>
      </c>
      <c r="S2048" s="7" t="s">
        <v>32</v>
      </c>
      <c r="T2048" s="5"/>
    </row>
    <row r="2049" customFormat="false" ht="29.25" hidden="false" customHeight="true" outlineLevel="0" collapsed="false">
      <c r="A2049" s="4" t="n">
        <v>2048</v>
      </c>
      <c r="B2049" s="6" t="s">
        <v>1787</v>
      </c>
      <c r="C2049" s="6" t="s">
        <v>7227</v>
      </c>
      <c r="D2049" s="6" t="s">
        <v>7228</v>
      </c>
      <c r="E2049" s="7" t="s">
        <v>21</v>
      </c>
      <c r="F2049" s="6" t="s">
        <v>7464</v>
      </c>
      <c r="G2049" s="5" t="s">
        <v>2547</v>
      </c>
      <c r="H2049" s="5" t="s">
        <v>1321</v>
      </c>
      <c r="I2049" s="5" t="s">
        <v>1226</v>
      </c>
      <c r="J2049" s="5" t="s">
        <v>7465</v>
      </c>
      <c r="K2049" s="5"/>
      <c r="L2049" s="4" t="s">
        <v>51</v>
      </c>
      <c r="M2049" s="8" t="s">
        <v>79</v>
      </c>
      <c r="N2049" s="9" t="s">
        <v>7233</v>
      </c>
      <c r="O2049" s="5"/>
      <c r="P2049" s="5"/>
      <c r="Q2049" s="6" t="s">
        <v>30</v>
      </c>
      <c r="R2049" s="4" t="s">
        <v>31</v>
      </c>
      <c r="S2049" s="7" t="s">
        <v>32</v>
      </c>
      <c r="T2049" s="5"/>
    </row>
    <row r="2050" customFormat="false" ht="29.25" hidden="false" customHeight="true" outlineLevel="0" collapsed="false">
      <c r="A2050" s="4" t="n">
        <v>2049</v>
      </c>
      <c r="B2050" s="6" t="s">
        <v>1787</v>
      </c>
      <c r="C2050" s="6" t="s">
        <v>7227</v>
      </c>
      <c r="D2050" s="6" t="s">
        <v>7228</v>
      </c>
      <c r="E2050" s="7" t="s">
        <v>21</v>
      </c>
      <c r="F2050" s="6" t="s">
        <v>7466</v>
      </c>
      <c r="G2050" s="5" t="s">
        <v>3643</v>
      </c>
      <c r="H2050" s="5" t="s">
        <v>2580</v>
      </c>
      <c r="I2050" s="5" t="s">
        <v>2671</v>
      </c>
      <c r="J2050" s="5" t="s">
        <v>7467</v>
      </c>
      <c r="K2050" s="5"/>
      <c r="L2050" s="4" t="s">
        <v>44</v>
      </c>
      <c r="M2050" s="8" t="s">
        <v>129</v>
      </c>
      <c r="N2050" s="9" t="s">
        <v>7233</v>
      </c>
      <c r="O2050" s="5"/>
      <c r="P2050" s="5"/>
      <c r="Q2050" s="6" t="s">
        <v>30</v>
      </c>
      <c r="R2050" s="4" t="s">
        <v>31</v>
      </c>
      <c r="S2050" s="7" t="s">
        <v>32</v>
      </c>
      <c r="T2050" s="5"/>
    </row>
    <row r="2051" customFormat="false" ht="29.25" hidden="false" customHeight="true" outlineLevel="0" collapsed="false">
      <c r="A2051" s="4" t="n">
        <v>2050</v>
      </c>
      <c r="B2051" s="6" t="s">
        <v>1787</v>
      </c>
      <c r="C2051" s="6" t="s">
        <v>7227</v>
      </c>
      <c r="D2051" s="6" t="s">
        <v>7228</v>
      </c>
      <c r="E2051" s="7" t="s">
        <v>21</v>
      </c>
      <c r="F2051" s="6" t="s">
        <v>7468</v>
      </c>
      <c r="G2051" s="5" t="s">
        <v>2547</v>
      </c>
      <c r="H2051" s="5" t="s">
        <v>1321</v>
      </c>
      <c r="I2051" s="5" t="s">
        <v>1226</v>
      </c>
      <c r="J2051" s="5" t="s">
        <v>7469</v>
      </c>
      <c r="K2051" s="5"/>
      <c r="L2051" s="4" t="s">
        <v>51</v>
      </c>
      <c r="M2051" s="8" t="s">
        <v>79</v>
      </c>
      <c r="N2051" s="9" t="s">
        <v>7233</v>
      </c>
      <c r="O2051" s="5"/>
      <c r="P2051" s="5"/>
      <c r="Q2051" s="6" t="s">
        <v>30</v>
      </c>
      <c r="R2051" s="4" t="s">
        <v>31</v>
      </c>
      <c r="S2051" s="7" t="s">
        <v>32</v>
      </c>
      <c r="T2051" s="5"/>
    </row>
    <row r="2052" customFormat="false" ht="29.25" hidden="false" customHeight="true" outlineLevel="0" collapsed="false">
      <c r="A2052" s="4" t="n">
        <v>2051</v>
      </c>
      <c r="B2052" s="6" t="s">
        <v>1787</v>
      </c>
      <c r="C2052" s="6" t="s">
        <v>7227</v>
      </c>
      <c r="D2052" s="6" t="s">
        <v>7228</v>
      </c>
      <c r="E2052" s="7" t="s">
        <v>21</v>
      </c>
      <c r="F2052" s="6" t="s">
        <v>7470</v>
      </c>
      <c r="G2052" s="5" t="s">
        <v>7471</v>
      </c>
      <c r="H2052" s="5" t="s">
        <v>6070</v>
      </c>
      <c r="I2052" s="5" t="s">
        <v>176</v>
      </c>
      <c r="J2052" s="5" t="s">
        <v>7472</v>
      </c>
      <c r="K2052" s="5"/>
      <c r="L2052" s="4" t="s">
        <v>51</v>
      </c>
      <c r="M2052" s="8" t="s">
        <v>129</v>
      </c>
      <c r="N2052" s="9" t="s">
        <v>7233</v>
      </c>
      <c r="O2052" s="5"/>
      <c r="P2052" s="5"/>
      <c r="Q2052" s="6" t="s">
        <v>30</v>
      </c>
      <c r="R2052" s="4" t="s">
        <v>31</v>
      </c>
      <c r="S2052" s="7" t="s">
        <v>32</v>
      </c>
      <c r="T2052" s="5"/>
    </row>
    <row r="2053" customFormat="false" ht="29.25" hidden="false" customHeight="true" outlineLevel="0" collapsed="false">
      <c r="A2053" s="4" t="n">
        <v>2052</v>
      </c>
      <c r="B2053" s="6" t="s">
        <v>1787</v>
      </c>
      <c r="C2053" s="6" t="s">
        <v>7227</v>
      </c>
      <c r="D2053" s="6" t="s">
        <v>7228</v>
      </c>
      <c r="E2053" s="7" t="s">
        <v>21</v>
      </c>
      <c r="F2053" s="6" t="s">
        <v>7473</v>
      </c>
      <c r="G2053" s="5" t="s">
        <v>7471</v>
      </c>
      <c r="H2053" s="5" t="s">
        <v>6070</v>
      </c>
      <c r="I2053" s="5" t="s">
        <v>176</v>
      </c>
      <c r="J2053" s="5" t="s">
        <v>7472</v>
      </c>
      <c r="K2053" s="5"/>
      <c r="L2053" s="4" t="s">
        <v>27</v>
      </c>
      <c r="M2053" s="8" t="s">
        <v>129</v>
      </c>
      <c r="N2053" s="9" t="s">
        <v>7233</v>
      </c>
      <c r="O2053" s="5"/>
      <c r="P2053" s="5"/>
      <c r="Q2053" s="6" t="s">
        <v>30</v>
      </c>
      <c r="R2053" s="4" t="s">
        <v>31</v>
      </c>
      <c r="S2053" s="7" t="s">
        <v>32</v>
      </c>
      <c r="T2053" s="5"/>
    </row>
    <row r="2054" customFormat="false" ht="29.25" hidden="false" customHeight="true" outlineLevel="0" collapsed="false">
      <c r="A2054" s="4" t="n">
        <v>2053</v>
      </c>
      <c r="B2054" s="6" t="s">
        <v>1787</v>
      </c>
      <c r="C2054" s="6" t="s">
        <v>7227</v>
      </c>
      <c r="D2054" s="6" t="s">
        <v>7228</v>
      </c>
      <c r="E2054" s="7" t="s">
        <v>21</v>
      </c>
      <c r="F2054" s="6" t="s">
        <v>7474</v>
      </c>
      <c r="G2054" s="5" t="s">
        <v>2673</v>
      </c>
      <c r="H2054" s="5" t="s">
        <v>2680</v>
      </c>
      <c r="I2054" s="5" t="s">
        <v>2540</v>
      </c>
      <c r="J2054" s="5" t="s">
        <v>7263</v>
      </c>
      <c r="K2054" s="5"/>
      <c r="L2054" s="4" t="s">
        <v>51</v>
      </c>
      <c r="M2054" s="8" t="s">
        <v>129</v>
      </c>
      <c r="N2054" s="9" t="s">
        <v>7233</v>
      </c>
      <c r="O2054" s="5"/>
      <c r="P2054" s="5"/>
      <c r="Q2054" s="6" t="s">
        <v>30</v>
      </c>
      <c r="R2054" s="4" t="s">
        <v>31</v>
      </c>
      <c r="S2054" s="7" t="s">
        <v>32</v>
      </c>
      <c r="T2054" s="5"/>
    </row>
    <row r="2055" customFormat="false" ht="29.25" hidden="false" customHeight="true" outlineLevel="0" collapsed="false">
      <c r="A2055" s="4" t="n">
        <v>2054</v>
      </c>
      <c r="B2055" s="6" t="s">
        <v>1787</v>
      </c>
      <c r="C2055" s="6" t="s">
        <v>7227</v>
      </c>
      <c r="D2055" s="6" t="s">
        <v>7228</v>
      </c>
      <c r="E2055" s="7" t="s">
        <v>21</v>
      </c>
      <c r="F2055" s="6" t="s">
        <v>7475</v>
      </c>
      <c r="G2055" s="5" t="s">
        <v>2673</v>
      </c>
      <c r="H2055" s="5" t="s">
        <v>2680</v>
      </c>
      <c r="I2055" s="5" t="s">
        <v>2540</v>
      </c>
      <c r="J2055" s="5" t="s">
        <v>7263</v>
      </c>
      <c r="K2055" s="5"/>
      <c r="L2055" s="4" t="s">
        <v>62</v>
      </c>
      <c r="M2055" s="8" t="s">
        <v>129</v>
      </c>
      <c r="N2055" s="9" t="s">
        <v>7233</v>
      </c>
      <c r="O2055" s="5"/>
      <c r="P2055" s="5"/>
      <c r="Q2055" s="6" t="s">
        <v>30</v>
      </c>
      <c r="R2055" s="4" t="s">
        <v>31</v>
      </c>
      <c r="S2055" s="7" t="s">
        <v>32</v>
      </c>
      <c r="T2055" s="5"/>
    </row>
    <row r="2056" customFormat="false" ht="29.25" hidden="false" customHeight="true" outlineLevel="0" collapsed="false">
      <c r="A2056" s="4" t="n">
        <v>2055</v>
      </c>
      <c r="B2056" s="6" t="s">
        <v>1787</v>
      </c>
      <c r="C2056" s="6" t="s">
        <v>7227</v>
      </c>
      <c r="D2056" s="6" t="s">
        <v>7228</v>
      </c>
      <c r="E2056" s="7" t="s">
        <v>21</v>
      </c>
      <c r="F2056" s="6" t="s">
        <v>7476</v>
      </c>
      <c r="G2056" s="5" t="s">
        <v>2673</v>
      </c>
      <c r="H2056" s="5" t="s">
        <v>2680</v>
      </c>
      <c r="I2056" s="5" t="s">
        <v>2540</v>
      </c>
      <c r="J2056" s="5" t="s">
        <v>7263</v>
      </c>
      <c r="K2056" s="5"/>
      <c r="L2056" s="4" t="s">
        <v>27</v>
      </c>
      <c r="M2056" s="8" t="s">
        <v>129</v>
      </c>
      <c r="N2056" s="9" t="s">
        <v>7233</v>
      </c>
      <c r="O2056" s="5"/>
      <c r="P2056" s="5"/>
      <c r="Q2056" s="6" t="s">
        <v>30</v>
      </c>
      <c r="R2056" s="4" t="s">
        <v>31</v>
      </c>
      <c r="S2056" s="7" t="s">
        <v>32</v>
      </c>
      <c r="T2056" s="5"/>
    </row>
    <row r="2057" customFormat="false" ht="29.25" hidden="false" customHeight="true" outlineLevel="0" collapsed="false">
      <c r="A2057" s="4" t="n">
        <v>2056</v>
      </c>
      <c r="B2057" s="6" t="s">
        <v>1787</v>
      </c>
      <c r="C2057" s="6" t="s">
        <v>7227</v>
      </c>
      <c r="D2057" s="6" t="s">
        <v>7228</v>
      </c>
      <c r="E2057" s="7" t="s">
        <v>21</v>
      </c>
      <c r="F2057" s="6" t="s">
        <v>7477</v>
      </c>
      <c r="G2057" s="5" t="s">
        <v>2673</v>
      </c>
      <c r="H2057" s="5" t="s">
        <v>2680</v>
      </c>
      <c r="I2057" s="5" t="s">
        <v>2540</v>
      </c>
      <c r="J2057" s="5" t="s">
        <v>7263</v>
      </c>
      <c r="K2057" s="5"/>
      <c r="L2057" s="4" t="s">
        <v>44</v>
      </c>
      <c r="M2057" s="8" t="s">
        <v>129</v>
      </c>
      <c r="N2057" s="9" t="s">
        <v>7233</v>
      </c>
      <c r="O2057" s="5"/>
      <c r="P2057" s="5"/>
      <c r="Q2057" s="6" t="s">
        <v>30</v>
      </c>
      <c r="R2057" s="4" t="s">
        <v>31</v>
      </c>
      <c r="S2057" s="7" t="s">
        <v>32</v>
      </c>
      <c r="T2057" s="5"/>
    </row>
    <row r="2058" customFormat="false" ht="29.25" hidden="false" customHeight="true" outlineLevel="0" collapsed="false">
      <c r="A2058" s="4" t="n">
        <v>2057</v>
      </c>
      <c r="B2058" s="6" t="s">
        <v>1787</v>
      </c>
      <c r="C2058" s="6" t="s">
        <v>7227</v>
      </c>
      <c r="D2058" s="6" t="s">
        <v>7228</v>
      </c>
      <c r="E2058" s="7" t="s">
        <v>21</v>
      </c>
      <c r="F2058" s="6" t="s">
        <v>7478</v>
      </c>
      <c r="G2058" s="5" t="s">
        <v>5940</v>
      </c>
      <c r="H2058" s="5" t="s">
        <v>5938</v>
      </c>
      <c r="I2058" s="5" t="s">
        <v>7334</v>
      </c>
      <c r="J2058" s="5" t="s">
        <v>7479</v>
      </c>
      <c r="K2058" s="5"/>
      <c r="L2058" s="4" t="s">
        <v>62</v>
      </c>
      <c r="M2058" s="8" t="s">
        <v>79</v>
      </c>
      <c r="N2058" s="9" t="s">
        <v>7233</v>
      </c>
      <c r="O2058" s="5"/>
      <c r="P2058" s="5"/>
      <c r="Q2058" s="6" t="s">
        <v>30</v>
      </c>
      <c r="R2058" s="4" t="s">
        <v>31</v>
      </c>
      <c r="S2058" s="7" t="s">
        <v>32</v>
      </c>
      <c r="T2058" s="5"/>
    </row>
    <row r="2059" customFormat="false" ht="29.25" hidden="false" customHeight="true" outlineLevel="0" collapsed="false">
      <c r="A2059" s="4" t="n">
        <v>2058</v>
      </c>
      <c r="B2059" s="6" t="s">
        <v>1787</v>
      </c>
      <c r="C2059" s="6" t="s">
        <v>7227</v>
      </c>
      <c r="D2059" s="6" t="s">
        <v>7228</v>
      </c>
      <c r="E2059" s="7" t="s">
        <v>21</v>
      </c>
      <c r="F2059" s="6" t="s">
        <v>7480</v>
      </c>
      <c r="G2059" s="5" t="s">
        <v>7481</v>
      </c>
      <c r="H2059" s="5" t="s">
        <v>1321</v>
      </c>
      <c r="I2059" s="5" t="s">
        <v>7482</v>
      </c>
      <c r="J2059" s="5" t="s">
        <v>7345</v>
      </c>
      <c r="K2059" s="5"/>
      <c r="L2059" s="4" t="s">
        <v>27</v>
      </c>
      <c r="M2059" s="8" t="s">
        <v>79</v>
      </c>
      <c r="N2059" s="9" t="s">
        <v>7233</v>
      </c>
      <c r="O2059" s="5"/>
      <c r="P2059" s="5"/>
      <c r="Q2059" s="6" t="s">
        <v>30</v>
      </c>
      <c r="R2059" s="4" t="s">
        <v>31</v>
      </c>
      <c r="S2059" s="7" t="s">
        <v>32</v>
      </c>
      <c r="T2059" s="5"/>
    </row>
    <row r="2060" customFormat="false" ht="29.25" hidden="false" customHeight="true" outlineLevel="0" collapsed="false">
      <c r="A2060" s="4" t="n">
        <v>2059</v>
      </c>
      <c r="B2060" s="6" t="s">
        <v>1787</v>
      </c>
      <c r="C2060" s="6" t="s">
        <v>7227</v>
      </c>
      <c r="D2060" s="6" t="s">
        <v>7228</v>
      </c>
      <c r="E2060" s="7" t="s">
        <v>21</v>
      </c>
      <c r="F2060" s="6" t="s">
        <v>7483</v>
      </c>
      <c r="G2060" s="5" t="s">
        <v>1235</v>
      </c>
      <c r="H2060" s="5" t="s">
        <v>1224</v>
      </c>
      <c r="I2060" s="5" t="s">
        <v>164</v>
      </c>
      <c r="J2060" s="5" t="s">
        <v>7484</v>
      </c>
      <c r="K2060" s="5"/>
      <c r="L2060" s="4" t="s">
        <v>51</v>
      </c>
      <c r="M2060" s="8" t="s">
        <v>129</v>
      </c>
      <c r="N2060" s="9" t="s">
        <v>7233</v>
      </c>
      <c r="O2060" s="5"/>
      <c r="P2060" s="5"/>
      <c r="Q2060" s="6" t="s">
        <v>30</v>
      </c>
      <c r="R2060" s="4" t="s">
        <v>31</v>
      </c>
      <c r="S2060" s="7" t="s">
        <v>32</v>
      </c>
      <c r="T2060" s="5"/>
    </row>
    <row r="2061" customFormat="false" ht="29.25" hidden="false" customHeight="true" outlineLevel="0" collapsed="false">
      <c r="A2061" s="4" t="n">
        <v>2060</v>
      </c>
      <c r="B2061" s="6" t="s">
        <v>1787</v>
      </c>
      <c r="C2061" s="6" t="s">
        <v>7227</v>
      </c>
      <c r="D2061" s="6" t="s">
        <v>7228</v>
      </c>
      <c r="E2061" s="7" t="s">
        <v>21</v>
      </c>
      <c r="F2061" s="6" t="s">
        <v>7485</v>
      </c>
      <c r="G2061" s="5" t="s">
        <v>7481</v>
      </c>
      <c r="H2061" s="5" t="s">
        <v>1321</v>
      </c>
      <c r="I2061" s="5" t="s">
        <v>7482</v>
      </c>
      <c r="J2061" s="5" t="s">
        <v>7345</v>
      </c>
      <c r="K2061" s="5"/>
      <c r="L2061" s="4" t="s">
        <v>27</v>
      </c>
      <c r="M2061" s="8" t="s">
        <v>79</v>
      </c>
      <c r="N2061" s="9" t="s">
        <v>7233</v>
      </c>
      <c r="O2061" s="5"/>
      <c r="P2061" s="5"/>
      <c r="Q2061" s="6" t="s">
        <v>30</v>
      </c>
      <c r="R2061" s="4" t="s">
        <v>31</v>
      </c>
      <c r="S2061" s="7" t="s">
        <v>32</v>
      </c>
      <c r="T2061" s="5"/>
    </row>
    <row r="2062" customFormat="false" ht="29.25" hidden="false" customHeight="true" outlineLevel="0" collapsed="false">
      <c r="A2062" s="4" t="n">
        <v>2061</v>
      </c>
      <c r="B2062" s="6" t="s">
        <v>1787</v>
      </c>
      <c r="C2062" s="6" t="s">
        <v>7227</v>
      </c>
      <c r="D2062" s="6" t="s">
        <v>7228</v>
      </c>
      <c r="E2062" s="7" t="s">
        <v>21</v>
      </c>
      <c r="F2062" s="6" t="s">
        <v>7486</v>
      </c>
      <c r="G2062" s="5" t="s">
        <v>7481</v>
      </c>
      <c r="H2062" s="5" t="s">
        <v>1321</v>
      </c>
      <c r="I2062" s="5" t="s">
        <v>7482</v>
      </c>
      <c r="J2062" s="5" t="s">
        <v>7345</v>
      </c>
      <c r="K2062" s="5"/>
      <c r="L2062" s="4" t="s">
        <v>27</v>
      </c>
      <c r="M2062" s="8" t="s">
        <v>79</v>
      </c>
      <c r="N2062" s="9" t="s">
        <v>7233</v>
      </c>
      <c r="O2062" s="5"/>
      <c r="P2062" s="5"/>
      <c r="Q2062" s="6" t="s">
        <v>30</v>
      </c>
      <c r="R2062" s="4" t="s">
        <v>31</v>
      </c>
      <c r="S2062" s="7" t="s">
        <v>32</v>
      </c>
      <c r="T2062" s="5"/>
    </row>
    <row r="2063" customFormat="false" ht="29.25" hidden="false" customHeight="true" outlineLevel="0" collapsed="false">
      <c r="A2063" s="4" t="n">
        <v>2062</v>
      </c>
      <c r="B2063" s="6" t="s">
        <v>1787</v>
      </c>
      <c r="C2063" s="6" t="s">
        <v>7227</v>
      </c>
      <c r="D2063" s="6" t="s">
        <v>7228</v>
      </c>
      <c r="E2063" s="7" t="s">
        <v>21</v>
      </c>
      <c r="F2063" s="6" t="s">
        <v>7487</v>
      </c>
      <c r="G2063" s="5" t="s">
        <v>7481</v>
      </c>
      <c r="H2063" s="5" t="s">
        <v>1321</v>
      </c>
      <c r="I2063" s="5" t="s">
        <v>7482</v>
      </c>
      <c r="J2063" s="5" t="s">
        <v>7345</v>
      </c>
      <c r="K2063" s="5"/>
      <c r="L2063" s="4" t="s">
        <v>27</v>
      </c>
      <c r="M2063" s="8" t="s">
        <v>79</v>
      </c>
      <c r="N2063" s="9" t="s">
        <v>7233</v>
      </c>
      <c r="O2063" s="5"/>
      <c r="P2063" s="5"/>
      <c r="Q2063" s="6" t="s">
        <v>30</v>
      </c>
      <c r="R2063" s="4" t="s">
        <v>31</v>
      </c>
      <c r="S2063" s="7" t="s">
        <v>32</v>
      </c>
      <c r="T2063" s="5"/>
    </row>
    <row r="2064" customFormat="false" ht="29.25" hidden="false" customHeight="true" outlineLevel="0" collapsed="false">
      <c r="A2064" s="4" t="n">
        <v>2063</v>
      </c>
      <c r="B2064" s="6" t="s">
        <v>1787</v>
      </c>
      <c r="C2064" s="6" t="s">
        <v>7227</v>
      </c>
      <c r="D2064" s="6" t="s">
        <v>7228</v>
      </c>
      <c r="E2064" s="7" t="s">
        <v>21</v>
      </c>
      <c r="F2064" s="6" t="s">
        <v>7488</v>
      </c>
      <c r="G2064" s="5" t="s">
        <v>7481</v>
      </c>
      <c r="H2064" s="5" t="s">
        <v>1321</v>
      </c>
      <c r="I2064" s="5" t="s">
        <v>7482</v>
      </c>
      <c r="J2064" s="5" t="s">
        <v>7345</v>
      </c>
      <c r="K2064" s="5"/>
      <c r="L2064" s="4" t="s">
        <v>27</v>
      </c>
      <c r="M2064" s="8" t="s">
        <v>79</v>
      </c>
      <c r="N2064" s="9" t="s">
        <v>7233</v>
      </c>
      <c r="O2064" s="5"/>
      <c r="P2064" s="5"/>
      <c r="Q2064" s="6" t="s">
        <v>30</v>
      </c>
      <c r="R2064" s="4" t="s">
        <v>31</v>
      </c>
      <c r="S2064" s="7" t="s">
        <v>32</v>
      </c>
      <c r="T2064" s="5"/>
    </row>
    <row r="2065" customFormat="false" ht="29.25" hidden="false" customHeight="true" outlineLevel="0" collapsed="false">
      <c r="A2065" s="4" t="n">
        <v>2064</v>
      </c>
      <c r="B2065" s="6" t="s">
        <v>1787</v>
      </c>
      <c r="C2065" s="6" t="s">
        <v>7227</v>
      </c>
      <c r="D2065" s="6" t="s">
        <v>7228</v>
      </c>
      <c r="E2065" s="7" t="s">
        <v>21</v>
      </c>
      <c r="F2065" s="6" t="s">
        <v>7489</v>
      </c>
      <c r="G2065" s="5" t="s">
        <v>7481</v>
      </c>
      <c r="H2065" s="5" t="s">
        <v>1321</v>
      </c>
      <c r="I2065" s="5" t="s">
        <v>7482</v>
      </c>
      <c r="J2065" s="5" t="s">
        <v>7345</v>
      </c>
      <c r="K2065" s="5"/>
      <c r="L2065" s="4" t="s">
        <v>27</v>
      </c>
      <c r="M2065" s="8" t="s">
        <v>79</v>
      </c>
      <c r="N2065" s="9" t="s">
        <v>7233</v>
      </c>
      <c r="O2065" s="5"/>
      <c r="P2065" s="5"/>
      <c r="Q2065" s="6" t="s">
        <v>30</v>
      </c>
      <c r="R2065" s="4" t="s">
        <v>31</v>
      </c>
      <c r="S2065" s="7" t="s">
        <v>32</v>
      </c>
      <c r="T2065" s="5"/>
    </row>
    <row r="2066" customFormat="false" ht="29.25" hidden="false" customHeight="true" outlineLevel="0" collapsed="false">
      <c r="A2066" s="4" t="n">
        <v>2065</v>
      </c>
      <c r="B2066" s="6" t="s">
        <v>1787</v>
      </c>
      <c r="C2066" s="6" t="s">
        <v>7227</v>
      </c>
      <c r="D2066" s="6" t="s">
        <v>7228</v>
      </c>
      <c r="E2066" s="7" t="s">
        <v>21</v>
      </c>
      <c r="F2066" s="6" t="s">
        <v>7490</v>
      </c>
      <c r="G2066" s="5" t="s">
        <v>7481</v>
      </c>
      <c r="H2066" s="5" t="s">
        <v>1321</v>
      </c>
      <c r="I2066" s="5" t="s">
        <v>7482</v>
      </c>
      <c r="J2066" s="5" t="s">
        <v>7345</v>
      </c>
      <c r="K2066" s="5"/>
      <c r="L2066" s="4" t="s">
        <v>27</v>
      </c>
      <c r="M2066" s="8" t="s">
        <v>79</v>
      </c>
      <c r="N2066" s="9" t="s">
        <v>7233</v>
      </c>
      <c r="O2066" s="5"/>
      <c r="P2066" s="5"/>
      <c r="Q2066" s="6" t="s">
        <v>30</v>
      </c>
      <c r="R2066" s="4" t="s">
        <v>31</v>
      </c>
      <c r="S2066" s="7" t="s">
        <v>32</v>
      </c>
      <c r="T2066" s="5"/>
    </row>
    <row r="2067" customFormat="false" ht="29.25" hidden="false" customHeight="true" outlineLevel="0" collapsed="false">
      <c r="A2067" s="4" t="n">
        <v>2066</v>
      </c>
      <c r="B2067" s="6" t="s">
        <v>1787</v>
      </c>
      <c r="C2067" s="6" t="s">
        <v>7227</v>
      </c>
      <c r="D2067" s="6" t="s">
        <v>7228</v>
      </c>
      <c r="E2067" s="7" t="s">
        <v>21</v>
      </c>
      <c r="F2067" s="6" t="s">
        <v>7491</v>
      </c>
      <c r="G2067" s="5" t="s">
        <v>7481</v>
      </c>
      <c r="H2067" s="5" t="s">
        <v>1321</v>
      </c>
      <c r="I2067" s="5" t="s">
        <v>7482</v>
      </c>
      <c r="J2067" s="5" t="s">
        <v>7345</v>
      </c>
      <c r="K2067" s="5"/>
      <c r="L2067" s="4" t="s">
        <v>27</v>
      </c>
      <c r="M2067" s="8" t="s">
        <v>79</v>
      </c>
      <c r="N2067" s="9" t="s">
        <v>7233</v>
      </c>
      <c r="O2067" s="5"/>
      <c r="P2067" s="5"/>
      <c r="Q2067" s="6" t="s">
        <v>30</v>
      </c>
      <c r="R2067" s="4" t="s">
        <v>31</v>
      </c>
      <c r="S2067" s="7" t="s">
        <v>32</v>
      </c>
      <c r="T2067" s="5"/>
    </row>
    <row r="2068" customFormat="false" ht="29.25" hidden="false" customHeight="true" outlineLevel="0" collapsed="false">
      <c r="A2068" s="4" t="n">
        <v>2067</v>
      </c>
      <c r="B2068" s="6" t="s">
        <v>1787</v>
      </c>
      <c r="C2068" s="6" t="s">
        <v>7227</v>
      </c>
      <c r="D2068" s="6" t="s">
        <v>7228</v>
      </c>
      <c r="E2068" s="7" t="s">
        <v>21</v>
      </c>
      <c r="F2068" s="6" t="s">
        <v>7492</v>
      </c>
      <c r="G2068" s="5" t="s">
        <v>7481</v>
      </c>
      <c r="H2068" s="5" t="s">
        <v>1321</v>
      </c>
      <c r="I2068" s="5" t="s">
        <v>7482</v>
      </c>
      <c r="J2068" s="5" t="s">
        <v>7345</v>
      </c>
      <c r="K2068" s="5"/>
      <c r="L2068" s="4" t="s">
        <v>27</v>
      </c>
      <c r="M2068" s="8" t="s">
        <v>79</v>
      </c>
      <c r="N2068" s="9" t="s">
        <v>7233</v>
      </c>
      <c r="O2068" s="5"/>
      <c r="P2068" s="5"/>
      <c r="Q2068" s="6" t="s">
        <v>30</v>
      </c>
      <c r="R2068" s="4" t="s">
        <v>31</v>
      </c>
      <c r="S2068" s="7" t="s">
        <v>32</v>
      </c>
      <c r="T2068" s="5"/>
    </row>
    <row r="2069" customFormat="false" ht="29.25" hidden="false" customHeight="true" outlineLevel="0" collapsed="false">
      <c r="A2069" s="4" t="n">
        <v>2068</v>
      </c>
      <c r="B2069" s="6" t="s">
        <v>1787</v>
      </c>
      <c r="C2069" s="6" t="s">
        <v>7227</v>
      </c>
      <c r="D2069" s="6" t="s">
        <v>7228</v>
      </c>
      <c r="E2069" s="7" t="s">
        <v>21</v>
      </c>
      <c r="F2069" s="6" t="s">
        <v>7493</v>
      </c>
      <c r="G2069" s="6" t="s">
        <v>7494</v>
      </c>
      <c r="H2069" s="6" t="s">
        <v>7495</v>
      </c>
      <c r="I2069" s="6" t="s">
        <v>7496</v>
      </c>
      <c r="J2069" s="6" t="s">
        <v>78</v>
      </c>
      <c r="K2069" s="5"/>
      <c r="L2069" s="4" t="s">
        <v>44</v>
      </c>
      <c r="M2069" s="8" t="s">
        <v>79</v>
      </c>
      <c r="N2069" s="9" t="s">
        <v>7233</v>
      </c>
      <c r="O2069" s="5"/>
      <c r="P2069" s="5"/>
      <c r="Q2069" s="6" t="s">
        <v>30</v>
      </c>
      <c r="R2069" s="4" t="s">
        <v>31</v>
      </c>
      <c r="S2069" s="7" t="s">
        <v>32</v>
      </c>
      <c r="T2069" s="5"/>
    </row>
    <row r="2070" customFormat="false" ht="29.25" hidden="false" customHeight="true" outlineLevel="0" collapsed="false">
      <c r="A2070" s="4" t="n">
        <v>2069</v>
      </c>
      <c r="B2070" s="6" t="s">
        <v>1787</v>
      </c>
      <c r="C2070" s="6" t="s">
        <v>7227</v>
      </c>
      <c r="D2070" s="6" t="s">
        <v>7228</v>
      </c>
      <c r="E2070" s="7" t="s">
        <v>21</v>
      </c>
      <c r="F2070" s="6" t="s">
        <v>7497</v>
      </c>
      <c r="G2070" s="5" t="s">
        <v>7498</v>
      </c>
      <c r="H2070" s="5" t="s">
        <v>7499</v>
      </c>
      <c r="I2070" s="5" t="s">
        <v>7500</v>
      </c>
      <c r="J2070" s="5" t="s">
        <v>7501</v>
      </c>
      <c r="K2070" s="5"/>
      <c r="L2070" s="4" t="s">
        <v>27</v>
      </c>
      <c r="M2070" s="8" t="s">
        <v>79</v>
      </c>
      <c r="N2070" s="9" t="s">
        <v>7233</v>
      </c>
      <c r="O2070" s="5"/>
      <c r="P2070" s="5"/>
      <c r="Q2070" s="6" t="s">
        <v>30</v>
      </c>
      <c r="R2070" s="4" t="s">
        <v>31</v>
      </c>
      <c r="S2070" s="7" t="s">
        <v>32</v>
      </c>
      <c r="T2070" s="5"/>
    </row>
    <row r="2071" customFormat="false" ht="29.25" hidden="false" customHeight="true" outlineLevel="0" collapsed="false">
      <c r="A2071" s="4" t="n">
        <v>2070</v>
      </c>
      <c r="B2071" s="6" t="s">
        <v>1787</v>
      </c>
      <c r="C2071" s="6" t="s">
        <v>7227</v>
      </c>
      <c r="D2071" s="6" t="s">
        <v>7228</v>
      </c>
      <c r="E2071" s="7" t="s">
        <v>21</v>
      </c>
      <c r="F2071" s="6" t="s">
        <v>7502</v>
      </c>
      <c r="G2071" s="5" t="s">
        <v>7503</v>
      </c>
      <c r="H2071" s="5" t="s">
        <v>7504</v>
      </c>
      <c r="I2071" s="5" t="s">
        <v>7505</v>
      </c>
      <c r="J2071" s="5" t="s">
        <v>7506</v>
      </c>
      <c r="K2071" s="5"/>
      <c r="L2071" s="4" t="s">
        <v>62</v>
      </c>
      <c r="M2071" s="8" t="s">
        <v>129</v>
      </c>
      <c r="N2071" s="9" t="s">
        <v>7233</v>
      </c>
      <c r="O2071" s="5"/>
      <c r="P2071" s="5"/>
      <c r="Q2071" s="6" t="s">
        <v>30</v>
      </c>
      <c r="R2071" s="4" t="s">
        <v>31</v>
      </c>
      <c r="S2071" s="7" t="s">
        <v>32</v>
      </c>
      <c r="T2071" s="5"/>
    </row>
    <row r="2072" customFormat="false" ht="29.25" hidden="false" customHeight="true" outlineLevel="0" collapsed="false">
      <c r="A2072" s="4" t="n">
        <v>2071</v>
      </c>
      <c r="B2072" s="6" t="s">
        <v>1787</v>
      </c>
      <c r="C2072" s="6" t="s">
        <v>7227</v>
      </c>
      <c r="D2072" s="6" t="s">
        <v>7228</v>
      </c>
      <c r="E2072" s="7" t="s">
        <v>21</v>
      </c>
      <c r="F2072" s="6" t="s">
        <v>7507</v>
      </c>
      <c r="G2072" s="5" t="s">
        <v>6055</v>
      </c>
      <c r="H2072" s="5" t="s">
        <v>7481</v>
      </c>
      <c r="I2072" s="5" t="s">
        <v>1321</v>
      </c>
      <c r="J2072" s="5" t="s">
        <v>7508</v>
      </c>
      <c r="K2072" s="5"/>
      <c r="L2072" s="4" t="s">
        <v>27</v>
      </c>
      <c r="M2072" s="8" t="s">
        <v>28</v>
      </c>
      <c r="N2072" s="9" t="s">
        <v>7233</v>
      </c>
      <c r="O2072" s="5"/>
      <c r="P2072" s="5"/>
      <c r="Q2072" s="6" t="s">
        <v>30</v>
      </c>
      <c r="R2072" s="4" t="s">
        <v>31</v>
      </c>
      <c r="S2072" s="7" t="s">
        <v>32</v>
      </c>
      <c r="T2072" s="5"/>
    </row>
    <row r="2073" customFormat="false" ht="43.5" hidden="false" customHeight="true" outlineLevel="0" collapsed="false">
      <c r="A2073" s="4" t="n">
        <v>2072</v>
      </c>
      <c r="B2073" s="6" t="s">
        <v>1787</v>
      </c>
      <c r="C2073" s="6" t="s">
        <v>7227</v>
      </c>
      <c r="D2073" s="6" t="s">
        <v>7228</v>
      </c>
      <c r="E2073" s="7" t="s">
        <v>21</v>
      </c>
      <c r="F2073" s="6" t="s">
        <v>7509</v>
      </c>
      <c r="G2073" s="6" t="s">
        <v>7510</v>
      </c>
      <c r="H2073" s="6" t="s">
        <v>7511</v>
      </c>
      <c r="I2073" s="6" t="s">
        <v>7512</v>
      </c>
      <c r="J2073" s="6" t="s">
        <v>7513</v>
      </c>
      <c r="K2073" s="5"/>
      <c r="L2073" s="4" t="s">
        <v>51</v>
      </c>
      <c r="M2073" s="8" t="s">
        <v>129</v>
      </c>
      <c r="N2073" s="9" t="s">
        <v>7233</v>
      </c>
      <c r="O2073" s="5"/>
      <c r="P2073" s="5"/>
      <c r="Q2073" s="6" t="s">
        <v>30</v>
      </c>
      <c r="R2073" s="4" t="s">
        <v>31</v>
      </c>
      <c r="S2073" s="7" t="s">
        <v>32</v>
      </c>
      <c r="T2073" s="5"/>
    </row>
    <row r="2074" customFormat="false" ht="29.25" hidden="false" customHeight="true" outlineLevel="0" collapsed="false">
      <c r="A2074" s="4" t="n">
        <v>2073</v>
      </c>
      <c r="B2074" s="6" t="s">
        <v>1787</v>
      </c>
      <c r="C2074" s="6" t="s">
        <v>7227</v>
      </c>
      <c r="D2074" s="6" t="s">
        <v>7228</v>
      </c>
      <c r="E2074" s="7" t="s">
        <v>21</v>
      </c>
      <c r="F2074" s="6" t="s">
        <v>7514</v>
      </c>
      <c r="G2074" s="6" t="s">
        <v>7515</v>
      </c>
      <c r="H2074" s="6" t="s">
        <v>7516</v>
      </c>
      <c r="I2074" s="6" t="s">
        <v>7517</v>
      </c>
      <c r="J2074" s="6" t="s">
        <v>7518</v>
      </c>
      <c r="K2074" s="5"/>
      <c r="L2074" s="4" t="s">
        <v>44</v>
      </c>
      <c r="M2074" s="8" t="s">
        <v>79</v>
      </c>
      <c r="N2074" s="9" t="s">
        <v>7233</v>
      </c>
      <c r="O2074" s="5"/>
      <c r="P2074" s="5"/>
      <c r="Q2074" s="6" t="s">
        <v>30</v>
      </c>
      <c r="R2074" s="4" t="s">
        <v>31</v>
      </c>
      <c r="S2074" s="7" t="s">
        <v>32</v>
      </c>
      <c r="T2074" s="5"/>
    </row>
    <row r="2075" customFormat="false" ht="29.25" hidden="false" customHeight="true" outlineLevel="0" collapsed="false">
      <c r="A2075" s="4" t="n">
        <v>2074</v>
      </c>
      <c r="B2075" s="6" t="s">
        <v>1787</v>
      </c>
      <c r="C2075" s="6" t="s">
        <v>7227</v>
      </c>
      <c r="D2075" s="6" t="s">
        <v>7228</v>
      </c>
      <c r="E2075" s="7" t="s">
        <v>21</v>
      </c>
      <c r="F2075" s="6" t="s">
        <v>7519</v>
      </c>
      <c r="G2075" s="5" t="s">
        <v>7520</v>
      </c>
      <c r="H2075" s="5" t="s">
        <v>1327</v>
      </c>
      <c r="I2075" s="5" t="s">
        <v>3642</v>
      </c>
      <c r="J2075" s="5" t="s">
        <v>7521</v>
      </c>
      <c r="K2075" s="5"/>
      <c r="L2075" s="4" t="s">
        <v>62</v>
      </c>
      <c r="M2075" s="8" t="s">
        <v>79</v>
      </c>
      <c r="N2075" s="9" t="s">
        <v>7233</v>
      </c>
      <c r="O2075" s="5"/>
      <c r="P2075" s="5"/>
      <c r="Q2075" s="6" t="s">
        <v>30</v>
      </c>
      <c r="R2075" s="4" t="s">
        <v>31</v>
      </c>
      <c r="S2075" s="7" t="s">
        <v>32</v>
      </c>
      <c r="T2075" s="5"/>
    </row>
    <row r="2076" customFormat="false" ht="29.25" hidden="false" customHeight="true" outlineLevel="0" collapsed="false">
      <c r="A2076" s="4" t="n">
        <v>2075</v>
      </c>
      <c r="B2076" s="6" t="s">
        <v>1787</v>
      </c>
      <c r="C2076" s="6" t="s">
        <v>7227</v>
      </c>
      <c r="D2076" s="6" t="s">
        <v>7228</v>
      </c>
      <c r="E2076" s="7" t="s">
        <v>21</v>
      </c>
      <c r="F2076" s="6" t="s">
        <v>7522</v>
      </c>
      <c r="G2076" s="5" t="s">
        <v>7520</v>
      </c>
      <c r="H2076" s="5" t="s">
        <v>1327</v>
      </c>
      <c r="I2076" s="5" t="s">
        <v>3642</v>
      </c>
      <c r="J2076" s="5" t="s">
        <v>7521</v>
      </c>
      <c r="K2076" s="5"/>
      <c r="L2076" s="4" t="s">
        <v>27</v>
      </c>
      <c r="M2076" s="8" t="s">
        <v>79</v>
      </c>
      <c r="N2076" s="9" t="s">
        <v>7233</v>
      </c>
      <c r="O2076" s="5"/>
      <c r="P2076" s="5"/>
      <c r="Q2076" s="6" t="s">
        <v>30</v>
      </c>
      <c r="R2076" s="4" t="s">
        <v>31</v>
      </c>
      <c r="S2076" s="7" t="s">
        <v>32</v>
      </c>
      <c r="T2076" s="5"/>
    </row>
    <row r="2077" customFormat="false" ht="29.25" hidden="false" customHeight="true" outlineLevel="0" collapsed="false">
      <c r="A2077" s="4" t="n">
        <v>2076</v>
      </c>
      <c r="B2077" s="6" t="s">
        <v>1787</v>
      </c>
      <c r="C2077" s="6" t="s">
        <v>7227</v>
      </c>
      <c r="D2077" s="6" t="s">
        <v>7228</v>
      </c>
      <c r="E2077" s="7" t="s">
        <v>21</v>
      </c>
      <c r="F2077" s="6" t="s">
        <v>7523</v>
      </c>
      <c r="G2077" s="5" t="s">
        <v>7520</v>
      </c>
      <c r="H2077" s="5" t="s">
        <v>1327</v>
      </c>
      <c r="I2077" s="5" t="s">
        <v>3642</v>
      </c>
      <c r="J2077" s="5" t="s">
        <v>7521</v>
      </c>
      <c r="K2077" s="5"/>
      <c r="L2077" s="4" t="s">
        <v>44</v>
      </c>
      <c r="M2077" s="8" t="s">
        <v>79</v>
      </c>
      <c r="N2077" s="9" t="s">
        <v>7233</v>
      </c>
      <c r="O2077" s="5"/>
      <c r="P2077" s="5"/>
      <c r="Q2077" s="6" t="s">
        <v>30</v>
      </c>
      <c r="R2077" s="4" t="s">
        <v>31</v>
      </c>
      <c r="S2077" s="7" t="s">
        <v>32</v>
      </c>
      <c r="T2077" s="5"/>
    </row>
    <row r="2078" customFormat="false" ht="29.25" hidden="false" customHeight="true" outlineLevel="0" collapsed="false">
      <c r="A2078" s="4" t="n">
        <v>2077</v>
      </c>
      <c r="B2078" s="6" t="s">
        <v>1787</v>
      </c>
      <c r="C2078" s="6" t="s">
        <v>7227</v>
      </c>
      <c r="D2078" s="6" t="s">
        <v>7228</v>
      </c>
      <c r="E2078" s="7" t="s">
        <v>21</v>
      </c>
      <c r="F2078" s="6" t="s">
        <v>7524</v>
      </c>
      <c r="G2078" s="5" t="s">
        <v>7520</v>
      </c>
      <c r="H2078" s="5" t="s">
        <v>1327</v>
      </c>
      <c r="I2078" s="5" t="s">
        <v>3642</v>
      </c>
      <c r="J2078" s="5" t="s">
        <v>7521</v>
      </c>
      <c r="K2078" s="5"/>
      <c r="L2078" s="4" t="s">
        <v>44</v>
      </c>
      <c r="M2078" s="8" t="s">
        <v>79</v>
      </c>
      <c r="N2078" s="9" t="s">
        <v>7233</v>
      </c>
      <c r="O2078" s="5"/>
      <c r="P2078" s="5"/>
      <c r="Q2078" s="6" t="s">
        <v>30</v>
      </c>
      <c r="R2078" s="4" t="s">
        <v>31</v>
      </c>
      <c r="S2078" s="7" t="s">
        <v>32</v>
      </c>
      <c r="T2078" s="5"/>
    </row>
    <row r="2079" customFormat="false" ht="29.25" hidden="false" customHeight="true" outlineLevel="0" collapsed="false">
      <c r="A2079" s="4" t="n">
        <v>2078</v>
      </c>
      <c r="B2079" s="6" t="s">
        <v>1787</v>
      </c>
      <c r="C2079" s="6" t="s">
        <v>7227</v>
      </c>
      <c r="D2079" s="6" t="s">
        <v>7228</v>
      </c>
      <c r="E2079" s="7" t="s">
        <v>21</v>
      </c>
      <c r="F2079" s="6" t="s">
        <v>7525</v>
      </c>
      <c r="G2079" s="5" t="s">
        <v>2671</v>
      </c>
      <c r="H2079" s="5" t="s">
        <v>7526</v>
      </c>
      <c r="I2079" s="5" t="s">
        <v>2678</v>
      </c>
      <c r="J2079" s="5" t="s">
        <v>7527</v>
      </c>
      <c r="K2079" s="5"/>
      <c r="L2079" s="4" t="s">
        <v>62</v>
      </c>
      <c r="M2079" s="8" t="s">
        <v>79</v>
      </c>
      <c r="N2079" s="9" t="s">
        <v>7233</v>
      </c>
      <c r="O2079" s="5"/>
      <c r="P2079" s="5"/>
      <c r="Q2079" s="6" t="s">
        <v>30</v>
      </c>
      <c r="R2079" s="4" t="s">
        <v>31</v>
      </c>
      <c r="S2079" s="7" t="s">
        <v>32</v>
      </c>
      <c r="T2079" s="5"/>
    </row>
    <row r="2080" customFormat="false" ht="29.25" hidden="false" customHeight="true" outlineLevel="0" collapsed="false">
      <c r="A2080" s="4" t="n">
        <v>2079</v>
      </c>
      <c r="B2080" s="6" t="s">
        <v>1787</v>
      </c>
      <c r="C2080" s="6" t="s">
        <v>7227</v>
      </c>
      <c r="D2080" s="6" t="s">
        <v>7228</v>
      </c>
      <c r="E2080" s="7" t="s">
        <v>21</v>
      </c>
      <c r="F2080" s="6" t="s">
        <v>7528</v>
      </c>
      <c r="G2080" s="5" t="s">
        <v>2671</v>
      </c>
      <c r="H2080" s="5" t="s">
        <v>7526</v>
      </c>
      <c r="I2080" s="5" t="s">
        <v>2678</v>
      </c>
      <c r="J2080" s="5" t="s">
        <v>7527</v>
      </c>
      <c r="K2080" s="5"/>
      <c r="L2080" s="4" t="s">
        <v>62</v>
      </c>
      <c r="M2080" s="8" t="s">
        <v>79</v>
      </c>
      <c r="N2080" s="9" t="s">
        <v>7233</v>
      </c>
      <c r="O2080" s="5"/>
      <c r="P2080" s="5"/>
      <c r="Q2080" s="6" t="s">
        <v>30</v>
      </c>
      <c r="R2080" s="4" t="s">
        <v>31</v>
      </c>
      <c r="S2080" s="7" t="s">
        <v>32</v>
      </c>
      <c r="T2080" s="5"/>
    </row>
    <row r="2081" customFormat="false" ht="29.25" hidden="false" customHeight="true" outlineLevel="0" collapsed="false">
      <c r="A2081" s="4" t="n">
        <v>2080</v>
      </c>
      <c r="B2081" s="6" t="s">
        <v>1787</v>
      </c>
      <c r="C2081" s="6" t="s">
        <v>7227</v>
      </c>
      <c r="D2081" s="6" t="s">
        <v>7228</v>
      </c>
      <c r="E2081" s="7" t="s">
        <v>21</v>
      </c>
      <c r="F2081" s="6" t="s">
        <v>7529</v>
      </c>
      <c r="G2081" s="5" t="s">
        <v>2671</v>
      </c>
      <c r="H2081" s="5" t="s">
        <v>7526</v>
      </c>
      <c r="I2081" s="5" t="s">
        <v>2678</v>
      </c>
      <c r="J2081" s="5" t="s">
        <v>7527</v>
      </c>
      <c r="K2081" s="5"/>
      <c r="L2081" s="4" t="s">
        <v>27</v>
      </c>
      <c r="M2081" s="8" t="s">
        <v>79</v>
      </c>
      <c r="N2081" s="9" t="s">
        <v>7233</v>
      </c>
      <c r="O2081" s="5"/>
      <c r="P2081" s="5"/>
      <c r="Q2081" s="6" t="s">
        <v>30</v>
      </c>
      <c r="R2081" s="4" t="s">
        <v>31</v>
      </c>
      <c r="S2081" s="7" t="s">
        <v>32</v>
      </c>
      <c r="T2081" s="5"/>
    </row>
    <row r="2082" customFormat="false" ht="29.25" hidden="false" customHeight="true" outlineLevel="0" collapsed="false">
      <c r="A2082" s="4" t="n">
        <v>2081</v>
      </c>
      <c r="B2082" s="6" t="s">
        <v>1787</v>
      </c>
      <c r="C2082" s="6" t="s">
        <v>7227</v>
      </c>
      <c r="D2082" s="6" t="s">
        <v>7228</v>
      </c>
      <c r="E2082" s="7" t="s">
        <v>21</v>
      </c>
      <c r="F2082" s="6" t="s">
        <v>7530</v>
      </c>
      <c r="G2082" s="5" t="s">
        <v>2671</v>
      </c>
      <c r="H2082" s="5" t="s">
        <v>7526</v>
      </c>
      <c r="I2082" s="5" t="s">
        <v>2678</v>
      </c>
      <c r="J2082" s="5" t="s">
        <v>7527</v>
      </c>
      <c r="K2082" s="5"/>
      <c r="L2082" s="4" t="s">
        <v>44</v>
      </c>
      <c r="M2082" s="8" t="s">
        <v>79</v>
      </c>
      <c r="N2082" s="9" t="s">
        <v>7233</v>
      </c>
      <c r="O2082" s="5"/>
      <c r="P2082" s="5"/>
      <c r="Q2082" s="6" t="s">
        <v>30</v>
      </c>
      <c r="R2082" s="4" t="s">
        <v>31</v>
      </c>
      <c r="S2082" s="7" t="s">
        <v>32</v>
      </c>
      <c r="T2082" s="5"/>
    </row>
    <row r="2083" customFormat="false" ht="29.25" hidden="false" customHeight="true" outlineLevel="0" collapsed="false">
      <c r="A2083" s="4" t="n">
        <v>2082</v>
      </c>
      <c r="B2083" s="6" t="s">
        <v>1787</v>
      </c>
      <c r="C2083" s="6" t="s">
        <v>7227</v>
      </c>
      <c r="D2083" s="6" t="s">
        <v>7228</v>
      </c>
      <c r="E2083" s="7" t="s">
        <v>21</v>
      </c>
      <c r="F2083" s="6" t="s">
        <v>7531</v>
      </c>
      <c r="G2083" s="5" t="s">
        <v>7532</v>
      </c>
      <c r="H2083" s="5" t="s">
        <v>7533</v>
      </c>
      <c r="I2083" s="5" t="s">
        <v>7534</v>
      </c>
      <c r="J2083" s="5" t="s">
        <v>7535</v>
      </c>
      <c r="K2083" s="5"/>
      <c r="L2083" s="4" t="s">
        <v>51</v>
      </c>
      <c r="M2083" s="8" t="s">
        <v>79</v>
      </c>
      <c r="N2083" s="9" t="s">
        <v>7233</v>
      </c>
      <c r="O2083" s="5"/>
      <c r="P2083" s="5"/>
      <c r="Q2083" s="6" t="s">
        <v>30</v>
      </c>
      <c r="R2083" s="4" t="s">
        <v>31</v>
      </c>
      <c r="S2083" s="7" t="s">
        <v>32</v>
      </c>
      <c r="T2083" s="5"/>
    </row>
    <row r="2084" customFormat="false" ht="29.25" hidden="false" customHeight="true" outlineLevel="0" collapsed="false">
      <c r="A2084" s="4" t="n">
        <v>2083</v>
      </c>
      <c r="B2084" s="6" t="s">
        <v>1787</v>
      </c>
      <c r="C2084" s="6" t="s">
        <v>7227</v>
      </c>
      <c r="D2084" s="6" t="s">
        <v>7228</v>
      </c>
      <c r="E2084" s="7" t="s">
        <v>21</v>
      </c>
      <c r="F2084" s="6" t="s">
        <v>7536</v>
      </c>
      <c r="G2084" s="5" t="s">
        <v>7533</v>
      </c>
      <c r="H2084" s="5" t="s">
        <v>7534</v>
      </c>
      <c r="I2084" s="5" t="s">
        <v>7537</v>
      </c>
      <c r="J2084" s="5" t="s">
        <v>7538</v>
      </c>
      <c r="K2084" s="5"/>
      <c r="L2084" s="4" t="s">
        <v>51</v>
      </c>
      <c r="M2084" s="8" t="s">
        <v>79</v>
      </c>
      <c r="N2084" s="9" t="s">
        <v>7233</v>
      </c>
      <c r="O2084" s="5"/>
      <c r="P2084" s="5"/>
      <c r="Q2084" s="6" t="s">
        <v>30</v>
      </c>
      <c r="R2084" s="4" t="s">
        <v>31</v>
      </c>
      <c r="S2084" s="7" t="s">
        <v>32</v>
      </c>
      <c r="T2084" s="5"/>
    </row>
    <row r="2085" customFormat="false" ht="29.25" hidden="false" customHeight="true" outlineLevel="0" collapsed="false">
      <c r="A2085" s="4" t="n">
        <v>2084</v>
      </c>
      <c r="B2085" s="6" t="s">
        <v>1787</v>
      </c>
      <c r="C2085" s="6" t="s">
        <v>7227</v>
      </c>
      <c r="D2085" s="6" t="s">
        <v>7228</v>
      </c>
      <c r="E2085" s="7" t="s">
        <v>21</v>
      </c>
      <c r="F2085" s="6" t="s">
        <v>7539</v>
      </c>
      <c r="G2085" s="5" t="s">
        <v>7533</v>
      </c>
      <c r="H2085" s="5" t="s">
        <v>7534</v>
      </c>
      <c r="I2085" s="5" t="s">
        <v>7537</v>
      </c>
      <c r="J2085" s="5" t="s">
        <v>7538</v>
      </c>
      <c r="K2085" s="5"/>
      <c r="L2085" s="4" t="s">
        <v>62</v>
      </c>
      <c r="M2085" s="8" t="s">
        <v>28</v>
      </c>
      <c r="N2085" s="9" t="s">
        <v>7233</v>
      </c>
      <c r="O2085" s="5"/>
      <c r="P2085" s="5"/>
      <c r="Q2085" s="6" t="s">
        <v>30</v>
      </c>
      <c r="R2085" s="4" t="s">
        <v>31</v>
      </c>
      <c r="S2085" s="7" t="s">
        <v>32</v>
      </c>
      <c r="T2085" s="5"/>
    </row>
    <row r="2086" customFormat="false" ht="29.25" hidden="false" customHeight="true" outlineLevel="0" collapsed="false">
      <c r="A2086" s="4" t="n">
        <v>2085</v>
      </c>
      <c r="B2086" s="6" t="s">
        <v>1787</v>
      </c>
      <c r="C2086" s="6" t="s">
        <v>7227</v>
      </c>
      <c r="D2086" s="6" t="s">
        <v>7228</v>
      </c>
      <c r="E2086" s="7" t="s">
        <v>21</v>
      </c>
      <c r="F2086" s="6" t="s">
        <v>7540</v>
      </c>
      <c r="G2086" s="5" t="s">
        <v>7533</v>
      </c>
      <c r="H2086" s="5" t="s">
        <v>7534</v>
      </c>
      <c r="I2086" s="5" t="s">
        <v>7537</v>
      </c>
      <c r="J2086" s="5" t="s">
        <v>7538</v>
      </c>
      <c r="K2086" s="5"/>
      <c r="L2086" s="4" t="s">
        <v>27</v>
      </c>
      <c r="M2086" s="8" t="s">
        <v>28</v>
      </c>
      <c r="N2086" s="9" t="s">
        <v>7233</v>
      </c>
      <c r="O2086" s="5"/>
      <c r="P2086" s="5"/>
      <c r="Q2086" s="6" t="s">
        <v>30</v>
      </c>
      <c r="R2086" s="4" t="s">
        <v>31</v>
      </c>
      <c r="S2086" s="7" t="s">
        <v>32</v>
      </c>
      <c r="T2086" s="5"/>
    </row>
    <row r="2087" customFormat="false" ht="29.25" hidden="false" customHeight="true" outlineLevel="0" collapsed="false">
      <c r="A2087" s="4" t="n">
        <v>2086</v>
      </c>
      <c r="B2087" s="6" t="s">
        <v>1787</v>
      </c>
      <c r="C2087" s="6" t="s">
        <v>7227</v>
      </c>
      <c r="D2087" s="6" t="s">
        <v>7228</v>
      </c>
      <c r="E2087" s="7" t="s">
        <v>21</v>
      </c>
      <c r="F2087" s="6" t="s">
        <v>7541</v>
      </c>
      <c r="G2087" s="5" t="s">
        <v>7533</v>
      </c>
      <c r="H2087" s="5" t="s">
        <v>7534</v>
      </c>
      <c r="I2087" s="5" t="s">
        <v>7537</v>
      </c>
      <c r="J2087" s="5" t="s">
        <v>7538</v>
      </c>
      <c r="K2087" s="5"/>
      <c r="L2087" s="4" t="s">
        <v>44</v>
      </c>
      <c r="M2087" s="8" t="s">
        <v>28</v>
      </c>
      <c r="N2087" s="9" t="s">
        <v>7233</v>
      </c>
      <c r="O2087" s="5"/>
      <c r="P2087" s="5"/>
      <c r="Q2087" s="6" t="s">
        <v>30</v>
      </c>
      <c r="R2087" s="4" t="s">
        <v>31</v>
      </c>
      <c r="S2087" s="7" t="s">
        <v>32</v>
      </c>
      <c r="T2087" s="5"/>
    </row>
    <row r="2088" customFormat="false" ht="29.25" hidden="false" customHeight="true" outlineLevel="0" collapsed="false">
      <c r="A2088" s="4" t="n">
        <v>2087</v>
      </c>
      <c r="B2088" s="6" t="s">
        <v>1787</v>
      </c>
      <c r="C2088" s="6" t="s">
        <v>7227</v>
      </c>
      <c r="D2088" s="6" t="s">
        <v>7228</v>
      </c>
      <c r="E2088" s="7" t="s">
        <v>21</v>
      </c>
      <c r="F2088" s="6" t="s">
        <v>7542</v>
      </c>
      <c r="G2088" s="5" t="s">
        <v>3643</v>
      </c>
      <c r="H2088" s="5" t="s">
        <v>1327</v>
      </c>
      <c r="I2088" s="5" t="s">
        <v>3642</v>
      </c>
      <c r="J2088" s="5" t="s">
        <v>7543</v>
      </c>
      <c r="K2088" s="5"/>
      <c r="L2088" s="4" t="s">
        <v>62</v>
      </c>
      <c r="M2088" s="8" t="s">
        <v>79</v>
      </c>
      <c r="N2088" s="9" t="s">
        <v>7233</v>
      </c>
      <c r="O2088" s="5"/>
      <c r="P2088" s="5"/>
      <c r="Q2088" s="6" t="s">
        <v>30</v>
      </c>
      <c r="R2088" s="4" t="s">
        <v>31</v>
      </c>
      <c r="S2088" s="7" t="s">
        <v>32</v>
      </c>
      <c r="T2088" s="5"/>
    </row>
    <row r="2089" customFormat="false" ht="29.25" hidden="false" customHeight="true" outlineLevel="0" collapsed="false">
      <c r="A2089" s="4" t="n">
        <v>2088</v>
      </c>
      <c r="B2089" s="6" t="s">
        <v>1787</v>
      </c>
      <c r="C2089" s="6" t="s">
        <v>7227</v>
      </c>
      <c r="D2089" s="6" t="s">
        <v>7228</v>
      </c>
      <c r="E2089" s="7" t="s">
        <v>21</v>
      </c>
      <c r="F2089" s="6" t="s">
        <v>7544</v>
      </c>
      <c r="G2089" s="5" t="s">
        <v>3643</v>
      </c>
      <c r="H2089" s="5" t="s">
        <v>1327</v>
      </c>
      <c r="I2089" s="5" t="s">
        <v>3642</v>
      </c>
      <c r="J2089" s="5" t="s">
        <v>7521</v>
      </c>
      <c r="K2089" s="5"/>
      <c r="L2089" s="4" t="s">
        <v>27</v>
      </c>
      <c r="M2089" s="8" t="s">
        <v>79</v>
      </c>
      <c r="N2089" s="9" t="s">
        <v>7233</v>
      </c>
      <c r="O2089" s="5"/>
      <c r="P2089" s="5"/>
      <c r="Q2089" s="6" t="s">
        <v>30</v>
      </c>
      <c r="R2089" s="4" t="s">
        <v>31</v>
      </c>
      <c r="S2089" s="7" t="s">
        <v>32</v>
      </c>
      <c r="T2089" s="5"/>
    </row>
    <row r="2090" customFormat="false" ht="29.25" hidden="false" customHeight="true" outlineLevel="0" collapsed="false">
      <c r="A2090" s="4" t="n">
        <v>2089</v>
      </c>
      <c r="B2090" s="6" t="s">
        <v>1787</v>
      </c>
      <c r="C2090" s="6" t="s">
        <v>7227</v>
      </c>
      <c r="D2090" s="6" t="s">
        <v>7228</v>
      </c>
      <c r="E2090" s="7" t="s">
        <v>21</v>
      </c>
      <c r="F2090" s="6" t="s">
        <v>7545</v>
      </c>
      <c r="G2090" s="5" t="s">
        <v>3643</v>
      </c>
      <c r="H2090" s="5" t="s">
        <v>1327</v>
      </c>
      <c r="I2090" s="5" t="s">
        <v>3642</v>
      </c>
      <c r="J2090" s="5" t="s">
        <v>7521</v>
      </c>
      <c r="K2090" s="5"/>
      <c r="L2090" s="4" t="s">
        <v>44</v>
      </c>
      <c r="M2090" s="8" t="s">
        <v>79</v>
      </c>
      <c r="N2090" s="9" t="s">
        <v>7233</v>
      </c>
      <c r="O2090" s="5"/>
      <c r="P2090" s="5"/>
      <c r="Q2090" s="6" t="s">
        <v>30</v>
      </c>
      <c r="R2090" s="4" t="s">
        <v>31</v>
      </c>
      <c r="S2090" s="7" t="s">
        <v>32</v>
      </c>
      <c r="T2090" s="5"/>
    </row>
    <row r="2091" customFormat="false" ht="29.25" hidden="false" customHeight="true" outlineLevel="0" collapsed="false">
      <c r="A2091" s="4" t="n">
        <v>2090</v>
      </c>
      <c r="B2091" s="6" t="s">
        <v>1787</v>
      </c>
      <c r="C2091" s="6" t="s">
        <v>7227</v>
      </c>
      <c r="D2091" s="6" t="s">
        <v>7228</v>
      </c>
      <c r="E2091" s="7" t="s">
        <v>21</v>
      </c>
      <c r="F2091" s="6" t="s">
        <v>7546</v>
      </c>
      <c r="G2091" s="5" t="s">
        <v>3642</v>
      </c>
      <c r="H2091" s="5" t="s">
        <v>2677</v>
      </c>
      <c r="I2091" s="5" t="s">
        <v>2673</v>
      </c>
      <c r="J2091" s="5" t="s">
        <v>7547</v>
      </c>
      <c r="K2091" s="5"/>
      <c r="L2091" s="4" t="s">
        <v>62</v>
      </c>
      <c r="M2091" s="8" t="s">
        <v>79</v>
      </c>
      <c r="N2091" s="9" t="s">
        <v>7233</v>
      </c>
      <c r="O2091" s="5"/>
      <c r="P2091" s="5"/>
      <c r="Q2091" s="6" t="s">
        <v>30</v>
      </c>
      <c r="R2091" s="4" t="s">
        <v>31</v>
      </c>
      <c r="S2091" s="7" t="s">
        <v>32</v>
      </c>
      <c r="T2091" s="5"/>
    </row>
    <row r="2092" customFormat="false" ht="29.25" hidden="false" customHeight="true" outlineLevel="0" collapsed="false">
      <c r="A2092" s="4" t="n">
        <v>2091</v>
      </c>
      <c r="B2092" s="6" t="s">
        <v>1787</v>
      </c>
      <c r="C2092" s="6" t="s">
        <v>7227</v>
      </c>
      <c r="D2092" s="6" t="s">
        <v>7228</v>
      </c>
      <c r="E2092" s="7" t="s">
        <v>21</v>
      </c>
      <c r="F2092" s="6" t="s">
        <v>7548</v>
      </c>
      <c r="G2092" s="5" t="s">
        <v>3642</v>
      </c>
      <c r="H2092" s="5" t="s">
        <v>2671</v>
      </c>
      <c r="I2092" s="5" t="s">
        <v>2673</v>
      </c>
      <c r="J2092" s="5" t="s">
        <v>7547</v>
      </c>
      <c r="K2092" s="5"/>
      <c r="L2092" s="4" t="s">
        <v>27</v>
      </c>
      <c r="M2092" s="8" t="s">
        <v>79</v>
      </c>
      <c r="N2092" s="9" t="s">
        <v>7233</v>
      </c>
      <c r="O2092" s="5"/>
      <c r="P2092" s="5"/>
      <c r="Q2092" s="6" t="s">
        <v>30</v>
      </c>
      <c r="R2092" s="4" t="s">
        <v>31</v>
      </c>
      <c r="S2092" s="7" t="s">
        <v>32</v>
      </c>
      <c r="T2092" s="5"/>
    </row>
    <row r="2093" customFormat="false" ht="29.25" hidden="false" customHeight="true" outlineLevel="0" collapsed="false">
      <c r="A2093" s="4" t="n">
        <v>2092</v>
      </c>
      <c r="B2093" s="6" t="s">
        <v>1787</v>
      </c>
      <c r="C2093" s="6" t="s">
        <v>7227</v>
      </c>
      <c r="D2093" s="6" t="s">
        <v>7228</v>
      </c>
      <c r="E2093" s="7" t="s">
        <v>21</v>
      </c>
      <c r="F2093" s="6" t="s">
        <v>7549</v>
      </c>
      <c r="G2093" s="5" t="s">
        <v>3642</v>
      </c>
      <c r="H2093" s="5" t="s">
        <v>2671</v>
      </c>
      <c r="I2093" s="5" t="s">
        <v>2673</v>
      </c>
      <c r="J2093" s="5" t="s">
        <v>7547</v>
      </c>
      <c r="K2093" s="5"/>
      <c r="L2093" s="4" t="s">
        <v>44</v>
      </c>
      <c r="M2093" s="8" t="s">
        <v>79</v>
      </c>
      <c r="N2093" s="9" t="s">
        <v>7233</v>
      </c>
      <c r="O2093" s="5"/>
      <c r="P2093" s="5"/>
      <c r="Q2093" s="6" t="s">
        <v>30</v>
      </c>
      <c r="R2093" s="4" t="s">
        <v>31</v>
      </c>
      <c r="S2093" s="7" t="s">
        <v>32</v>
      </c>
      <c r="T2093" s="5"/>
    </row>
    <row r="2094" customFormat="false" ht="43.5" hidden="false" customHeight="true" outlineLevel="0" collapsed="false">
      <c r="A2094" s="4" t="n">
        <v>2093</v>
      </c>
      <c r="B2094" s="6" t="s">
        <v>1787</v>
      </c>
      <c r="C2094" s="6" t="s">
        <v>7227</v>
      </c>
      <c r="D2094" s="6" t="s">
        <v>7228</v>
      </c>
      <c r="E2094" s="7" t="s">
        <v>21</v>
      </c>
      <c r="F2094" s="5" t="s">
        <v>7550</v>
      </c>
      <c r="G2094" s="6" t="s">
        <v>7551</v>
      </c>
      <c r="H2094" s="6" t="s">
        <v>7552</v>
      </c>
      <c r="I2094" s="6" t="s">
        <v>7553</v>
      </c>
      <c r="J2094" s="6" t="s">
        <v>7554</v>
      </c>
      <c r="K2094" s="5"/>
      <c r="L2094" s="4" t="s">
        <v>62</v>
      </c>
      <c r="M2094" s="8" t="s">
        <v>28</v>
      </c>
      <c r="N2094" s="9" t="s">
        <v>7233</v>
      </c>
      <c r="O2094" s="5"/>
      <c r="P2094" s="5"/>
      <c r="Q2094" s="6" t="s">
        <v>30</v>
      </c>
      <c r="R2094" s="4" t="s">
        <v>31</v>
      </c>
      <c r="S2094" s="7" t="s">
        <v>32</v>
      </c>
      <c r="T2094" s="5"/>
    </row>
    <row r="2095" customFormat="false" ht="43.5" hidden="false" customHeight="true" outlineLevel="0" collapsed="false">
      <c r="A2095" s="4" t="n">
        <v>2094</v>
      </c>
      <c r="B2095" s="6" t="s">
        <v>1787</v>
      </c>
      <c r="C2095" s="6" t="s">
        <v>7227</v>
      </c>
      <c r="D2095" s="6" t="s">
        <v>7228</v>
      </c>
      <c r="E2095" s="7" t="s">
        <v>21</v>
      </c>
      <c r="F2095" s="6" t="s">
        <v>7555</v>
      </c>
      <c r="G2095" s="5" t="s">
        <v>2580</v>
      </c>
      <c r="H2095" s="5" t="s">
        <v>2671</v>
      </c>
      <c r="I2095" s="5" t="s">
        <v>2672</v>
      </c>
      <c r="J2095" s="5" t="s">
        <v>7556</v>
      </c>
      <c r="K2095" s="5"/>
      <c r="L2095" s="4" t="s">
        <v>27</v>
      </c>
      <c r="M2095" s="8" t="s">
        <v>129</v>
      </c>
      <c r="N2095" s="9" t="s">
        <v>7233</v>
      </c>
      <c r="O2095" s="5"/>
      <c r="P2095" s="5"/>
      <c r="Q2095" s="6" t="s">
        <v>30</v>
      </c>
      <c r="R2095" s="4" t="s">
        <v>31</v>
      </c>
      <c r="S2095" s="7" t="s">
        <v>32</v>
      </c>
      <c r="T2095" s="5"/>
    </row>
    <row r="2096" customFormat="false" ht="43.5" hidden="false" customHeight="true" outlineLevel="0" collapsed="false">
      <c r="A2096" s="4" t="n">
        <v>2095</v>
      </c>
      <c r="B2096" s="6" t="s">
        <v>1787</v>
      </c>
      <c r="C2096" s="6" t="s">
        <v>7227</v>
      </c>
      <c r="D2096" s="6" t="s">
        <v>7228</v>
      </c>
      <c r="E2096" s="7" t="s">
        <v>21</v>
      </c>
      <c r="F2096" s="6" t="s">
        <v>7555</v>
      </c>
      <c r="G2096" s="5" t="s">
        <v>2672</v>
      </c>
      <c r="H2096" s="5" t="s">
        <v>2679</v>
      </c>
      <c r="I2096" s="5" t="s">
        <v>6751</v>
      </c>
      <c r="J2096" s="5" t="s">
        <v>7557</v>
      </c>
      <c r="K2096" s="5"/>
      <c r="L2096" s="4" t="s">
        <v>62</v>
      </c>
      <c r="M2096" s="8" t="s">
        <v>129</v>
      </c>
      <c r="N2096" s="9" t="s">
        <v>7233</v>
      </c>
      <c r="O2096" s="5"/>
      <c r="P2096" s="5"/>
      <c r="Q2096" s="6" t="s">
        <v>30</v>
      </c>
      <c r="R2096" s="4" t="s">
        <v>31</v>
      </c>
      <c r="S2096" s="7" t="s">
        <v>32</v>
      </c>
      <c r="T2096" s="5"/>
    </row>
    <row r="2097" customFormat="false" ht="29.25" hidden="false" customHeight="true" outlineLevel="0" collapsed="false">
      <c r="A2097" s="4" t="n">
        <v>2096</v>
      </c>
      <c r="B2097" s="6" t="s">
        <v>1787</v>
      </c>
      <c r="C2097" s="6" t="s">
        <v>7227</v>
      </c>
      <c r="D2097" s="6" t="s">
        <v>7228</v>
      </c>
      <c r="E2097" s="7" t="s">
        <v>21</v>
      </c>
      <c r="F2097" s="6" t="s">
        <v>7558</v>
      </c>
      <c r="G2097" s="6" t="s">
        <v>7559</v>
      </c>
      <c r="H2097" s="6" t="s">
        <v>7560</v>
      </c>
      <c r="I2097" s="6" t="s">
        <v>7561</v>
      </c>
      <c r="J2097" s="6" t="s">
        <v>7562</v>
      </c>
      <c r="K2097" s="5"/>
      <c r="L2097" s="4" t="s">
        <v>27</v>
      </c>
      <c r="M2097" s="8" t="s">
        <v>79</v>
      </c>
      <c r="N2097" s="9" t="s">
        <v>7233</v>
      </c>
      <c r="O2097" s="5"/>
      <c r="P2097" s="5"/>
      <c r="Q2097" s="6" t="s">
        <v>30</v>
      </c>
      <c r="R2097" s="4" t="s">
        <v>31</v>
      </c>
      <c r="S2097" s="7" t="s">
        <v>32</v>
      </c>
      <c r="T2097" s="5"/>
    </row>
    <row r="2098" customFormat="false" ht="29.25" hidden="false" customHeight="true" outlineLevel="0" collapsed="false">
      <c r="A2098" s="4" t="n">
        <v>2097</v>
      </c>
      <c r="B2098" s="6" t="s">
        <v>1787</v>
      </c>
      <c r="C2098" s="6" t="s">
        <v>7227</v>
      </c>
      <c r="D2098" s="6" t="s">
        <v>7228</v>
      </c>
      <c r="E2098" s="7" t="s">
        <v>21</v>
      </c>
      <c r="F2098" s="6" t="s">
        <v>7563</v>
      </c>
      <c r="G2098" s="6" t="s">
        <v>6282</v>
      </c>
      <c r="H2098" s="6" t="s">
        <v>7564</v>
      </c>
      <c r="I2098" s="6" t="s">
        <v>7361</v>
      </c>
      <c r="J2098" s="6" t="s">
        <v>6281</v>
      </c>
      <c r="K2098" s="5"/>
      <c r="L2098" s="4" t="s">
        <v>44</v>
      </c>
      <c r="M2098" s="8" t="s">
        <v>79</v>
      </c>
      <c r="N2098" s="9" t="s">
        <v>7242</v>
      </c>
      <c r="O2098" s="5"/>
      <c r="P2098" s="5"/>
      <c r="Q2098" s="6" t="s">
        <v>30</v>
      </c>
      <c r="R2098" s="4" t="s">
        <v>31</v>
      </c>
      <c r="S2098" s="7" t="s">
        <v>32</v>
      </c>
      <c r="T2098" s="5"/>
    </row>
    <row r="2099" customFormat="false" ht="29.25" hidden="false" customHeight="true" outlineLevel="0" collapsed="false">
      <c r="A2099" s="4" t="n">
        <v>2098</v>
      </c>
      <c r="B2099" s="6" t="s">
        <v>1787</v>
      </c>
      <c r="C2099" s="6" t="s">
        <v>7227</v>
      </c>
      <c r="D2099" s="6" t="s">
        <v>7228</v>
      </c>
      <c r="E2099" s="7" t="s">
        <v>21</v>
      </c>
      <c r="F2099" s="6" t="s">
        <v>7565</v>
      </c>
      <c r="G2099" s="6" t="s">
        <v>7559</v>
      </c>
      <c r="H2099" s="6" t="s">
        <v>7560</v>
      </c>
      <c r="I2099" s="6" t="s">
        <v>7566</v>
      </c>
      <c r="J2099" s="6" t="s">
        <v>150</v>
      </c>
      <c r="K2099" s="5"/>
      <c r="L2099" s="4" t="s">
        <v>27</v>
      </c>
      <c r="M2099" s="8" t="s">
        <v>79</v>
      </c>
      <c r="N2099" s="9" t="s">
        <v>7567</v>
      </c>
      <c r="O2099" s="5"/>
      <c r="P2099" s="5"/>
      <c r="Q2099" s="6" t="s">
        <v>30</v>
      </c>
      <c r="R2099" s="4" t="s">
        <v>31</v>
      </c>
      <c r="S2099" s="7" t="s">
        <v>32</v>
      </c>
      <c r="T2099" s="5"/>
    </row>
    <row r="2100" customFormat="false" ht="29.25" hidden="false" customHeight="true" outlineLevel="0" collapsed="false">
      <c r="A2100" s="4" t="n">
        <v>2099</v>
      </c>
      <c r="B2100" s="6" t="s">
        <v>1787</v>
      </c>
      <c r="C2100" s="6" t="s">
        <v>7227</v>
      </c>
      <c r="D2100" s="6" t="s">
        <v>7228</v>
      </c>
      <c r="E2100" s="7" t="s">
        <v>21</v>
      </c>
      <c r="F2100" s="6" t="s">
        <v>7568</v>
      </c>
      <c r="G2100" s="6" t="s">
        <v>7569</v>
      </c>
      <c r="H2100" s="6" t="s">
        <v>7570</v>
      </c>
      <c r="I2100" s="6" t="s">
        <v>7571</v>
      </c>
      <c r="J2100" s="6" t="s">
        <v>7572</v>
      </c>
      <c r="K2100" s="5"/>
      <c r="L2100" s="4" t="s">
        <v>27</v>
      </c>
      <c r="M2100" s="8" t="s">
        <v>129</v>
      </c>
      <c r="N2100" s="9" t="s">
        <v>7233</v>
      </c>
      <c r="O2100" s="5"/>
      <c r="P2100" s="5"/>
      <c r="Q2100" s="6" t="s">
        <v>30</v>
      </c>
      <c r="R2100" s="4" t="s">
        <v>31</v>
      </c>
      <c r="S2100" s="7" t="s">
        <v>32</v>
      </c>
      <c r="T2100" s="5"/>
    </row>
    <row r="2101" customFormat="false" ht="29.25" hidden="false" customHeight="true" outlineLevel="0" collapsed="false">
      <c r="A2101" s="4" t="n">
        <v>2100</v>
      </c>
      <c r="B2101" s="6" t="s">
        <v>1787</v>
      </c>
      <c r="C2101" s="6" t="s">
        <v>7227</v>
      </c>
      <c r="D2101" s="6" t="s">
        <v>7228</v>
      </c>
      <c r="E2101" s="7" t="s">
        <v>21</v>
      </c>
      <c r="F2101" s="6" t="s">
        <v>7573</v>
      </c>
      <c r="G2101" s="6" t="s">
        <v>7574</v>
      </c>
      <c r="H2101" s="6" t="s">
        <v>7575</v>
      </c>
      <c r="I2101" s="6" t="s">
        <v>7576</v>
      </c>
      <c r="J2101" s="6" t="s">
        <v>7577</v>
      </c>
      <c r="K2101" s="5"/>
      <c r="L2101" s="4" t="s">
        <v>51</v>
      </c>
      <c r="M2101" s="8" t="s">
        <v>129</v>
      </c>
      <c r="N2101" s="9" t="s">
        <v>7233</v>
      </c>
      <c r="O2101" s="5"/>
      <c r="P2101" s="5"/>
      <c r="Q2101" s="6" t="s">
        <v>30</v>
      </c>
      <c r="R2101" s="4" t="s">
        <v>31</v>
      </c>
      <c r="S2101" s="7" t="s">
        <v>32</v>
      </c>
      <c r="T2101" s="5"/>
    </row>
    <row r="2102" customFormat="false" ht="29.25" hidden="false" customHeight="true" outlineLevel="0" collapsed="false">
      <c r="A2102" s="4" t="n">
        <v>2101</v>
      </c>
      <c r="B2102" s="6" t="s">
        <v>1787</v>
      </c>
      <c r="C2102" s="6" t="s">
        <v>7227</v>
      </c>
      <c r="D2102" s="6" t="s">
        <v>7228</v>
      </c>
      <c r="E2102" s="7" t="s">
        <v>21</v>
      </c>
      <c r="F2102" s="6" t="s">
        <v>7578</v>
      </c>
      <c r="G2102" s="6" t="s">
        <v>7574</v>
      </c>
      <c r="H2102" s="6" t="s">
        <v>7575</v>
      </c>
      <c r="I2102" s="6" t="s">
        <v>7576</v>
      </c>
      <c r="J2102" s="6" t="s">
        <v>7577</v>
      </c>
      <c r="K2102" s="5"/>
      <c r="L2102" s="4" t="s">
        <v>44</v>
      </c>
      <c r="M2102" s="8" t="s">
        <v>129</v>
      </c>
      <c r="N2102" s="9" t="s">
        <v>7233</v>
      </c>
      <c r="O2102" s="5"/>
      <c r="P2102" s="5"/>
      <c r="Q2102" s="6" t="s">
        <v>30</v>
      </c>
      <c r="R2102" s="4" t="s">
        <v>31</v>
      </c>
      <c r="S2102" s="7" t="s">
        <v>32</v>
      </c>
      <c r="T2102" s="5"/>
    </row>
    <row r="2103" customFormat="false" ht="43.5" hidden="false" customHeight="true" outlineLevel="0" collapsed="false">
      <c r="A2103" s="4" t="n">
        <v>2102</v>
      </c>
      <c r="B2103" s="6" t="s">
        <v>1787</v>
      </c>
      <c r="C2103" s="6" t="s">
        <v>7227</v>
      </c>
      <c r="D2103" s="6" t="s">
        <v>7228</v>
      </c>
      <c r="E2103" s="7" t="s">
        <v>21</v>
      </c>
      <c r="F2103" s="6" t="s">
        <v>7579</v>
      </c>
      <c r="G2103" s="6" t="s">
        <v>7580</v>
      </c>
      <c r="H2103" s="6" t="s">
        <v>7581</v>
      </c>
      <c r="I2103" s="6" t="s">
        <v>7582</v>
      </c>
      <c r="J2103" s="6" t="s">
        <v>7583</v>
      </c>
      <c r="K2103" s="5"/>
      <c r="L2103" s="4" t="s">
        <v>51</v>
      </c>
      <c r="M2103" s="8" t="s">
        <v>28</v>
      </c>
      <c r="N2103" s="9" t="s">
        <v>7233</v>
      </c>
      <c r="O2103" s="5"/>
      <c r="P2103" s="5"/>
      <c r="Q2103" s="6" t="s">
        <v>30</v>
      </c>
      <c r="R2103" s="4" t="s">
        <v>31</v>
      </c>
      <c r="S2103" s="7" t="s">
        <v>32</v>
      </c>
      <c r="T2103" s="5"/>
    </row>
    <row r="2104" customFormat="false" ht="29.25" hidden="false" customHeight="true" outlineLevel="0" collapsed="false">
      <c r="A2104" s="4" t="n">
        <v>2103</v>
      </c>
      <c r="B2104" s="6" t="s">
        <v>1787</v>
      </c>
      <c r="C2104" s="6" t="s">
        <v>7227</v>
      </c>
      <c r="D2104" s="6" t="s">
        <v>7228</v>
      </c>
      <c r="E2104" s="7" t="s">
        <v>21</v>
      </c>
      <c r="F2104" s="6" t="s">
        <v>7584</v>
      </c>
      <c r="G2104" s="6" t="s">
        <v>7585</v>
      </c>
      <c r="H2104" s="6" t="s">
        <v>7586</v>
      </c>
      <c r="I2104" s="6" t="s">
        <v>7587</v>
      </c>
      <c r="J2104" s="6" t="s">
        <v>7588</v>
      </c>
      <c r="K2104" s="5"/>
      <c r="L2104" s="4" t="s">
        <v>51</v>
      </c>
      <c r="M2104" s="8" t="s">
        <v>79</v>
      </c>
      <c r="N2104" s="9" t="s">
        <v>7233</v>
      </c>
      <c r="O2104" s="5"/>
      <c r="P2104" s="5"/>
      <c r="Q2104" s="6" t="s">
        <v>30</v>
      </c>
      <c r="R2104" s="4" t="s">
        <v>31</v>
      </c>
      <c r="S2104" s="7" t="s">
        <v>32</v>
      </c>
      <c r="T2104" s="5"/>
    </row>
    <row r="2105" customFormat="false" ht="29.25" hidden="false" customHeight="true" outlineLevel="0" collapsed="false">
      <c r="A2105" s="4" t="n">
        <v>2104</v>
      </c>
      <c r="B2105" s="6" t="s">
        <v>1787</v>
      </c>
      <c r="C2105" s="6" t="s">
        <v>7227</v>
      </c>
      <c r="D2105" s="6" t="s">
        <v>7228</v>
      </c>
      <c r="E2105" s="7" t="s">
        <v>21</v>
      </c>
      <c r="F2105" s="6" t="s">
        <v>7589</v>
      </c>
      <c r="G2105" s="6" t="s">
        <v>7590</v>
      </c>
      <c r="H2105" s="6" t="s">
        <v>7591</v>
      </c>
      <c r="I2105" s="6" t="s">
        <v>7592</v>
      </c>
      <c r="J2105" s="6" t="s">
        <v>1251</v>
      </c>
      <c r="K2105" s="5"/>
      <c r="L2105" s="4" t="s">
        <v>44</v>
      </c>
      <c r="M2105" s="8" t="s">
        <v>79</v>
      </c>
      <c r="N2105" s="9" t="s">
        <v>7233</v>
      </c>
      <c r="O2105" s="5"/>
      <c r="P2105" s="5"/>
      <c r="Q2105" s="6" t="s">
        <v>30</v>
      </c>
      <c r="R2105" s="4" t="s">
        <v>31</v>
      </c>
      <c r="S2105" s="7" t="s">
        <v>32</v>
      </c>
      <c r="T2105" s="5"/>
    </row>
    <row r="2106" customFormat="false" ht="29.25" hidden="false" customHeight="true" outlineLevel="0" collapsed="false">
      <c r="A2106" s="4" t="n">
        <v>2105</v>
      </c>
      <c r="B2106" s="6" t="s">
        <v>1787</v>
      </c>
      <c r="C2106" s="6" t="s">
        <v>7227</v>
      </c>
      <c r="D2106" s="6" t="s">
        <v>7228</v>
      </c>
      <c r="E2106" s="7" t="s">
        <v>21</v>
      </c>
      <c r="F2106" s="6" t="s">
        <v>7593</v>
      </c>
      <c r="G2106" s="5" t="s">
        <v>7594</v>
      </c>
      <c r="H2106" s="6" t="s">
        <v>7595</v>
      </c>
      <c r="I2106" s="6" t="s">
        <v>7596</v>
      </c>
      <c r="J2106" s="6" t="s">
        <v>78</v>
      </c>
      <c r="K2106" s="5"/>
      <c r="L2106" s="4" t="s">
        <v>44</v>
      </c>
      <c r="M2106" s="8" t="s">
        <v>79</v>
      </c>
      <c r="N2106" s="9" t="s">
        <v>7242</v>
      </c>
      <c r="O2106" s="5"/>
      <c r="P2106" s="5"/>
      <c r="Q2106" s="6" t="s">
        <v>30</v>
      </c>
      <c r="R2106" s="4" t="s">
        <v>31</v>
      </c>
      <c r="S2106" s="7" t="s">
        <v>32</v>
      </c>
      <c r="T2106" s="5"/>
    </row>
    <row r="2107" customFormat="false" ht="29.25" hidden="false" customHeight="true" outlineLevel="0" collapsed="false">
      <c r="A2107" s="4" t="n">
        <v>2106</v>
      </c>
      <c r="B2107" s="6" t="s">
        <v>1787</v>
      </c>
      <c r="C2107" s="6" t="s">
        <v>7227</v>
      </c>
      <c r="D2107" s="6" t="s">
        <v>7228</v>
      </c>
      <c r="E2107" s="7" t="s">
        <v>21</v>
      </c>
      <c r="F2107" s="6" t="s">
        <v>7597</v>
      </c>
      <c r="G2107" s="5" t="s">
        <v>2672</v>
      </c>
      <c r="H2107" s="5" t="s">
        <v>2673</v>
      </c>
      <c r="I2107" s="5" t="s">
        <v>6751</v>
      </c>
      <c r="J2107" s="5" t="s">
        <v>7598</v>
      </c>
      <c r="K2107" s="5"/>
      <c r="L2107" s="4" t="s">
        <v>62</v>
      </c>
      <c r="M2107" s="8" t="s">
        <v>79</v>
      </c>
      <c r="N2107" s="9" t="s">
        <v>7242</v>
      </c>
      <c r="O2107" s="5"/>
      <c r="P2107" s="5"/>
      <c r="Q2107" s="6" t="s">
        <v>30</v>
      </c>
      <c r="R2107" s="4" t="s">
        <v>31</v>
      </c>
      <c r="S2107" s="7" t="s">
        <v>32</v>
      </c>
      <c r="T2107" s="5"/>
    </row>
    <row r="2108" customFormat="false" ht="43.5" hidden="false" customHeight="true" outlineLevel="0" collapsed="false">
      <c r="A2108" s="4" t="n">
        <v>2107</v>
      </c>
      <c r="B2108" s="6" t="s">
        <v>1787</v>
      </c>
      <c r="C2108" s="6" t="s">
        <v>7227</v>
      </c>
      <c r="D2108" s="6" t="s">
        <v>7228</v>
      </c>
      <c r="E2108" s="7" t="s">
        <v>21</v>
      </c>
      <c r="F2108" s="6" t="s">
        <v>7599</v>
      </c>
      <c r="G2108" s="5" t="s">
        <v>7600</v>
      </c>
      <c r="H2108" s="5" t="s">
        <v>7601</v>
      </c>
      <c r="I2108" s="5" t="s">
        <v>7602</v>
      </c>
      <c r="J2108" s="5" t="s">
        <v>7603</v>
      </c>
      <c r="K2108" s="5"/>
      <c r="L2108" s="4" t="s">
        <v>62</v>
      </c>
      <c r="M2108" s="8" t="s">
        <v>79</v>
      </c>
      <c r="N2108" s="9" t="s">
        <v>7242</v>
      </c>
      <c r="O2108" s="5"/>
      <c r="P2108" s="5"/>
      <c r="Q2108" s="6" t="s">
        <v>30</v>
      </c>
      <c r="R2108" s="4" t="s">
        <v>31</v>
      </c>
      <c r="S2108" s="7" t="s">
        <v>32</v>
      </c>
      <c r="T2108" s="5"/>
    </row>
    <row r="2109" customFormat="false" ht="29.25" hidden="false" customHeight="true" outlineLevel="0" collapsed="false">
      <c r="A2109" s="4" t="n">
        <v>2108</v>
      </c>
      <c r="B2109" s="6" t="s">
        <v>1787</v>
      </c>
      <c r="C2109" s="6" t="s">
        <v>7227</v>
      </c>
      <c r="D2109" s="6" t="s">
        <v>7228</v>
      </c>
      <c r="E2109" s="7" t="s">
        <v>21</v>
      </c>
      <c r="F2109" s="6" t="s">
        <v>7604</v>
      </c>
      <c r="G2109" s="6" t="s">
        <v>7605</v>
      </c>
      <c r="H2109" s="6" t="s">
        <v>7606</v>
      </c>
      <c r="I2109" s="6" t="s">
        <v>7607</v>
      </c>
      <c r="J2109" s="6" t="s">
        <v>7608</v>
      </c>
      <c r="K2109" s="5"/>
      <c r="L2109" s="4" t="s">
        <v>62</v>
      </c>
      <c r="M2109" s="8" t="s">
        <v>79</v>
      </c>
      <c r="N2109" s="9" t="s">
        <v>7242</v>
      </c>
      <c r="O2109" s="5"/>
      <c r="P2109" s="5"/>
      <c r="Q2109" s="6" t="s">
        <v>30</v>
      </c>
      <c r="R2109" s="4" t="s">
        <v>31</v>
      </c>
      <c r="S2109" s="7" t="s">
        <v>32</v>
      </c>
      <c r="T2109" s="5"/>
    </row>
    <row r="2110" customFormat="false" ht="43.5" hidden="false" customHeight="true" outlineLevel="0" collapsed="false">
      <c r="A2110" s="4" t="n">
        <v>2109</v>
      </c>
      <c r="B2110" s="6" t="s">
        <v>1787</v>
      </c>
      <c r="C2110" s="6" t="s">
        <v>7227</v>
      </c>
      <c r="D2110" s="6" t="s">
        <v>7228</v>
      </c>
      <c r="E2110" s="7" t="s">
        <v>21</v>
      </c>
      <c r="F2110" s="6" t="s">
        <v>7609</v>
      </c>
      <c r="G2110" s="6" t="s">
        <v>7610</v>
      </c>
      <c r="H2110" s="6" t="s">
        <v>7611</v>
      </c>
      <c r="I2110" s="6" t="s">
        <v>7612</v>
      </c>
      <c r="J2110" s="6" t="s">
        <v>7613</v>
      </c>
      <c r="K2110" s="5"/>
      <c r="L2110" s="4" t="s">
        <v>27</v>
      </c>
      <c r="M2110" s="8" t="s">
        <v>79</v>
      </c>
      <c r="N2110" s="9" t="s">
        <v>7233</v>
      </c>
      <c r="O2110" s="5"/>
      <c r="P2110" s="5"/>
      <c r="Q2110" s="6" t="s">
        <v>30</v>
      </c>
      <c r="R2110" s="4" t="s">
        <v>31</v>
      </c>
      <c r="S2110" s="7" t="s">
        <v>32</v>
      </c>
      <c r="T2110" s="5"/>
    </row>
    <row r="2111" customFormat="false" ht="43.5" hidden="false" customHeight="true" outlineLevel="0" collapsed="false">
      <c r="A2111" s="4" t="n">
        <v>2110</v>
      </c>
      <c r="B2111" s="6" t="s">
        <v>1787</v>
      </c>
      <c r="C2111" s="6" t="s">
        <v>7227</v>
      </c>
      <c r="D2111" s="6" t="s">
        <v>7228</v>
      </c>
      <c r="E2111" s="7" t="s">
        <v>21</v>
      </c>
      <c r="F2111" s="6" t="s">
        <v>7614</v>
      </c>
      <c r="G2111" s="6" t="s">
        <v>7574</v>
      </c>
      <c r="H2111" s="6" t="s">
        <v>7576</v>
      </c>
      <c r="I2111" s="6" t="s">
        <v>7615</v>
      </c>
      <c r="J2111" s="6" t="s">
        <v>7577</v>
      </c>
      <c r="K2111" s="5"/>
      <c r="L2111" s="4" t="s">
        <v>27</v>
      </c>
      <c r="M2111" s="8" t="s">
        <v>28</v>
      </c>
      <c r="N2111" s="9" t="s">
        <v>7233</v>
      </c>
      <c r="O2111" s="5"/>
      <c r="P2111" s="5"/>
      <c r="Q2111" s="6" t="s">
        <v>30</v>
      </c>
      <c r="R2111" s="4" t="s">
        <v>31</v>
      </c>
      <c r="S2111" s="7" t="s">
        <v>32</v>
      </c>
      <c r="T2111" s="5"/>
    </row>
    <row r="2112" customFormat="false" ht="29.25" hidden="false" customHeight="true" outlineLevel="0" collapsed="false">
      <c r="A2112" s="4" t="n">
        <v>2111</v>
      </c>
      <c r="B2112" s="6" t="s">
        <v>1787</v>
      </c>
      <c r="C2112" s="6" t="s">
        <v>7227</v>
      </c>
      <c r="D2112" s="6" t="s">
        <v>7228</v>
      </c>
      <c r="E2112" s="7" t="s">
        <v>21</v>
      </c>
      <c r="F2112" s="6" t="s">
        <v>7616</v>
      </c>
      <c r="G2112" s="6" t="s">
        <v>7617</v>
      </c>
      <c r="H2112" s="6" t="s">
        <v>7618</v>
      </c>
      <c r="I2112" s="6" t="s">
        <v>7619</v>
      </c>
      <c r="J2112" s="6" t="s">
        <v>7620</v>
      </c>
      <c r="K2112" s="5"/>
      <c r="L2112" s="4" t="s">
        <v>44</v>
      </c>
      <c r="M2112" s="8" t="s">
        <v>129</v>
      </c>
      <c r="N2112" s="9" t="s">
        <v>7233</v>
      </c>
      <c r="O2112" s="5"/>
      <c r="P2112" s="5"/>
      <c r="Q2112" s="6" t="s">
        <v>30</v>
      </c>
      <c r="R2112" s="4" t="s">
        <v>31</v>
      </c>
      <c r="S2112" s="7" t="s">
        <v>32</v>
      </c>
      <c r="T2112" s="5"/>
    </row>
    <row r="2113" customFormat="false" ht="29.25" hidden="false" customHeight="true" outlineLevel="0" collapsed="false">
      <c r="A2113" s="4" t="n">
        <v>2112</v>
      </c>
      <c r="B2113" s="6" t="s">
        <v>1787</v>
      </c>
      <c r="C2113" s="6" t="s">
        <v>7227</v>
      </c>
      <c r="D2113" s="6" t="s">
        <v>7228</v>
      </c>
      <c r="E2113" s="7" t="s">
        <v>21</v>
      </c>
      <c r="F2113" s="6" t="s">
        <v>7621</v>
      </c>
      <c r="G2113" s="5" t="s">
        <v>7330</v>
      </c>
      <c r="H2113" s="5" t="s">
        <v>7622</v>
      </c>
      <c r="I2113" s="5" t="s">
        <v>7520</v>
      </c>
      <c r="J2113" s="5" t="s">
        <v>6644</v>
      </c>
      <c r="K2113" s="5"/>
      <c r="L2113" s="4" t="s">
        <v>27</v>
      </c>
      <c r="M2113" s="8" t="s">
        <v>129</v>
      </c>
      <c r="N2113" s="9" t="s">
        <v>7233</v>
      </c>
      <c r="O2113" s="5"/>
      <c r="P2113" s="5"/>
      <c r="Q2113" s="6" t="s">
        <v>30</v>
      </c>
      <c r="R2113" s="4" t="s">
        <v>31</v>
      </c>
      <c r="S2113" s="7" t="s">
        <v>32</v>
      </c>
      <c r="T2113" s="5"/>
    </row>
    <row r="2114" customFormat="false" ht="29.25" hidden="false" customHeight="true" outlineLevel="0" collapsed="false">
      <c r="A2114" s="4" t="n">
        <v>2113</v>
      </c>
      <c r="B2114" s="6" t="s">
        <v>1787</v>
      </c>
      <c r="C2114" s="6" t="s">
        <v>7227</v>
      </c>
      <c r="D2114" s="6" t="s">
        <v>7228</v>
      </c>
      <c r="E2114" s="7" t="s">
        <v>21</v>
      </c>
      <c r="F2114" s="6" t="s">
        <v>7623</v>
      </c>
      <c r="G2114" s="6" t="s">
        <v>7624</v>
      </c>
      <c r="H2114" s="6" t="s">
        <v>7551</v>
      </c>
      <c r="I2114" s="6" t="s">
        <v>7625</v>
      </c>
      <c r="J2114" s="6" t="s">
        <v>7626</v>
      </c>
      <c r="K2114" s="5"/>
      <c r="L2114" s="4" t="s">
        <v>51</v>
      </c>
      <c r="M2114" s="8" t="s">
        <v>129</v>
      </c>
      <c r="N2114" s="9" t="s">
        <v>7233</v>
      </c>
      <c r="O2114" s="5"/>
      <c r="P2114" s="5"/>
      <c r="Q2114" s="6" t="s">
        <v>30</v>
      </c>
      <c r="R2114" s="4" t="s">
        <v>31</v>
      </c>
      <c r="S2114" s="7" t="s">
        <v>32</v>
      </c>
      <c r="T2114" s="5"/>
    </row>
    <row r="2115" customFormat="false" ht="29.25" hidden="false" customHeight="true" outlineLevel="0" collapsed="false">
      <c r="A2115" s="4" t="n">
        <v>2114</v>
      </c>
      <c r="B2115" s="6" t="s">
        <v>1787</v>
      </c>
      <c r="C2115" s="6" t="s">
        <v>7227</v>
      </c>
      <c r="D2115" s="6" t="s">
        <v>7228</v>
      </c>
      <c r="E2115" s="7" t="s">
        <v>21</v>
      </c>
      <c r="F2115" s="6" t="s">
        <v>7627</v>
      </c>
      <c r="G2115" s="6" t="s">
        <v>7551</v>
      </c>
      <c r="H2115" s="6" t="s">
        <v>7628</v>
      </c>
      <c r="I2115" s="6" t="s">
        <v>7629</v>
      </c>
      <c r="J2115" s="6" t="s">
        <v>78</v>
      </c>
      <c r="K2115" s="5"/>
      <c r="L2115" s="4" t="s">
        <v>44</v>
      </c>
      <c r="M2115" s="8" t="s">
        <v>129</v>
      </c>
      <c r="N2115" s="9" t="s">
        <v>7233</v>
      </c>
      <c r="O2115" s="5"/>
      <c r="P2115" s="5"/>
      <c r="Q2115" s="6" t="s">
        <v>30</v>
      </c>
      <c r="R2115" s="4" t="s">
        <v>31</v>
      </c>
      <c r="S2115" s="7" t="s">
        <v>32</v>
      </c>
      <c r="T2115" s="5"/>
    </row>
    <row r="2116" customFormat="false" ht="43.5" hidden="false" customHeight="true" outlineLevel="0" collapsed="false">
      <c r="A2116" s="4" t="n">
        <v>2115</v>
      </c>
      <c r="B2116" s="6" t="s">
        <v>1787</v>
      </c>
      <c r="C2116" s="6" t="s">
        <v>7227</v>
      </c>
      <c r="D2116" s="6" t="s">
        <v>7228</v>
      </c>
      <c r="E2116" s="7" t="s">
        <v>21</v>
      </c>
      <c r="F2116" s="6" t="s">
        <v>7630</v>
      </c>
      <c r="G2116" s="6" t="s">
        <v>6282</v>
      </c>
      <c r="H2116" s="6" t="s">
        <v>7564</v>
      </c>
      <c r="I2116" s="6" t="s">
        <v>7631</v>
      </c>
      <c r="J2116" s="6" t="s">
        <v>6281</v>
      </c>
      <c r="K2116" s="5"/>
      <c r="L2116" s="4" t="s">
        <v>51</v>
      </c>
      <c r="M2116" s="8" t="s">
        <v>28</v>
      </c>
      <c r="N2116" s="9" t="s">
        <v>7242</v>
      </c>
      <c r="O2116" s="5"/>
      <c r="P2116" s="5"/>
      <c r="Q2116" s="6" t="s">
        <v>30</v>
      </c>
      <c r="R2116" s="4" t="s">
        <v>31</v>
      </c>
      <c r="S2116" s="7" t="s">
        <v>32</v>
      </c>
      <c r="T2116" s="5"/>
    </row>
    <row r="2117" customFormat="false" ht="29.25" hidden="false" customHeight="true" outlineLevel="0" collapsed="false">
      <c r="A2117" s="4" t="n">
        <v>2116</v>
      </c>
      <c r="B2117" s="6" t="s">
        <v>1787</v>
      </c>
      <c r="C2117" s="6" t="s">
        <v>7227</v>
      </c>
      <c r="D2117" s="6" t="s">
        <v>7228</v>
      </c>
      <c r="E2117" s="7" t="s">
        <v>21</v>
      </c>
      <c r="F2117" s="6" t="s">
        <v>7632</v>
      </c>
      <c r="G2117" s="5" t="s">
        <v>7633</v>
      </c>
      <c r="H2117" s="5" t="s">
        <v>7634</v>
      </c>
      <c r="I2117" s="5" t="s">
        <v>7635</v>
      </c>
      <c r="J2117" s="5" t="s">
        <v>7636</v>
      </c>
      <c r="K2117" s="5"/>
      <c r="L2117" s="4" t="s">
        <v>27</v>
      </c>
      <c r="M2117" s="8" t="s">
        <v>79</v>
      </c>
      <c r="N2117" s="9" t="s">
        <v>7233</v>
      </c>
      <c r="O2117" s="5"/>
      <c r="P2117" s="5"/>
      <c r="Q2117" s="6" t="s">
        <v>30</v>
      </c>
      <c r="R2117" s="4" t="s">
        <v>31</v>
      </c>
      <c r="S2117" s="7" t="s">
        <v>32</v>
      </c>
      <c r="T2117" s="5"/>
    </row>
    <row r="2118" customFormat="false" ht="29.25" hidden="false" customHeight="true" outlineLevel="0" collapsed="false">
      <c r="A2118" s="4" t="n">
        <v>2117</v>
      </c>
      <c r="B2118" s="6" t="s">
        <v>1787</v>
      </c>
      <c r="C2118" s="6" t="s">
        <v>7227</v>
      </c>
      <c r="D2118" s="6" t="s">
        <v>7228</v>
      </c>
      <c r="E2118" s="7" t="s">
        <v>21</v>
      </c>
      <c r="F2118" s="6" t="s">
        <v>7637</v>
      </c>
      <c r="G2118" s="5" t="s">
        <v>7638</v>
      </c>
      <c r="H2118" s="5" t="s">
        <v>7639</v>
      </c>
      <c r="I2118" s="5" t="s">
        <v>7640</v>
      </c>
      <c r="J2118" s="5" t="s">
        <v>7641</v>
      </c>
      <c r="K2118" s="5"/>
      <c r="L2118" s="4" t="s">
        <v>51</v>
      </c>
      <c r="M2118" s="8" t="s">
        <v>79</v>
      </c>
      <c r="N2118" s="9" t="s">
        <v>7233</v>
      </c>
      <c r="O2118" s="5"/>
      <c r="P2118" s="5"/>
      <c r="Q2118" s="6" t="s">
        <v>30</v>
      </c>
      <c r="R2118" s="4" t="s">
        <v>31</v>
      </c>
      <c r="S2118" s="7" t="s">
        <v>32</v>
      </c>
      <c r="T2118" s="5"/>
    </row>
    <row r="2119" customFormat="false" ht="29.25" hidden="false" customHeight="true" outlineLevel="0" collapsed="false">
      <c r="A2119" s="4" t="n">
        <v>2118</v>
      </c>
      <c r="B2119" s="6" t="s">
        <v>1787</v>
      </c>
      <c r="C2119" s="6" t="s">
        <v>7227</v>
      </c>
      <c r="D2119" s="6" t="s">
        <v>7228</v>
      </c>
      <c r="E2119" s="7" t="s">
        <v>21</v>
      </c>
      <c r="F2119" s="5" t="s">
        <v>7642</v>
      </c>
      <c r="G2119" s="5" t="s">
        <v>3643</v>
      </c>
      <c r="H2119" s="5" t="s">
        <v>3642</v>
      </c>
      <c r="I2119" s="5" t="s">
        <v>2671</v>
      </c>
      <c r="J2119" s="5" t="s">
        <v>7643</v>
      </c>
      <c r="K2119" s="5"/>
      <c r="L2119" s="4" t="s">
        <v>62</v>
      </c>
      <c r="M2119" s="8" t="s">
        <v>129</v>
      </c>
      <c r="N2119" s="9" t="s">
        <v>7233</v>
      </c>
      <c r="O2119" s="5"/>
      <c r="P2119" s="5"/>
      <c r="Q2119" s="6" t="s">
        <v>30</v>
      </c>
      <c r="R2119" s="4" t="s">
        <v>31</v>
      </c>
      <c r="S2119" s="7" t="s">
        <v>32</v>
      </c>
      <c r="T2119" s="5"/>
    </row>
    <row r="2120" customFormat="false" ht="29.25" hidden="false" customHeight="true" outlineLevel="0" collapsed="false">
      <c r="A2120" s="4" t="n">
        <v>2119</v>
      </c>
      <c r="B2120" s="6" t="s">
        <v>1787</v>
      </c>
      <c r="C2120" s="6" t="s">
        <v>7227</v>
      </c>
      <c r="D2120" s="6" t="s">
        <v>7228</v>
      </c>
      <c r="E2120" s="7" t="s">
        <v>21</v>
      </c>
      <c r="F2120" s="5" t="s">
        <v>7644</v>
      </c>
      <c r="G2120" s="5" t="s">
        <v>3643</v>
      </c>
      <c r="H2120" s="5" t="s">
        <v>3642</v>
      </c>
      <c r="I2120" s="5" t="s">
        <v>2671</v>
      </c>
      <c r="J2120" s="5" t="s">
        <v>7643</v>
      </c>
      <c r="K2120" s="5"/>
      <c r="L2120" s="4" t="s">
        <v>27</v>
      </c>
      <c r="M2120" s="8" t="s">
        <v>129</v>
      </c>
      <c r="N2120" s="9" t="s">
        <v>7233</v>
      </c>
      <c r="O2120" s="5"/>
      <c r="P2120" s="5"/>
      <c r="Q2120" s="6" t="s">
        <v>30</v>
      </c>
      <c r="R2120" s="4" t="s">
        <v>31</v>
      </c>
      <c r="S2120" s="7" t="s">
        <v>32</v>
      </c>
      <c r="T2120" s="5"/>
    </row>
    <row r="2121" customFormat="false" ht="29.25" hidden="false" customHeight="true" outlineLevel="0" collapsed="false">
      <c r="A2121" s="4" t="n">
        <v>2120</v>
      </c>
      <c r="B2121" s="6" t="s">
        <v>1787</v>
      </c>
      <c r="C2121" s="6" t="s">
        <v>7227</v>
      </c>
      <c r="D2121" s="6" t="s">
        <v>7228</v>
      </c>
      <c r="E2121" s="7" t="s">
        <v>21</v>
      </c>
      <c r="F2121" s="5" t="s">
        <v>7645</v>
      </c>
      <c r="G2121" s="5" t="s">
        <v>3643</v>
      </c>
      <c r="H2121" s="5" t="s">
        <v>3642</v>
      </c>
      <c r="I2121" s="5" t="s">
        <v>2671</v>
      </c>
      <c r="J2121" s="5" t="s">
        <v>7643</v>
      </c>
      <c r="K2121" s="5"/>
      <c r="L2121" s="4" t="s">
        <v>44</v>
      </c>
      <c r="M2121" s="8" t="s">
        <v>129</v>
      </c>
      <c r="N2121" s="9" t="s">
        <v>7233</v>
      </c>
      <c r="O2121" s="5"/>
      <c r="P2121" s="5"/>
      <c r="Q2121" s="6" t="s">
        <v>30</v>
      </c>
      <c r="R2121" s="4" t="s">
        <v>31</v>
      </c>
      <c r="S2121" s="7" t="s">
        <v>32</v>
      </c>
      <c r="T2121" s="5"/>
    </row>
    <row r="2122" customFormat="false" ht="29.25" hidden="false" customHeight="true" outlineLevel="0" collapsed="false">
      <c r="A2122" s="4" t="n">
        <v>2121</v>
      </c>
      <c r="B2122" s="6" t="s">
        <v>1787</v>
      </c>
      <c r="C2122" s="6" t="s">
        <v>7227</v>
      </c>
      <c r="D2122" s="6" t="s">
        <v>7228</v>
      </c>
      <c r="E2122" s="7" t="s">
        <v>21</v>
      </c>
      <c r="F2122" s="5" t="s">
        <v>7646</v>
      </c>
      <c r="G2122" s="5" t="s">
        <v>2673</v>
      </c>
      <c r="H2122" s="5" t="s">
        <v>2674</v>
      </c>
      <c r="I2122" s="5" t="s">
        <v>6751</v>
      </c>
      <c r="J2122" s="5" t="s">
        <v>7647</v>
      </c>
      <c r="K2122" s="5"/>
      <c r="L2122" s="4" t="s">
        <v>51</v>
      </c>
      <c r="M2122" s="8" t="s">
        <v>129</v>
      </c>
      <c r="N2122" s="9" t="s">
        <v>7233</v>
      </c>
      <c r="O2122" s="5"/>
      <c r="P2122" s="5"/>
      <c r="Q2122" s="6" t="s">
        <v>30</v>
      </c>
      <c r="R2122" s="4" t="s">
        <v>31</v>
      </c>
      <c r="S2122" s="7" t="s">
        <v>32</v>
      </c>
      <c r="T2122" s="5"/>
    </row>
    <row r="2123" customFormat="false" ht="29.25" hidden="false" customHeight="true" outlineLevel="0" collapsed="false">
      <c r="A2123" s="4" t="n">
        <v>2122</v>
      </c>
      <c r="B2123" s="6" t="s">
        <v>1787</v>
      </c>
      <c r="C2123" s="6" t="s">
        <v>7227</v>
      </c>
      <c r="D2123" s="6" t="s">
        <v>7228</v>
      </c>
      <c r="E2123" s="7" t="s">
        <v>21</v>
      </c>
      <c r="F2123" s="5" t="s">
        <v>7648</v>
      </c>
      <c r="G2123" s="5" t="s">
        <v>2673</v>
      </c>
      <c r="H2123" s="5" t="s">
        <v>2674</v>
      </c>
      <c r="I2123" s="5" t="s">
        <v>6751</v>
      </c>
      <c r="J2123" s="5" t="s">
        <v>7647</v>
      </c>
      <c r="K2123" s="5"/>
      <c r="L2123" s="4" t="s">
        <v>62</v>
      </c>
      <c r="M2123" s="8" t="s">
        <v>129</v>
      </c>
      <c r="N2123" s="9" t="s">
        <v>7233</v>
      </c>
      <c r="O2123" s="5"/>
      <c r="P2123" s="5"/>
      <c r="Q2123" s="6" t="s">
        <v>30</v>
      </c>
      <c r="R2123" s="4" t="s">
        <v>31</v>
      </c>
      <c r="S2123" s="7" t="s">
        <v>32</v>
      </c>
      <c r="T2123" s="5"/>
    </row>
    <row r="2124" customFormat="false" ht="29.25" hidden="false" customHeight="true" outlineLevel="0" collapsed="false">
      <c r="A2124" s="4" t="n">
        <v>2123</v>
      </c>
      <c r="B2124" s="6" t="s">
        <v>1787</v>
      </c>
      <c r="C2124" s="6" t="s">
        <v>7227</v>
      </c>
      <c r="D2124" s="6" t="s">
        <v>7228</v>
      </c>
      <c r="E2124" s="7" t="s">
        <v>21</v>
      </c>
      <c r="F2124" s="5" t="s">
        <v>7649</v>
      </c>
      <c r="G2124" s="5" t="s">
        <v>2673</v>
      </c>
      <c r="H2124" s="5" t="s">
        <v>2674</v>
      </c>
      <c r="I2124" s="5" t="s">
        <v>6751</v>
      </c>
      <c r="J2124" s="5" t="s">
        <v>7647</v>
      </c>
      <c r="K2124" s="5"/>
      <c r="L2124" s="4" t="s">
        <v>27</v>
      </c>
      <c r="M2124" s="8" t="s">
        <v>129</v>
      </c>
      <c r="N2124" s="9" t="s">
        <v>7233</v>
      </c>
      <c r="O2124" s="5"/>
      <c r="P2124" s="5"/>
      <c r="Q2124" s="6" t="s">
        <v>30</v>
      </c>
      <c r="R2124" s="4" t="s">
        <v>31</v>
      </c>
      <c r="S2124" s="7" t="s">
        <v>32</v>
      </c>
      <c r="T2124" s="5"/>
    </row>
    <row r="2125" customFormat="false" ht="29.25" hidden="false" customHeight="true" outlineLevel="0" collapsed="false">
      <c r="A2125" s="4" t="n">
        <v>2124</v>
      </c>
      <c r="B2125" s="6" t="s">
        <v>1787</v>
      </c>
      <c r="C2125" s="6" t="s">
        <v>7227</v>
      </c>
      <c r="D2125" s="6" t="s">
        <v>7228</v>
      </c>
      <c r="E2125" s="7" t="s">
        <v>21</v>
      </c>
      <c r="F2125" s="5" t="s">
        <v>7650</v>
      </c>
      <c r="G2125" s="5" t="s">
        <v>2673</v>
      </c>
      <c r="H2125" s="5" t="s">
        <v>2674</v>
      </c>
      <c r="I2125" s="5" t="s">
        <v>6751</v>
      </c>
      <c r="J2125" s="5" t="s">
        <v>7647</v>
      </c>
      <c r="K2125" s="5"/>
      <c r="L2125" s="4" t="s">
        <v>44</v>
      </c>
      <c r="M2125" s="8" t="s">
        <v>129</v>
      </c>
      <c r="N2125" s="9" t="s">
        <v>7233</v>
      </c>
      <c r="O2125" s="5"/>
      <c r="P2125" s="5"/>
      <c r="Q2125" s="6" t="s">
        <v>30</v>
      </c>
      <c r="R2125" s="4" t="s">
        <v>31</v>
      </c>
      <c r="S2125" s="7" t="s">
        <v>32</v>
      </c>
      <c r="T2125" s="5"/>
    </row>
    <row r="2126" customFormat="false" ht="29.25" hidden="false" customHeight="true" outlineLevel="0" collapsed="false">
      <c r="A2126" s="4" t="n">
        <v>2125</v>
      </c>
      <c r="B2126" s="6" t="s">
        <v>1787</v>
      </c>
      <c r="C2126" s="6" t="s">
        <v>7227</v>
      </c>
      <c r="D2126" s="6" t="s">
        <v>7228</v>
      </c>
      <c r="E2126" s="7" t="s">
        <v>21</v>
      </c>
      <c r="F2126" s="5" t="s">
        <v>7651</v>
      </c>
      <c r="G2126" s="5" t="s">
        <v>2674</v>
      </c>
      <c r="H2126" s="5" t="s">
        <v>6751</v>
      </c>
      <c r="I2126" s="5" t="s">
        <v>4877</v>
      </c>
      <c r="J2126" s="5" t="s">
        <v>7652</v>
      </c>
      <c r="K2126" s="5"/>
      <c r="L2126" s="4" t="s">
        <v>44</v>
      </c>
      <c r="M2126" s="8" t="s">
        <v>129</v>
      </c>
      <c r="N2126" s="9" t="s">
        <v>7233</v>
      </c>
      <c r="O2126" s="5"/>
      <c r="P2126" s="5"/>
      <c r="Q2126" s="6" t="s">
        <v>30</v>
      </c>
      <c r="R2126" s="4" t="s">
        <v>31</v>
      </c>
      <c r="S2126" s="7" t="s">
        <v>32</v>
      </c>
      <c r="T2126" s="5"/>
    </row>
    <row r="2127" customFormat="false" ht="29.25" hidden="false" customHeight="true" outlineLevel="0" collapsed="false">
      <c r="A2127" s="4" t="n">
        <v>2126</v>
      </c>
      <c r="B2127" s="6" t="s">
        <v>1787</v>
      </c>
      <c r="C2127" s="6" t="s">
        <v>7227</v>
      </c>
      <c r="D2127" s="6" t="s">
        <v>7228</v>
      </c>
      <c r="E2127" s="7" t="s">
        <v>21</v>
      </c>
      <c r="F2127" s="5" t="s">
        <v>7653</v>
      </c>
      <c r="G2127" s="5" t="s">
        <v>4877</v>
      </c>
      <c r="H2127" s="5" t="s">
        <v>4878</v>
      </c>
      <c r="I2127" s="5" t="s">
        <v>7654</v>
      </c>
      <c r="J2127" s="5" t="s">
        <v>7655</v>
      </c>
      <c r="K2127" s="5"/>
      <c r="L2127" s="4" t="s">
        <v>27</v>
      </c>
      <c r="M2127" s="8" t="s">
        <v>79</v>
      </c>
      <c r="N2127" s="9" t="s">
        <v>7233</v>
      </c>
      <c r="O2127" s="5"/>
      <c r="P2127" s="5"/>
      <c r="Q2127" s="6" t="s">
        <v>30</v>
      </c>
      <c r="R2127" s="4" t="s">
        <v>31</v>
      </c>
      <c r="S2127" s="7" t="s">
        <v>32</v>
      </c>
      <c r="T2127" s="5"/>
    </row>
    <row r="2128" customFormat="false" ht="29.25" hidden="false" customHeight="true" outlineLevel="0" collapsed="false">
      <c r="A2128" s="4" t="n">
        <v>2127</v>
      </c>
      <c r="B2128" s="6" t="s">
        <v>1787</v>
      </c>
      <c r="C2128" s="6" t="s">
        <v>7227</v>
      </c>
      <c r="D2128" s="6" t="s">
        <v>7228</v>
      </c>
      <c r="E2128" s="7" t="s">
        <v>21</v>
      </c>
      <c r="F2128" s="5" t="s">
        <v>7656</v>
      </c>
      <c r="G2128" s="5" t="s">
        <v>4877</v>
      </c>
      <c r="H2128" s="5" t="s">
        <v>4878</v>
      </c>
      <c r="I2128" s="5" t="s">
        <v>7654</v>
      </c>
      <c r="J2128" s="5" t="s">
        <v>7655</v>
      </c>
      <c r="K2128" s="5"/>
      <c r="L2128" s="4" t="s">
        <v>44</v>
      </c>
      <c r="M2128" s="8" t="s">
        <v>79</v>
      </c>
      <c r="N2128" s="9" t="s">
        <v>7233</v>
      </c>
      <c r="O2128" s="5"/>
      <c r="P2128" s="5"/>
      <c r="Q2128" s="6" t="s">
        <v>30</v>
      </c>
      <c r="R2128" s="4" t="s">
        <v>31</v>
      </c>
      <c r="S2128" s="7" t="s">
        <v>32</v>
      </c>
      <c r="T2128" s="5"/>
    </row>
    <row r="2129" customFormat="false" ht="29.25" hidden="false" customHeight="true" outlineLevel="0" collapsed="false">
      <c r="A2129" s="4" t="n">
        <v>2128</v>
      </c>
      <c r="B2129" s="6" t="s">
        <v>1787</v>
      </c>
      <c r="C2129" s="6" t="s">
        <v>7227</v>
      </c>
      <c r="D2129" s="6" t="s">
        <v>7228</v>
      </c>
      <c r="E2129" s="7" t="s">
        <v>21</v>
      </c>
      <c r="F2129" s="6" t="s">
        <v>7657</v>
      </c>
      <c r="G2129" s="6" t="s">
        <v>7551</v>
      </c>
      <c r="H2129" s="6" t="s">
        <v>7628</v>
      </c>
      <c r="I2129" s="6" t="s">
        <v>7658</v>
      </c>
      <c r="J2129" s="6" t="s">
        <v>78</v>
      </c>
      <c r="K2129" s="5"/>
      <c r="L2129" s="4" t="s">
        <v>44</v>
      </c>
      <c r="M2129" s="8" t="s">
        <v>129</v>
      </c>
      <c r="N2129" s="9" t="s">
        <v>7233</v>
      </c>
      <c r="O2129" s="5"/>
      <c r="P2129" s="5"/>
      <c r="Q2129" s="6" t="s">
        <v>30</v>
      </c>
      <c r="R2129" s="4" t="s">
        <v>31</v>
      </c>
      <c r="S2129" s="7" t="s">
        <v>32</v>
      </c>
      <c r="T2129" s="5"/>
    </row>
    <row r="2130" customFormat="false" ht="29.25" hidden="false" customHeight="true" outlineLevel="0" collapsed="false">
      <c r="A2130" s="4" t="n">
        <v>2129</v>
      </c>
      <c r="B2130" s="6" t="s">
        <v>1787</v>
      </c>
      <c r="C2130" s="6" t="s">
        <v>7659</v>
      </c>
      <c r="D2130" s="6" t="s">
        <v>7660</v>
      </c>
      <c r="E2130" s="7" t="s">
        <v>21</v>
      </c>
      <c r="F2130" s="6" t="s">
        <v>7661</v>
      </c>
      <c r="G2130" s="5" t="s">
        <v>7662</v>
      </c>
      <c r="H2130" s="5" t="s">
        <v>3613</v>
      </c>
      <c r="I2130" s="5" t="s">
        <v>3616</v>
      </c>
      <c r="J2130" s="5" t="s">
        <v>7663</v>
      </c>
      <c r="K2130" s="5"/>
      <c r="L2130" s="4" t="s">
        <v>51</v>
      </c>
      <c r="M2130" s="8" t="s">
        <v>129</v>
      </c>
      <c r="N2130" s="9" t="s">
        <v>7664</v>
      </c>
      <c r="O2130" s="5"/>
      <c r="P2130" s="5"/>
      <c r="Q2130" s="6" t="s">
        <v>30</v>
      </c>
      <c r="R2130" s="4" t="s">
        <v>31</v>
      </c>
      <c r="S2130" s="7" t="s">
        <v>32</v>
      </c>
      <c r="T2130" s="5"/>
    </row>
    <row r="2131" customFormat="false" ht="29.25" hidden="false" customHeight="true" outlineLevel="0" collapsed="false">
      <c r="A2131" s="4" t="n">
        <v>2130</v>
      </c>
      <c r="B2131" s="6" t="s">
        <v>1787</v>
      </c>
      <c r="C2131" s="6" t="s">
        <v>7659</v>
      </c>
      <c r="D2131" s="6" t="s">
        <v>7660</v>
      </c>
      <c r="E2131" s="7" t="s">
        <v>21</v>
      </c>
      <c r="F2131" s="6" t="s">
        <v>7665</v>
      </c>
      <c r="G2131" s="5" t="s">
        <v>6321</v>
      </c>
      <c r="H2131" s="5" t="s">
        <v>6319</v>
      </c>
      <c r="I2131" s="5" t="s">
        <v>7666</v>
      </c>
      <c r="J2131" s="5" t="s">
        <v>7667</v>
      </c>
      <c r="K2131" s="5"/>
      <c r="L2131" s="4" t="s">
        <v>44</v>
      </c>
      <c r="M2131" s="8" t="s">
        <v>79</v>
      </c>
      <c r="N2131" s="9" t="s">
        <v>7668</v>
      </c>
      <c r="O2131" s="5"/>
      <c r="P2131" s="5"/>
      <c r="Q2131" s="6" t="s">
        <v>30</v>
      </c>
      <c r="R2131" s="4" t="s">
        <v>31</v>
      </c>
      <c r="S2131" s="7" t="s">
        <v>32</v>
      </c>
      <c r="T2131" s="5"/>
    </row>
    <row r="2132" customFormat="false" ht="29.25" hidden="false" customHeight="true" outlineLevel="0" collapsed="false">
      <c r="A2132" s="4" t="n">
        <v>2131</v>
      </c>
      <c r="B2132" s="6" t="s">
        <v>1787</v>
      </c>
      <c r="C2132" s="6" t="s">
        <v>7659</v>
      </c>
      <c r="D2132" s="6" t="s">
        <v>7660</v>
      </c>
      <c r="E2132" s="7" t="s">
        <v>21</v>
      </c>
      <c r="F2132" s="6" t="s">
        <v>7669</v>
      </c>
      <c r="G2132" s="6" t="s">
        <v>7670</v>
      </c>
      <c r="H2132" s="6" t="s">
        <v>7671</v>
      </c>
      <c r="I2132" s="6" t="s">
        <v>1906</v>
      </c>
      <c r="J2132" s="6" t="s">
        <v>150</v>
      </c>
      <c r="K2132" s="5"/>
      <c r="L2132" s="4" t="s">
        <v>62</v>
      </c>
      <c r="M2132" s="8" t="s">
        <v>129</v>
      </c>
      <c r="N2132" s="9" t="s">
        <v>7668</v>
      </c>
      <c r="O2132" s="5"/>
      <c r="P2132" s="5"/>
      <c r="Q2132" s="6" t="s">
        <v>30</v>
      </c>
      <c r="R2132" s="4" t="s">
        <v>31</v>
      </c>
      <c r="S2132" s="7" t="s">
        <v>32</v>
      </c>
      <c r="T2132" s="5"/>
    </row>
    <row r="2133" customFormat="false" ht="29.25" hidden="false" customHeight="true" outlineLevel="0" collapsed="false">
      <c r="A2133" s="4" t="n">
        <v>2132</v>
      </c>
      <c r="B2133" s="6" t="s">
        <v>1787</v>
      </c>
      <c r="C2133" s="6" t="s">
        <v>7659</v>
      </c>
      <c r="D2133" s="6" t="s">
        <v>7660</v>
      </c>
      <c r="E2133" s="7" t="s">
        <v>21</v>
      </c>
      <c r="F2133" s="5" t="s">
        <v>7672</v>
      </c>
      <c r="G2133" s="5" t="s">
        <v>7673</v>
      </c>
      <c r="H2133" s="5" t="s">
        <v>7674</v>
      </c>
      <c r="I2133" s="5" t="s">
        <v>7675</v>
      </c>
      <c r="J2133" s="5" t="s">
        <v>6683</v>
      </c>
      <c r="K2133" s="5"/>
      <c r="L2133" s="4" t="s">
        <v>44</v>
      </c>
      <c r="M2133" s="8" t="s">
        <v>129</v>
      </c>
      <c r="N2133" s="9" t="s">
        <v>7668</v>
      </c>
      <c r="O2133" s="5"/>
      <c r="P2133" s="5"/>
      <c r="Q2133" s="6" t="s">
        <v>30</v>
      </c>
      <c r="R2133" s="4" t="s">
        <v>31</v>
      </c>
      <c r="S2133" s="7" t="s">
        <v>32</v>
      </c>
      <c r="T2133" s="5"/>
    </row>
    <row r="2134" customFormat="false" ht="29.25" hidden="false" customHeight="true" outlineLevel="0" collapsed="false">
      <c r="A2134" s="4" t="n">
        <v>2133</v>
      </c>
      <c r="B2134" s="6" t="s">
        <v>1787</v>
      </c>
      <c r="C2134" s="6" t="s">
        <v>7659</v>
      </c>
      <c r="D2134" s="6" t="s">
        <v>7660</v>
      </c>
      <c r="E2134" s="7" t="s">
        <v>21</v>
      </c>
      <c r="F2134" s="6" t="s">
        <v>7676</v>
      </c>
      <c r="G2134" s="5" t="s">
        <v>7338</v>
      </c>
      <c r="H2134" s="5" t="s">
        <v>4993</v>
      </c>
      <c r="I2134" s="5" t="s">
        <v>5877</v>
      </c>
      <c r="J2134" s="5" t="s">
        <v>7677</v>
      </c>
      <c r="K2134" s="5"/>
      <c r="L2134" s="4" t="s">
        <v>62</v>
      </c>
      <c r="M2134" s="8" t="s">
        <v>129</v>
      </c>
      <c r="N2134" s="9" t="s">
        <v>7668</v>
      </c>
      <c r="O2134" s="5"/>
      <c r="P2134" s="5"/>
      <c r="Q2134" s="6" t="s">
        <v>30</v>
      </c>
      <c r="R2134" s="4" t="s">
        <v>31</v>
      </c>
      <c r="S2134" s="7" t="s">
        <v>32</v>
      </c>
      <c r="T2134" s="5"/>
    </row>
    <row r="2135" customFormat="false" ht="29.25" hidden="false" customHeight="true" outlineLevel="0" collapsed="false">
      <c r="A2135" s="4" t="n">
        <v>2134</v>
      </c>
      <c r="B2135" s="6" t="s">
        <v>1787</v>
      </c>
      <c r="C2135" s="6" t="s">
        <v>7659</v>
      </c>
      <c r="D2135" s="6" t="s">
        <v>7660</v>
      </c>
      <c r="E2135" s="7" t="s">
        <v>21</v>
      </c>
      <c r="F2135" s="6" t="s">
        <v>7678</v>
      </c>
      <c r="G2135" s="5" t="s">
        <v>7679</v>
      </c>
      <c r="H2135" s="5" t="s">
        <v>7680</v>
      </c>
      <c r="I2135" s="5" t="s">
        <v>7681</v>
      </c>
      <c r="J2135" s="5" t="s">
        <v>7682</v>
      </c>
      <c r="K2135" s="5"/>
      <c r="L2135" s="4" t="s">
        <v>62</v>
      </c>
      <c r="M2135" s="8" t="s">
        <v>129</v>
      </c>
      <c r="N2135" s="9" t="s">
        <v>7668</v>
      </c>
      <c r="O2135" s="5"/>
      <c r="P2135" s="5"/>
      <c r="Q2135" s="6" t="s">
        <v>30</v>
      </c>
      <c r="R2135" s="4" t="s">
        <v>31</v>
      </c>
      <c r="S2135" s="7" t="s">
        <v>32</v>
      </c>
      <c r="T2135" s="5"/>
    </row>
    <row r="2136" customFormat="false" ht="29.25" hidden="false" customHeight="true" outlineLevel="0" collapsed="false">
      <c r="A2136" s="4" t="n">
        <v>2135</v>
      </c>
      <c r="B2136" s="6" t="s">
        <v>1787</v>
      </c>
      <c r="C2136" s="6" t="s">
        <v>7659</v>
      </c>
      <c r="D2136" s="6" t="s">
        <v>7660</v>
      </c>
      <c r="E2136" s="7" t="s">
        <v>21</v>
      </c>
      <c r="F2136" s="6" t="s">
        <v>7683</v>
      </c>
      <c r="G2136" s="5" t="s">
        <v>7684</v>
      </c>
      <c r="H2136" s="5" t="s">
        <v>7685</v>
      </c>
      <c r="I2136" s="5" t="s">
        <v>7686</v>
      </c>
      <c r="J2136" s="6" t="s">
        <v>1906</v>
      </c>
      <c r="K2136" s="5"/>
      <c r="L2136" s="4" t="s">
        <v>51</v>
      </c>
      <c r="M2136" s="8" t="s">
        <v>129</v>
      </c>
      <c r="N2136" s="9" t="s">
        <v>7668</v>
      </c>
      <c r="O2136" s="5"/>
      <c r="P2136" s="5"/>
      <c r="Q2136" s="6" t="s">
        <v>30</v>
      </c>
      <c r="R2136" s="4" t="s">
        <v>31</v>
      </c>
      <c r="S2136" s="7" t="s">
        <v>32</v>
      </c>
      <c r="T2136" s="5"/>
    </row>
    <row r="2137" customFormat="false" ht="29.25" hidden="false" customHeight="true" outlineLevel="0" collapsed="false">
      <c r="A2137" s="4" t="n">
        <v>2136</v>
      </c>
      <c r="B2137" s="6" t="s">
        <v>1787</v>
      </c>
      <c r="C2137" s="6" t="s">
        <v>7659</v>
      </c>
      <c r="D2137" s="6" t="s">
        <v>7660</v>
      </c>
      <c r="E2137" s="7" t="s">
        <v>21</v>
      </c>
      <c r="F2137" s="6" t="s">
        <v>7687</v>
      </c>
      <c r="G2137" s="5" t="s">
        <v>1793</v>
      </c>
      <c r="H2137" s="5" t="s">
        <v>1254</v>
      </c>
      <c r="I2137" s="5" t="s">
        <v>6345</v>
      </c>
      <c r="J2137" s="6" t="s">
        <v>1906</v>
      </c>
      <c r="K2137" s="5"/>
      <c r="L2137" s="4" t="s">
        <v>51</v>
      </c>
      <c r="M2137" s="8" t="s">
        <v>129</v>
      </c>
      <c r="N2137" s="9" t="s">
        <v>7668</v>
      </c>
      <c r="O2137" s="5"/>
      <c r="P2137" s="5"/>
      <c r="Q2137" s="6" t="s">
        <v>30</v>
      </c>
      <c r="R2137" s="4" t="s">
        <v>31</v>
      </c>
      <c r="S2137" s="7" t="s">
        <v>32</v>
      </c>
      <c r="T2137" s="5"/>
    </row>
    <row r="2138" customFormat="false" ht="29.25" hidden="false" customHeight="true" outlineLevel="0" collapsed="false">
      <c r="A2138" s="4" t="n">
        <v>2137</v>
      </c>
      <c r="B2138" s="6" t="s">
        <v>1787</v>
      </c>
      <c r="C2138" s="6" t="s">
        <v>7659</v>
      </c>
      <c r="D2138" s="6" t="s">
        <v>7660</v>
      </c>
      <c r="E2138" s="7" t="s">
        <v>21</v>
      </c>
      <c r="F2138" s="6" t="s">
        <v>7688</v>
      </c>
      <c r="G2138" s="5" t="s">
        <v>7689</v>
      </c>
      <c r="H2138" s="5" t="s">
        <v>7690</v>
      </c>
      <c r="I2138" s="5" t="s">
        <v>7691</v>
      </c>
      <c r="J2138" s="5" t="s">
        <v>7692</v>
      </c>
      <c r="K2138" s="5"/>
      <c r="L2138" s="4" t="s">
        <v>27</v>
      </c>
      <c r="M2138" s="8" t="s">
        <v>129</v>
      </c>
      <c r="N2138" s="9" t="s">
        <v>7668</v>
      </c>
      <c r="O2138" s="5"/>
      <c r="P2138" s="5"/>
      <c r="Q2138" s="6" t="s">
        <v>30</v>
      </c>
      <c r="R2138" s="4" t="s">
        <v>31</v>
      </c>
      <c r="S2138" s="7" t="s">
        <v>32</v>
      </c>
      <c r="T2138" s="5"/>
    </row>
    <row r="2139" customFormat="false" ht="29.25" hidden="false" customHeight="true" outlineLevel="0" collapsed="false">
      <c r="A2139" s="4" t="n">
        <v>2138</v>
      </c>
      <c r="B2139" s="6" t="s">
        <v>1787</v>
      </c>
      <c r="C2139" s="6" t="s">
        <v>7659</v>
      </c>
      <c r="D2139" s="6" t="s">
        <v>7660</v>
      </c>
      <c r="E2139" s="7" t="s">
        <v>21</v>
      </c>
      <c r="F2139" s="6" t="s">
        <v>7693</v>
      </c>
      <c r="G2139" s="5" t="s">
        <v>7694</v>
      </c>
      <c r="H2139" s="5" t="s">
        <v>7695</v>
      </c>
      <c r="I2139" s="5" t="s">
        <v>7379</v>
      </c>
      <c r="J2139" s="5" t="s">
        <v>7380</v>
      </c>
      <c r="K2139" s="5"/>
      <c r="L2139" s="4" t="s">
        <v>27</v>
      </c>
      <c r="M2139" s="8" t="s">
        <v>129</v>
      </c>
      <c r="N2139" s="9" t="s">
        <v>7668</v>
      </c>
      <c r="O2139" s="5"/>
      <c r="P2139" s="5"/>
      <c r="Q2139" s="6" t="s">
        <v>30</v>
      </c>
      <c r="R2139" s="4" t="s">
        <v>31</v>
      </c>
      <c r="S2139" s="7" t="s">
        <v>32</v>
      </c>
      <c r="T2139" s="5"/>
    </row>
    <row r="2140" customFormat="false" ht="29.25" hidden="false" customHeight="true" outlineLevel="0" collapsed="false">
      <c r="A2140" s="4" t="n">
        <v>2139</v>
      </c>
      <c r="B2140" s="6" t="s">
        <v>1787</v>
      </c>
      <c r="C2140" s="6" t="s">
        <v>7659</v>
      </c>
      <c r="D2140" s="6" t="s">
        <v>7660</v>
      </c>
      <c r="E2140" s="7" t="s">
        <v>21</v>
      </c>
      <c r="F2140" s="6" t="s">
        <v>7696</v>
      </c>
      <c r="G2140" s="5" t="s">
        <v>7697</v>
      </c>
      <c r="H2140" s="5" t="s">
        <v>7698</v>
      </c>
      <c r="I2140" s="5" t="s">
        <v>7699</v>
      </c>
      <c r="J2140" s="5" t="s">
        <v>7700</v>
      </c>
      <c r="K2140" s="5"/>
      <c r="L2140" s="4" t="s">
        <v>27</v>
      </c>
      <c r="M2140" s="8" t="s">
        <v>79</v>
      </c>
      <c r="N2140" s="9" t="s">
        <v>7668</v>
      </c>
      <c r="O2140" s="5"/>
      <c r="P2140" s="5"/>
      <c r="Q2140" s="6" t="s">
        <v>30</v>
      </c>
      <c r="R2140" s="4" t="s">
        <v>31</v>
      </c>
      <c r="S2140" s="7" t="s">
        <v>32</v>
      </c>
      <c r="T2140" s="5"/>
    </row>
    <row r="2141" customFormat="false" ht="29.25" hidden="false" customHeight="true" outlineLevel="0" collapsed="false">
      <c r="A2141" s="4" t="n">
        <v>2140</v>
      </c>
      <c r="B2141" s="6" t="s">
        <v>1787</v>
      </c>
      <c r="C2141" s="6" t="s">
        <v>7659</v>
      </c>
      <c r="D2141" s="6" t="s">
        <v>7660</v>
      </c>
      <c r="E2141" s="7" t="s">
        <v>21</v>
      </c>
      <c r="F2141" s="6" t="s">
        <v>7701</v>
      </c>
      <c r="G2141" s="5" t="s">
        <v>7702</v>
      </c>
      <c r="H2141" s="5" t="s">
        <v>7703</v>
      </c>
      <c r="I2141" s="5" t="s">
        <v>7704</v>
      </c>
      <c r="J2141" s="5" t="s">
        <v>7705</v>
      </c>
      <c r="K2141" s="5"/>
      <c r="L2141" s="4" t="s">
        <v>44</v>
      </c>
      <c r="M2141" s="8" t="s">
        <v>129</v>
      </c>
      <c r="N2141" s="9" t="s">
        <v>7706</v>
      </c>
      <c r="O2141" s="5"/>
      <c r="P2141" s="5"/>
      <c r="Q2141" s="6" t="s">
        <v>30</v>
      </c>
      <c r="R2141" s="4" t="s">
        <v>31</v>
      </c>
      <c r="S2141" s="7" t="s">
        <v>32</v>
      </c>
      <c r="T2141" s="5"/>
    </row>
    <row r="2142" customFormat="false" ht="29.25" hidden="false" customHeight="true" outlineLevel="0" collapsed="false">
      <c r="A2142" s="4" t="n">
        <v>2141</v>
      </c>
      <c r="B2142" s="6" t="s">
        <v>1787</v>
      </c>
      <c r="C2142" s="6" t="s">
        <v>7659</v>
      </c>
      <c r="D2142" s="6" t="s">
        <v>7660</v>
      </c>
      <c r="E2142" s="7" t="s">
        <v>21</v>
      </c>
      <c r="F2142" s="6" t="s">
        <v>7707</v>
      </c>
      <c r="G2142" s="6" t="s">
        <v>7708</v>
      </c>
      <c r="H2142" s="6" t="s">
        <v>7709</v>
      </c>
      <c r="I2142" s="6" t="s">
        <v>7710</v>
      </c>
      <c r="J2142" s="6" t="s">
        <v>7711</v>
      </c>
      <c r="K2142" s="5"/>
      <c r="L2142" s="4" t="s">
        <v>51</v>
      </c>
      <c r="M2142" s="8" t="s">
        <v>129</v>
      </c>
      <c r="N2142" s="9" t="s">
        <v>7664</v>
      </c>
      <c r="O2142" s="5"/>
      <c r="P2142" s="5"/>
      <c r="Q2142" s="6" t="s">
        <v>30</v>
      </c>
      <c r="R2142" s="4" t="s">
        <v>31</v>
      </c>
      <c r="S2142" s="7" t="s">
        <v>32</v>
      </c>
      <c r="T2142" s="5"/>
    </row>
    <row r="2143" customFormat="false" ht="29.25" hidden="false" customHeight="true" outlineLevel="0" collapsed="false">
      <c r="A2143" s="4" t="n">
        <v>2142</v>
      </c>
      <c r="B2143" s="6" t="s">
        <v>1787</v>
      </c>
      <c r="C2143" s="6" t="s">
        <v>7659</v>
      </c>
      <c r="D2143" s="6" t="s">
        <v>7660</v>
      </c>
      <c r="E2143" s="7" t="s">
        <v>21</v>
      </c>
      <c r="F2143" s="6" t="s">
        <v>7712</v>
      </c>
      <c r="G2143" s="5" t="s">
        <v>1321</v>
      </c>
      <c r="H2143" s="5" t="s">
        <v>1226</v>
      </c>
      <c r="I2143" s="5" t="s">
        <v>6663</v>
      </c>
      <c r="J2143" s="5" t="s">
        <v>7689</v>
      </c>
      <c r="K2143" s="5"/>
      <c r="L2143" s="4" t="s">
        <v>62</v>
      </c>
      <c r="M2143" s="8" t="s">
        <v>129</v>
      </c>
      <c r="N2143" s="9" t="s">
        <v>7668</v>
      </c>
      <c r="O2143" s="5"/>
      <c r="P2143" s="5"/>
      <c r="Q2143" s="6" t="s">
        <v>30</v>
      </c>
      <c r="R2143" s="4" t="s">
        <v>31</v>
      </c>
      <c r="S2143" s="7" t="s">
        <v>32</v>
      </c>
      <c r="T2143" s="5"/>
    </row>
    <row r="2144" customFormat="false" ht="29.25" hidden="false" customHeight="true" outlineLevel="0" collapsed="false">
      <c r="A2144" s="4" t="n">
        <v>2143</v>
      </c>
      <c r="B2144" s="6" t="s">
        <v>1787</v>
      </c>
      <c r="C2144" s="6" t="s">
        <v>7659</v>
      </c>
      <c r="D2144" s="6" t="s">
        <v>7660</v>
      </c>
      <c r="E2144" s="7" t="s">
        <v>21</v>
      </c>
      <c r="F2144" s="6" t="s">
        <v>7713</v>
      </c>
      <c r="G2144" s="5" t="s">
        <v>7399</v>
      </c>
      <c r="H2144" s="5" t="s">
        <v>7714</v>
      </c>
      <c r="I2144" s="5" t="s">
        <v>7427</v>
      </c>
      <c r="J2144" s="5" t="s">
        <v>7715</v>
      </c>
      <c r="K2144" s="5"/>
      <c r="L2144" s="4" t="s">
        <v>51</v>
      </c>
      <c r="M2144" s="8" t="s">
        <v>79</v>
      </c>
      <c r="N2144" s="9" t="s">
        <v>7668</v>
      </c>
      <c r="O2144" s="5"/>
      <c r="P2144" s="5"/>
      <c r="Q2144" s="6" t="s">
        <v>30</v>
      </c>
      <c r="R2144" s="4" t="s">
        <v>31</v>
      </c>
      <c r="S2144" s="7" t="s">
        <v>32</v>
      </c>
      <c r="T2144" s="5"/>
    </row>
    <row r="2145" customFormat="false" ht="29.25" hidden="false" customHeight="true" outlineLevel="0" collapsed="false">
      <c r="A2145" s="4" t="n">
        <v>2144</v>
      </c>
      <c r="B2145" s="6" t="s">
        <v>1787</v>
      </c>
      <c r="C2145" s="6" t="s">
        <v>7659</v>
      </c>
      <c r="D2145" s="6" t="s">
        <v>7660</v>
      </c>
      <c r="E2145" s="7" t="s">
        <v>21</v>
      </c>
      <c r="F2145" s="6" t="s">
        <v>7716</v>
      </c>
      <c r="G2145" s="5" t="s">
        <v>82</v>
      </c>
      <c r="H2145" s="5" t="s">
        <v>313</v>
      </c>
      <c r="I2145" s="5" t="s">
        <v>1378</v>
      </c>
      <c r="J2145" s="5" t="s">
        <v>314</v>
      </c>
      <c r="K2145" s="5"/>
      <c r="L2145" s="4" t="s">
        <v>62</v>
      </c>
      <c r="M2145" s="8" t="s">
        <v>79</v>
      </c>
      <c r="N2145" s="9" t="s">
        <v>7664</v>
      </c>
      <c r="O2145" s="5"/>
      <c r="P2145" s="5"/>
      <c r="Q2145" s="6" t="s">
        <v>30</v>
      </c>
      <c r="R2145" s="4" t="s">
        <v>31</v>
      </c>
      <c r="S2145" s="7" t="s">
        <v>32</v>
      </c>
      <c r="T2145" s="5"/>
    </row>
    <row r="2146" customFormat="false" ht="29.25" hidden="false" customHeight="true" outlineLevel="0" collapsed="false">
      <c r="A2146" s="4" t="n">
        <v>2145</v>
      </c>
      <c r="B2146" s="6" t="s">
        <v>1787</v>
      </c>
      <c r="C2146" s="6" t="s">
        <v>7659</v>
      </c>
      <c r="D2146" s="6" t="s">
        <v>7660</v>
      </c>
      <c r="E2146" s="7" t="s">
        <v>21</v>
      </c>
      <c r="F2146" s="6" t="s">
        <v>7717</v>
      </c>
      <c r="G2146" s="6" t="s">
        <v>7671</v>
      </c>
      <c r="H2146" s="6" t="s">
        <v>7670</v>
      </c>
      <c r="I2146" s="6" t="s">
        <v>7718</v>
      </c>
      <c r="J2146" s="6" t="s">
        <v>1906</v>
      </c>
      <c r="K2146" s="5"/>
      <c r="L2146" s="4" t="s">
        <v>51</v>
      </c>
      <c r="M2146" s="8" t="s">
        <v>79</v>
      </c>
      <c r="N2146" s="9" t="s">
        <v>7668</v>
      </c>
      <c r="O2146" s="5"/>
      <c r="P2146" s="5"/>
      <c r="Q2146" s="6" t="s">
        <v>30</v>
      </c>
      <c r="R2146" s="4" t="s">
        <v>31</v>
      </c>
      <c r="S2146" s="7" t="s">
        <v>32</v>
      </c>
      <c r="T2146" s="5"/>
    </row>
    <row r="2147" customFormat="false" ht="29.25" hidden="false" customHeight="true" outlineLevel="0" collapsed="false">
      <c r="A2147" s="4" t="n">
        <v>2146</v>
      </c>
      <c r="B2147" s="6" t="s">
        <v>1787</v>
      </c>
      <c r="C2147" s="6" t="s">
        <v>7659</v>
      </c>
      <c r="D2147" s="6" t="s">
        <v>7660</v>
      </c>
      <c r="E2147" s="7" t="s">
        <v>21</v>
      </c>
      <c r="F2147" s="6" t="s">
        <v>7719</v>
      </c>
      <c r="G2147" s="5" t="s">
        <v>1327</v>
      </c>
      <c r="H2147" s="5" t="s">
        <v>2671</v>
      </c>
      <c r="I2147" s="5" t="s">
        <v>2672</v>
      </c>
      <c r="J2147" s="5" t="s">
        <v>7720</v>
      </c>
      <c r="K2147" s="5"/>
      <c r="L2147" s="4" t="s">
        <v>51</v>
      </c>
      <c r="M2147" s="8" t="s">
        <v>129</v>
      </c>
      <c r="N2147" s="9" t="s">
        <v>7668</v>
      </c>
      <c r="O2147" s="5"/>
      <c r="P2147" s="5"/>
      <c r="Q2147" s="6" t="s">
        <v>30</v>
      </c>
      <c r="R2147" s="4" t="s">
        <v>31</v>
      </c>
      <c r="S2147" s="7" t="s">
        <v>32</v>
      </c>
      <c r="T2147" s="5"/>
    </row>
    <row r="2148" customFormat="false" ht="29.25" hidden="false" customHeight="true" outlineLevel="0" collapsed="false">
      <c r="A2148" s="4" t="n">
        <v>2147</v>
      </c>
      <c r="B2148" s="6" t="s">
        <v>1787</v>
      </c>
      <c r="C2148" s="6" t="s">
        <v>7659</v>
      </c>
      <c r="D2148" s="6" t="s">
        <v>7660</v>
      </c>
      <c r="E2148" s="7" t="s">
        <v>21</v>
      </c>
      <c r="F2148" s="6" t="s">
        <v>7721</v>
      </c>
      <c r="G2148" s="5" t="s">
        <v>7722</v>
      </c>
      <c r="H2148" s="5" t="s">
        <v>7723</v>
      </c>
      <c r="I2148" s="5" t="s">
        <v>7724</v>
      </c>
      <c r="J2148" s="5" t="s">
        <v>7725</v>
      </c>
      <c r="K2148" s="5"/>
      <c r="L2148" s="4" t="s">
        <v>51</v>
      </c>
      <c r="M2148" s="8" t="s">
        <v>79</v>
      </c>
      <c r="N2148" s="9" t="s">
        <v>7668</v>
      </c>
      <c r="O2148" s="5"/>
      <c r="P2148" s="5"/>
      <c r="Q2148" s="6" t="s">
        <v>30</v>
      </c>
      <c r="R2148" s="4" t="s">
        <v>31</v>
      </c>
      <c r="S2148" s="7" t="s">
        <v>32</v>
      </c>
      <c r="T2148" s="5"/>
    </row>
    <row r="2149" customFormat="false" ht="29.25" hidden="false" customHeight="true" outlineLevel="0" collapsed="false">
      <c r="A2149" s="4" t="n">
        <v>2148</v>
      </c>
      <c r="B2149" s="6" t="s">
        <v>1787</v>
      </c>
      <c r="C2149" s="6" t="s">
        <v>7659</v>
      </c>
      <c r="D2149" s="6" t="s">
        <v>7660</v>
      </c>
      <c r="E2149" s="7" t="s">
        <v>21</v>
      </c>
      <c r="F2149" s="6" t="s">
        <v>7726</v>
      </c>
      <c r="G2149" s="5" t="s">
        <v>1327</v>
      </c>
      <c r="H2149" s="5" t="s">
        <v>2672</v>
      </c>
      <c r="I2149" s="5" t="s">
        <v>2673</v>
      </c>
      <c r="J2149" s="5" t="s">
        <v>2674</v>
      </c>
      <c r="K2149" s="5"/>
      <c r="L2149" s="4" t="s">
        <v>51</v>
      </c>
      <c r="M2149" s="8" t="s">
        <v>129</v>
      </c>
      <c r="N2149" s="9" t="s">
        <v>7668</v>
      </c>
      <c r="O2149" s="5"/>
      <c r="P2149" s="5"/>
      <c r="Q2149" s="6" t="s">
        <v>30</v>
      </c>
      <c r="R2149" s="4" t="s">
        <v>31</v>
      </c>
      <c r="S2149" s="7" t="s">
        <v>32</v>
      </c>
      <c r="T2149" s="5"/>
    </row>
    <row r="2150" customFormat="false" ht="43.5" hidden="false" customHeight="true" outlineLevel="0" collapsed="false">
      <c r="A2150" s="4" t="n">
        <v>2149</v>
      </c>
      <c r="B2150" s="6" t="s">
        <v>1787</v>
      </c>
      <c r="C2150" s="6" t="s">
        <v>7659</v>
      </c>
      <c r="D2150" s="6" t="s">
        <v>7660</v>
      </c>
      <c r="E2150" s="7" t="s">
        <v>21</v>
      </c>
      <c r="F2150" s="6" t="s">
        <v>7727</v>
      </c>
      <c r="G2150" s="5" t="s">
        <v>2677</v>
      </c>
      <c r="H2150" s="5" t="s">
        <v>2672</v>
      </c>
      <c r="I2150" s="5" t="s">
        <v>2673</v>
      </c>
      <c r="J2150" s="5" t="s">
        <v>7728</v>
      </c>
      <c r="K2150" s="5"/>
      <c r="L2150" s="4" t="s">
        <v>51</v>
      </c>
      <c r="M2150" s="8" t="s">
        <v>129</v>
      </c>
      <c r="N2150" s="9" t="s">
        <v>7668</v>
      </c>
      <c r="O2150" s="5"/>
      <c r="P2150" s="5"/>
      <c r="Q2150" s="6" t="s">
        <v>30</v>
      </c>
      <c r="R2150" s="4" t="s">
        <v>31</v>
      </c>
      <c r="S2150" s="7" t="s">
        <v>32</v>
      </c>
      <c r="T2150" s="5"/>
    </row>
    <row r="2151" customFormat="false" ht="29.25" hidden="false" customHeight="true" outlineLevel="0" collapsed="false">
      <c r="A2151" s="4" t="n">
        <v>2150</v>
      </c>
      <c r="B2151" s="6" t="s">
        <v>1787</v>
      </c>
      <c r="C2151" s="6" t="s">
        <v>7659</v>
      </c>
      <c r="D2151" s="6" t="s">
        <v>7660</v>
      </c>
      <c r="E2151" s="7" t="s">
        <v>21</v>
      </c>
      <c r="F2151" s="6" t="s">
        <v>7729</v>
      </c>
      <c r="G2151" s="6" t="s">
        <v>7730</v>
      </c>
      <c r="H2151" s="6" t="s">
        <v>7731</v>
      </c>
      <c r="I2151" s="6" t="s">
        <v>7732</v>
      </c>
      <c r="J2151" s="6" t="s">
        <v>7733</v>
      </c>
      <c r="K2151" s="5"/>
      <c r="L2151" s="4" t="s">
        <v>51</v>
      </c>
      <c r="M2151" s="8" t="s">
        <v>79</v>
      </c>
      <c r="N2151" s="9" t="s">
        <v>7668</v>
      </c>
      <c r="O2151" s="5"/>
      <c r="P2151" s="5"/>
      <c r="Q2151" s="6" t="s">
        <v>30</v>
      </c>
      <c r="R2151" s="4" t="s">
        <v>31</v>
      </c>
      <c r="S2151" s="7" t="s">
        <v>32</v>
      </c>
      <c r="T2151" s="5"/>
    </row>
    <row r="2152" customFormat="false" ht="29.25" hidden="false" customHeight="true" outlineLevel="0" collapsed="false">
      <c r="A2152" s="4" t="n">
        <v>2151</v>
      </c>
      <c r="B2152" s="6" t="s">
        <v>1787</v>
      </c>
      <c r="C2152" s="6" t="s">
        <v>7659</v>
      </c>
      <c r="D2152" s="6" t="s">
        <v>7660</v>
      </c>
      <c r="E2152" s="7" t="s">
        <v>21</v>
      </c>
      <c r="F2152" s="6" t="s">
        <v>7734</v>
      </c>
      <c r="G2152" s="5" t="s">
        <v>7735</v>
      </c>
      <c r="H2152" s="5" t="s">
        <v>7736</v>
      </c>
      <c r="I2152" s="5" t="s">
        <v>7737</v>
      </c>
      <c r="J2152" s="5" t="s">
        <v>7738</v>
      </c>
      <c r="K2152" s="5"/>
      <c r="L2152" s="4" t="s">
        <v>51</v>
      </c>
      <c r="M2152" s="8" t="s">
        <v>79</v>
      </c>
      <c r="N2152" s="9" t="s">
        <v>7668</v>
      </c>
      <c r="O2152" s="5"/>
      <c r="P2152" s="5"/>
      <c r="Q2152" s="6" t="s">
        <v>30</v>
      </c>
      <c r="R2152" s="4" t="s">
        <v>31</v>
      </c>
      <c r="S2152" s="7" t="s">
        <v>32</v>
      </c>
      <c r="T2152" s="5"/>
    </row>
    <row r="2153" customFormat="false" ht="29.25" hidden="false" customHeight="true" outlineLevel="0" collapsed="false">
      <c r="A2153" s="4" t="n">
        <v>2152</v>
      </c>
      <c r="B2153" s="6" t="s">
        <v>1787</v>
      </c>
      <c r="C2153" s="6" t="s">
        <v>7659</v>
      </c>
      <c r="D2153" s="6" t="s">
        <v>7660</v>
      </c>
      <c r="E2153" s="7" t="s">
        <v>21</v>
      </c>
      <c r="F2153" s="6" t="s">
        <v>7739</v>
      </c>
      <c r="G2153" s="5" t="s">
        <v>4992</v>
      </c>
      <c r="H2153" s="5" t="s">
        <v>4993</v>
      </c>
      <c r="I2153" s="5" t="s">
        <v>7338</v>
      </c>
      <c r="J2153" s="6" t="s">
        <v>7740</v>
      </c>
      <c r="K2153" s="5"/>
      <c r="L2153" s="4" t="s">
        <v>27</v>
      </c>
      <c r="M2153" s="8" t="s">
        <v>79</v>
      </c>
      <c r="N2153" s="9" t="s">
        <v>7668</v>
      </c>
      <c r="O2153" s="5"/>
      <c r="P2153" s="5"/>
      <c r="Q2153" s="6" t="s">
        <v>30</v>
      </c>
      <c r="R2153" s="4" t="s">
        <v>31</v>
      </c>
      <c r="S2153" s="7" t="s">
        <v>32</v>
      </c>
      <c r="T2153" s="5"/>
    </row>
    <row r="2154" customFormat="false" ht="29.25" hidden="false" customHeight="true" outlineLevel="0" collapsed="false">
      <c r="A2154" s="4" t="n">
        <v>2153</v>
      </c>
      <c r="B2154" s="6" t="s">
        <v>1787</v>
      </c>
      <c r="C2154" s="6" t="s">
        <v>7659</v>
      </c>
      <c r="D2154" s="6" t="s">
        <v>7660</v>
      </c>
      <c r="E2154" s="7" t="s">
        <v>21</v>
      </c>
      <c r="F2154" s="6" t="s">
        <v>7741</v>
      </c>
      <c r="G2154" s="5" t="s">
        <v>7742</v>
      </c>
      <c r="H2154" s="5" t="s">
        <v>7238</v>
      </c>
      <c r="I2154" s="5" t="s">
        <v>7743</v>
      </c>
      <c r="J2154" s="5" t="s">
        <v>7744</v>
      </c>
      <c r="K2154" s="5"/>
      <c r="L2154" s="4" t="s">
        <v>44</v>
      </c>
      <c r="M2154" s="8" t="s">
        <v>79</v>
      </c>
      <c r="N2154" s="9" t="s">
        <v>7668</v>
      </c>
      <c r="O2154" s="5"/>
      <c r="P2154" s="5"/>
      <c r="Q2154" s="6" t="s">
        <v>30</v>
      </c>
      <c r="R2154" s="4" t="s">
        <v>31</v>
      </c>
      <c r="S2154" s="7" t="s">
        <v>32</v>
      </c>
      <c r="T2154" s="5"/>
    </row>
    <row r="2155" customFormat="false" ht="29.25" hidden="false" customHeight="true" outlineLevel="0" collapsed="false">
      <c r="A2155" s="4" t="n">
        <v>2154</v>
      </c>
      <c r="B2155" s="6" t="s">
        <v>1787</v>
      </c>
      <c r="C2155" s="6" t="s">
        <v>7659</v>
      </c>
      <c r="D2155" s="6" t="s">
        <v>7660</v>
      </c>
      <c r="E2155" s="7" t="s">
        <v>21</v>
      </c>
      <c r="F2155" s="6" t="s">
        <v>7745</v>
      </c>
      <c r="G2155" s="6" t="s">
        <v>7746</v>
      </c>
      <c r="H2155" s="6" t="s">
        <v>7747</v>
      </c>
      <c r="I2155" s="6" t="s">
        <v>7748</v>
      </c>
      <c r="J2155" s="6" t="s">
        <v>7749</v>
      </c>
      <c r="K2155" s="5"/>
      <c r="L2155" s="4" t="s">
        <v>44</v>
      </c>
      <c r="M2155" s="8" t="s">
        <v>79</v>
      </c>
      <c r="N2155" s="9" t="s">
        <v>7668</v>
      </c>
      <c r="O2155" s="5"/>
      <c r="P2155" s="5"/>
      <c r="Q2155" s="6" t="s">
        <v>30</v>
      </c>
      <c r="R2155" s="4" t="s">
        <v>31</v>
      </c>
      <c r="S2155" s="7" t="s">
        <v>32</v>
      </c>
      <c r="T2155" s="5"/>
    </row>
    <row r="2156" customFormat="false" ht="29.25" hidden="false" customHeight="true" outlineLevel="0" collapsed="false">
      <c r="A2156" s="4" t="n">
        <v>2155</v>
      </c>
      <c r="B2156" s="6" t="s">
        <v>1787</v>
      </c>
      <c r="C2156" s="6" t="s">
        <v>7659</v>
      </c>
      <c r="D2156" s="6" t="s">
        <v>7660</v>
      </c>
      <c r="E2156" s="7" t="s">
        <v>21</v>
      </c>
      <c r="F2156" s="6" t="s">
        <v>7750</v>
      </c>
      <c r="G2156" s="6" t="s">
        <v>7751</v>
      </c>
      <c r="H2156" s="6" t="s">
        <v>7752</v>
      </c>
      <c r="I2156" s="6" t="s">
        <v>7753</v>
      </c>
      <c r="J2156" s="5" t="s">
        <v>7754</v>
      </c>
      <c r="K2156" s="5"/>
      <c r="L2156" s="4" t="s">
        <v>44</v>
      </c>
      <c r="M2156" s="8" t="s">
        <v>129</v>
      </c>
      <c r="N2156" s="9" t="s">
        <v>7668</v>
      </c>
      <c r="O2156" s="5"/>
      <c r="P2156" s="5"/>
      <c r="Q2156" s="6" t="s">
        <v>30</v>
      </c>
      <c r="R2156" s="4" t="s">
        <v>31</v>
      </c>
      <c r="S2156" s="7" t="s">
        <v>32</v>
      </c>
      <c r="T2156" s="5"/>
    </row>
    <row r="2157" customFormat="false" ht="29.25" hidden="false" customHeight="true" outlineLevel="0" collapsed="false">
      <c r="A2157" s="4" t="n">
        <v>2156</v>
      </c>
      <c r="B2157" s="6" t="s">
        <v>1787</v>
      </c>
      <c r="C2157" s="6" t="s">
        <v>7659</v>
      </c>
      <c r="D2157" s="6" t="s">
        <v>7660</v>
      </c>
      <c r="E2157" s="7" t="s">
        <v>21</v>
      </c>
      <c r="F2157" s="6" t="s">
        <v>7755</v>
      </c>
      <c r="G2157" s="6" t="s">
        <v>7756</v>
      </c>
      <c r="H2157" s="6" t="s">
        <v>7757</v>
      </c>
      <c r="I2157" s="6" t="s">
        <v>7758</v>
      </c>
      <c r="J2157" s="6" t="s">
        <v>7759</v>
      </c>
      <c r="K2157" s="5"/>
      <c r="L2157" s="4" t="s">
        <v>44</v>
      </c>
      <c r="M2157" s="8" t="s">
        <v>79</v>
      </c>
      <c r="N2157" s="9" t="s">
        <v>7664</v>
      </c>
      <c r="O2157" s="5"/>
      <c r="P2157" s="5"/>
      <c r="Q2157" s="6" t="s">
        <v>30</v>
      </c>
      <c r="R2157" s="4" t="s">
        <v>31</v>
      </c>
      <c r="S2157" s="7" t="s">
        <v>32</v>
      </c>
      <c r="T2157" s="5"/>
    </row>
    <row r="2158" customFormat="false" ht="29.25" hidden="false" customHeight="true" outlineLevel="0" collapsed="false">
      <c r="A2158" s="4" t="n">
        <v>2157</v>
      </c>
      <c r="B2158" s="6" t="s">
        <v>1787</v>
      </c>
      <c r="C2158" s="6" t="s">
        <v>7659</v>
      </c>
      <c r="D2158" s="6" t="s">
        <v>7660</v>
      </c>
      <c r="E2158" s="7" t="s">
        <v>21</v>
      </c>
      <c r="F2158" s="6" t="s">
        <v>7760</v>
      </c>
      <c r="G2158" s="6" t="s">
        <v>7761</v>
      </c>
      <c r="H2158" s="6" t="s">
        <v>7762</v>
      </c>
      <c r="I2158" s="6" t="s">
        <v>7763</v>
      </c>
      <c r="J2158" s="6" t="s">
        <v>7764</v>
      </c>
      <c r="K2158" s="5"/>
      <c r="L2158" s="4" t="s">
        <v>44</v>
      </c>
      <c r="M2158" s="8" t="s">
        <v>129</v>
      </c>
      <c r="N2158" s="9" t="s">
        <v>7668</v>
      </c>
      <c r="O2158" s="5"/>
      <c r="P2158" s="5"/>
      <c r="Q2158" s="6" t="s">
        <v>30</v>
      </c>
      <c r="R2158" s="4" t="s">
        <v>31</v>
      </c>
      <c r="S2158" s="7" t="s">
        <v>32</v>
      </c>
      <c r="T2158" s="5"/>
    </row>
    <row r="2159" customFormat="false" ht="29.25" hidden="false" customHeight="true" outlineLevel="0" collapsed="false">
      <c r="A2159" s="4" t="n">
        <v>2158</v>
      </c>
      <c r="B2159" s="6" t="s">
        <v>1787</v>
      </c>
      <c r="C2159" s="6" t="s">
        <v>7659</v>
      </c>
      <c r="D2159" s="6" t="s">
        <v>7660</v>
      </c>
      <c r="E2159" s="7" t="s">
        <v>21</v>
      </c>
      <c r="F2159" s="6" t="s">
        <v>7765</v>
      </c>
      <c r="G2159" s="5" t="s">
        <v>7766</v>
      </c>
      <c r="H2159" s="5" t="s">
        <v>7767</v>
      </c>
      <c r="I2159" s="5" t="s">
        <v>7768</v>
      </c>
      <c r="J2159" s="6" t="s">
        <v>150</v>
      </c>
      <c r="K2159" s="5"/>
      <c r="L2159" s="4" t="s">
        <v>27</v>
      </c>
      <c r="M2159" s="8" t="s">
        <v>79</v>
      </c>
      <c r="N2159" s="9" t="s">
        <v>7664</v>
      </c>
      <c r="O2159" s="5"/>
      <c r="P2159" s="5"/>
      <c r="Q2159" s="6" t="s">
        <v>30</v>
      </c>
      <c r="R2159" s="4" t="s">
        <v>31</v>
      </c>
      <c r="S2159" s="7" t="s">
        <v>32</v>
      </c>
      <c r="T2159" s="5"/>
    </row>
    <row r="2160" customFormat="false" ht="29.25" hidden="false" customHeight="true" outlineLevel="0" collapsed="false">
      <c r="A2160" s="4" t="n">
        <v>2159</v>
      </c>
      <c r="B2160" s="6" t="s">
        <v>1787</v>
      </c>
      <c r="C2160" s="6" t="s">
        <v>7659</v>
      </c>
      <c r="D2160" s="6" t="s">
        <v>7660</v>
      </c>
      <c r="E2160" s="7" t="s">
        <v>21</v>
      </c>
      <c r="F2160" s="6" t="s">
        <v>7769</v>
      </c>
      <c r="G2160" s="6" t="s">
        <v>7770</v>
      </c>
      <c r="H2160" s="6" t="s">
        <v>7771</v>
      </c>
      <c r="I2160" s="6" t="s">
        <v>7772</v>
      </c>
      <c r="J2160" s="6" t="s">
        <v>150</v>
      </c>
      <c r="K2160" s="5"/>
      <c r="L2160" s="4" t="s">
        <v>27</v>
      </c>
      <c r="M2160" s="8" t="s">
        <v>79</v>
      </c>
      <c r="N2160" s="9" t="s">
        <v>7668</v>
      </c>
      <c r="O2160" s="5"/>
      <c r="P2160" s="5"/>
      <c r="Q2160" s="6" t="s">
        <v>30</v>
      </c>
      <c r="R2160" s="4" t="s">
        <v>31</v>
      </c>
      <c r="S2160" s="7" t="s">
        <v>32</v>
      </c>
      <c r="T2160" s="5"/>
    </row>
    <row r="2161" customFormat="false" ht="29.25" hidden="false" customHeight="true" outlineLevel="0" collapsed="false">
      <c r="A2161" s="4" t="n">
        <v>2160</v>
      </c>
      <c r="B2161" s="6" t="s">
        <v>1787</v>
      </c>
      <c r="C2161" s="6" t="s">
        <v>7659</v>
      </c>
      <c r="D2161" s="6" t="s">
        <v>7660</v>
      </c>
      <c r="E2161" s="7" t="s">
        <v>21</v>
      </c>
      <c r="F2161" s="6" t="s">
        <v>7773</v>
      </c>
      <c r="G2161" s="6" t="s">
        <v>7774</v>
      </c>
      <c r="H2161" s="6" t="s">
        <v>7775</v>
      </c>
      <c r="I2161" s="6" t="s">
        <v>7776</v>
      </c>
      <c r="J2161" s="6" t="s">
        <v>7777</v>
      </c>
      <c r="K2161" s="5"/>
      <c r="L2161" s="4" t="s">
        <v>44</v>
      </c>
      <c r="M2161" s="8" t="s">
        <v>129</v>
      </c>
      <c r="N2161" s="9" t="s">
        <v>7668</v>
      </c>
      <c r="O2161" s="5"/>
      <c r="P2161" s="5"/>
      <c r="Q2161" s="6" t="s">
        <v>30</v>
      </c>
      <c r="R2161" s="4" t="s">
        <v>31</v>
      </c>
      <c r="S2161" s="7" t="s">
        <v>32</v>
      </c>
      <c r="T2161" s="5"/>
    </row>
    <row r="2162" customFormat="false" ht="29.25" hidden="false" customHeight="true" outlineLevel="0" collapsed="false">
      <c r="A2162" s="4" t="n">
        <v>2161</v>
      </c>
      <c r="B2162" s="6" t="s">
        <v>1787</v>
      </c>
      <c r="C2162" s="6" t="s">
        <v>7659</v>
      </c>
      <c r="D2162" s="6" t="s">
        <v>7660</v>
      </c>
      <c r="E2162" s="7" t="s">
        <v>21</v>
      </c>
      <c r="F2162" s="6" t="s">
        <v>7778</v>
      </c>
      <c r="G2162" s="5" t="s">
        <v>7779</v>
      </c>
      <c r="H2162" s="5" t="s">
        <v>7780</v>
      </c>
      <c r="I2162" s="5" t="s">
        <v>7781</v>
      </c>
      <c r="J2162" s="5" t="s">
        <v>7782</v>
      </c>
      <c r="K2162" s="5"/>
      <c r="L2162" s="4" t="s">
        <v>27</v>
      </c>
      <c r="M2162" s="8" t="s">
        <v>79</v>
      </c>
      <c r="N2162" s="9" t="s">
        <v>7668</v>
      </c>
      <c r="O2162" s="5"/>
      <c r="P2162" s="5"/>
      <c r="Q2162" s="6" t="s">
        <v>30</v>
      </c>
      <c r="R2162" s="4" t="s">
        <v>31</v>
      </c>
      <c r="S2162" s="7" t="s">
        <v>32</v>
      </c>
      <c r="T2162" s="5"/>
    </row>
    <row r="2163" customFormat="false" ht="29.25" hidden="false" customHeight="true" outlineLevel="0" collapsed="false">
      <c r="A2163" s="4" t="n">
        <v>2162</v>
      </c>
      <c r="B2163" s="6" t="s">
        <v>1787</v>
      </c>
      <c r="C2163" s="6" t="s">
        <v>7659</v>
      </c>
      <c r="D2163" s="6" t="s">
        <v>7660</v>
      </c>
      <c r="E2163" s="7" t="s">
        <v>21</v>
      </c>
      <c r="F2163" s="5" t="s">
        <v>7783</v>
      </c>
      <c r="G2163" s="6" t="s">
        <v>7784</v>
      </c>
      <c r="H2163" s="6" t="s">
        <v>3378</v>
      </c>
      <c r="I2163" s="6" t="s">
        <v>7785</v>
      </c>
      <c r="J2163" s="6" t="s">
        <v>7786</v>
      </c>
      <c r="K2163" s="5"/>
      <c r="L2163" s="4" t="s">
        <v>27</v>
      </c>
      <c r="M2163" s="8" t="s">
        <v>129</v>
      </c>
      <c r="N2163" s="9" t="s">
        <v>7668</v>
      </c>
      <c r="O2163" s="5"/>
      <c r="P2163" s="5"/>
      <c r="Q2163" s="6" t="s">
        <v>30</v>
      </c>
      <c r="R2163" s="4" t="s">
        <v>31</v>
      </c>
      <c r="S2163" s="7" t="s">
        <v>32</v>
      </c>
      <c r="T2163" s="5"/>
    </row>
    <row r="2164" customFormat="false" ht="29.25" hidden="false" customHeight="true" outlineLevel="0" collapsed="false">
      <c r="A2164" s="4" t="n">
        <v>2163</v>
      </c>
      <c r="B2164" s="6" t="s">
        <v>1787</v>
      </c>
      <c r="C2164" s="6" t="s">
        <v>7659</v>
      </c>
      <c r="D2164" s="6" t="s">
        <v>7660</v>
      </c>
      <c r="E2164" s="7" t="s">
        <v>21</v>
      </c>
      <c r="F2164" s="6" t="s">
        <v>7787</v>
      </c>
      <c r="G2164" s="6" t="s">
        <v>7788</v>
      </c>
      <c r="H2164" s="6" t="s">
        <v>7789</v>
      </c>
      <c r="I2164" s="6" t="s">
        <v>7790</v>
      </c>
      <c r="J2164" s="6" t="s">
        <v>78</v>
      </c>
      <c r="K2164" s="5"/>
      <c r="L2164" s="4" t="s">
        <v>44</v>
      </c>
      <c r="M2164" s="8" t="s">
        <v>79</v>
      </c>
      <c r="N2164" s="9" t="s">
        <v>7664</v>
      </c>
      <c r="O2164" s="5"/>
      <c r="P2164" s="5"/>
      <c r="Q2164" s="6" t="s">
        <v>30</v>
      </c>
      <c r="R2164" s="4" t="s">
        <v>31</v>
      </c>
      <c r="S2164" s="7" t="s">
        <v>32</v>
      </c>
      <c r="T2164" s="5"/>
    </row>
    <row r="2165" customFormat="false" ht="29.25" hidden="false" customHeight="true" outlineLevel="0" collapsed="false">
      <c r="A2165" s="4" t="n">
        <v>2164</v>
      </c>
      <c r="B2165" s="6" t="s">
        <v>1787</v>
      </c>
      <c r="C2165" s="6" t="s">
        <v>7659</v>
      </c>
      <c r="D2165" s="6" t="s">
        <v>7660</v>
      </c>
      <c r="E2165" s="7" t="s">
        <v>21</v>
      </c>
      <c r="F2165" s="6" t="s">
        <v>7791</v>
      </c>
      <c r="G2165" s="6" t="s">
        <v>7792</v>
      </c>
      <c r="H2165" s="6" t="s">
        <v>7793</v>
      </c>
      <c r="I2165" s="6" t="s">
        <v>7794</v>
      </c>
      <c r="J2165" s="6" t="s">
        <v>7795</v>
      </c>
      <c r="K2165" s="5"/>
      <c r="L2165" s="4" t="s">
        <v>27</v>
      </c>
      <c r="M2165" s="8" t="s">
        <v>129</v>
      </c>
      <c r="N2165" s="9" t="s">
        <v>7664</v>
      </c>
      <c r="O2165" s="5"/>
      <c r="P2165" s="5"/>
      <c r="Q2165" s="6" t="s">
        <v>30</v>
      </c>
      <c r="R2165" s="4" t="s">
        <v>31</v>
      </c>
      <c r="S2165" s="7" t="s">
        <v>32</v>
      </c>
      <c r="T2165" s="5"/>
    </row>
    <row r="2166" customFormat="false" ht="29.25" hidden="false" customHeight="true" outlineLevel="0" collapsed="false">
      <c r="A2166" s="4" t="n">
        <v>2165</v>
      </c>
      <c r="B2166" s="6" t="s">
        <v>1787</v>
      </c>
      <c r="C2166" s="6" t="s">
        <v>7659</v>
      </c>
      <c r="D2166" s="6" t="s">
        <v>7660</v>
      </c>
      <c r="E2166" s="7" t="s">
        <v>21</v>
      </c>
      <c r="F2166" s="6" t="s">
        <v>7796</v>
      </c>
      <c r="G2166" s="6" t="s">
        <v>7797</v>
      </c>
      <c r="H2166" s="6" t="s">
        <v>7798</v>
      </c>
      <c r="I2166" s="6" t="s">
        <v>7799</v>
      </c>
      <c r="J2166" s="6" t="s">
        <v>7800</v>
      </c>
      <c r="K2166" s="5"/>
      <c r="L2166" s="4" t="s">
        <v>62</v>
      </c>
      <c r="M2166" s="8" t="s">
        <v>129</v>
      </c>
      <c r="N2166" s="9" t="s">
        <v>7668</v>
      </c>
      <c r="O2166" s="5"/>
      <c r="P2166" s="5"/>
      <c r="Q2166" s="6" t="s">
        <v>30</v>
      </c>
      <c r="R2166" s="4" t="s">
        <v>31</v>
      </c>
      <c r="S2166" s="7" t="s">
        <v>32</v>
      </c>
      <c r="T2166" s="5"/>
    </row>
    <row r="2167" customFormat="false" ht="29.25" hidden="false" customHeight="true" outlineLevel="0" collapsed="false">
      <c r="A2167" s="4" t="n">
        <v>2166</v>
      </c>
      <c r="B2167" s="6" t="s">
        <v>1787</v>
      </c>
      <c r="C2167" s="6" t="s">
        <v>7659</v>
      </c>
      <c r="D2167" s="6" t="s">
        <v>7660</v>
      </c>
      <c r="E2167" s="7" t="s">
        <v>21</v>
      </c>
      <c r="F2167" s="6" t="s">
        <v>7801</v>
      </c>
      <c r="G2167" s="5" t="s">
        <v>7802</v>
      </c>
      <c r="H2167" s="5" t="s">
        <v>7803</v>
      </c>
      <c r="I2167" s="5" t="s">
        <v>7804</v>
      </c>
      <c r="J2167" s="5" t="s">
        <v>7805</v>
      </c>
      <c r="K2167" s="5"/>
      <c r="L2167" s="4" t="s">
        <v>27</v>
      </c>
      <c r="M2167" s="8" t="s">
        <v>129</v>
      </c>
      <c r="N2167" s="9" t="s">
        <v>7668</v>
      </c>
      <c r="O2167" s="5"/>
      <c r="P2167" s="5"/>
      <c r="Q2167" s="6" t="s">
        <v>30</v>
      </c>
      <c r="R2167" s="4" t="s">
        <v>31</v>
      </c>
      <c r="S2167" s="7" t="s">
        <v>32</v>
      </c>
      <c r="T2167" s="5"/>
    </row>
    <row r="2168" customFormat="false" ht="29.25" hidden="false" customHeight="true" outlineLevel="0" collapsed="false">
      <c r="A2168" s="4" t="n">
        <v>2167</v>
      </c>
      <c r="B2168" s="6" t="s">
        <v>1787</v>
      </c>
      <c r="C2168" s="6" t="s">
        <v>7659</v>
      </c>
      <c r="D2168" s="6" t="s">
        <v>7660</v>
      </c>
      <c r="E2168" s="7" t="s">
        <v>21</v>
      </c>
      <c r="F2168" s="6" t="s">
        <v>7806</v>
      </c>
      <c r="G2168" s="5" t="s">
        <v>7807</v>
      </c>
      <c r="H2168" s="5" t="s">
        <v>7808</v>
      </c>
      <c r="I2168" s="5" t="s">
        <v>7680</v>
      </c>
      <c r="J2168" s="5" t="s">
        <v>7681</v>
      </c>
      <c r="K2168" s="5"/>
      <c r="L2168" s="4" t="s">
        <v>51</v>
      </c>
      <c r="M2168" s="8" t="s">
        <v>129</v>
      </c>
      <c r="N2168" s="9" t="s">
        <v>7664</v>
      </c>
      <c r="O2168" s="5"/>
      <c r="P2168" s="5"/>
      <c r="Q2168" s="6" t="s">
        <v>30</v>
      </c>
      <c r="R2168" s="4" t="s">
        <v>31</v>
      </c>
      <c r="S2168" s="7" t="s">
        <v>32</v>
      </c>
      <c r="T2168" s="5"/>
    </row>
    <row r="2169" customFormat="false" ht="29.25" hidden="false" customHeight="true" outlineLevel="0" collapsed="false">
      <c r="A2169" s="4" t="n">
        <v>2168</v>
      </c>
      <c r="B2169" s="6" t="s">
        <v>1787</v>
      </c>
      <c r="C2169" s="6" t="s">
        <v>7659</v>
      </c>
      <c r="D2169" s="6" t="s">
        <v>7660</v>
      </c>
      <c r="E2169" s="7" t="s">
        <v>21</v>
      </c>
      <c r="F2169" s="6" t="s">
        <v>7809</v>
      </c>
      <c r="G2169" s="6" t="s">
        <v>7810</v>
      </c>
      <c r="H2169" s="5" t="s">
        <v>7811</v>
      </c>
      <c r="I2169" s="6" t="s">
        <v>7812</v>
      </c>
      <c r="J2169" s="6" t="s">
        <v>150</v>
      </c>
      <c r="K2169" s="5"/>
      <c r="L2169" s="4" t="s">
        <v>62</v>
      </c>
      <c r="M2169" s="8" t="s">
        <v>79</v>
      </c>
      <c r="N2169" s="9" t="s">
        <v>7813</v>
      </c>
      <c r="O2169" s="5"/>
      <c r="P2169" s="5"/>
      <c r="Q2169" s="6" t="s">
        <v>30</v>
      </c>
      <c r="R2169" s="4" t="s">
        <v>31</v>
      </c>
      <c r="S2169" s="7" t="s">
        <v>32</v>
      </c>
      <c r="T2169" s="5"/>
    </row>
    <row r="2170" customFormat="false" ht="29.25" hidden="false" customHeight="true" outlineLevel="0" collapsed="false">
      <c r="A2170" s="4" t="n">
        <v>2169</v>
      </c>
      <c r="B2170" s="6" t="s">
        <v>1787</v>
      </c>
      <c r="C2170" s="6" t="s">
        <v>7659</v>
      </c>
      <c r="D2170" s="6" t="s">
        <v>7660</v>
      </c>
      <c r="E2170" s="7" t="s">
        <v>21</v>
      </c>
      <c r="F2170" s="6" t="s">
        <v>7814</v>
      </c>
      <c r="G2170" s="6" t="s">
        <v>7815</v>
      </c>
      <c r="H2170" s="6" t="s">
        <v>7816</v>
      </c>
      <c r="I2170" s="6" t="s">
        <v>7817</v>
      </c>
      <c r="J2170" s="6" t="s">
        <v>7818</v>
      </c>
      <c r="K2170" s="5"/>
      <c r="L2170" s="4" t="s">
        <v>51</v>
      </c>
      <c r="M2170" s="8" t="s">
        <v>129</v>
      </c>
      <c r="N2170" s="9" t="s">
        <v>7664</v>
      </c>
      <c r="O2170" s="5"/>
      <c r="P2170" s="5"/>
      <c r="Q2170" s="6" t="s">
        <v>30</v>
      </c>
      <c r="R2170" s="4" t="s">
        <v>31</v>
      </c>
      <c r="S2170" s="7" t="s">
        <v>32</v>
      </c>
      <c r="T2170" s="5"/>
    </row>
    <row r="2171" customFormat="false" ht="29.25" hidden="false" customHeight="true" outlineLevel="0" collapsed="false">
      <c r="A2171" s="4" t="n">
        <v>2170</v>
      </c>
      <c r="B2171" s="6" t="s">
        <v>1787</v>
      </c>
      <c r="C2171" s="6" t="s">
        <v>7659</v>
      </c>
      <c r="D2171" s="6" t="s">
        <v>7660</v>
      </c>
      <c r="E2171" s="7" t="s">
        <v>21</v>
      </c>
      <c r="F2171" s="6" t="s">
        <v>7819</v>
      </c>
      <c r="G2171" s="6" t="s">
        <v>7820</v>
      </c>
      <c r="H2171" s="6" t="s">
        <v>7821</v>
      </c>
      <c r="I2171" s="6" t="s">
        <v>7822</v>
      </c>
      <c r="J2171" s="6" t="s">
        <v>1906</v>
      </c>
      <c r="K2171" s="5"/>
      <c r="L2171" s="4" t="s">
        <v>51</v>
      </c>
      <c r="M2171" s="8" t="s">
        <v>79</v>
      </c>
      <c r="N2171" s="9" t="s">
        <v>7664</v>
      </c>
      <c r="O2171" s="5"/>
      <c r="P2171" s="5"/>
      <c r="Q2171" s="6" t="s">
        <v>30</v>
      </c>
      <c r="R2171" s="4" t="s">
        <v>31</v>
      </c>
      <c r="S2171" s="7" t="s">
        <v>32</v>
      </c>
      <c r="T2171" s="5"/>
    </row>
    <row r="2172" customFormat="false" ht="29.25" hidden="false" customHeight="true" outlineLevel="0" collapsed="false">
      <c r="A2172" s="4" t="n">
        <v>2171</v>
      </c>
      <c r="B2172" s="6" t="s">
        <v>1787</v>
      </c>
      <c r="C2172" s="6" t="s">
        <v>7659</v>
      </c>
      <c r="D2172" s="6" t="s">
        <v>7660</v>
      </c>
      <c r="E2172" s="7" t="s">
        <v>21</v>
      </c>
      <c r="F2172" s="6" t="s">
        <v>7823</v>
      </c>
      <c r="G2172" s="6" t="s">
        <v>7824</v>
      </c>
      <c r="H2172" s="6" t="s">
        <v>7825</v>
      </c>
      <c r="I2172" s="6" t="s">
        <v>7826</v>
      </c>
      <c r="J2172" s="6" t="s">
        <v>7827</v>
      </c>
      <c r="K2172" s="5"/>
      <c r="L2172" s="4" t="s">
        <v>51</v>
      </c>
      <c r="M2172" s="8" t="s">
        <v>79</v>
      </c>
      <c r="N2172" s="9" t="s">
        <v>7668</v>
      </c>
      <c r="O2172" s="5"/>
      <c r="P2172" s="5"/>
      <c r="Q2172" s="6" t="s">
        <v>30</v>
      </c>
      <c r="R2172" s="4" t="s">
        <v>31</v>
      </c>
      <c r="S2172" s="7" t="s">
        <v>32</v>
      </c>
      <c r="T2172" s="5"/>
    </row>
    <row r="2173" customFormat="false" ht="29.25" hidden="false" customHeight="true" outlineLevel="0" collapsed="false">
      <c r="A2173" s="4" t="n">
        <v>2172</v>
      </c>
      <c r="B2173" s="6" t="s">
        <v>1787</v>
      </c>
      <c r="C2173" s="6" t="s">
        <v>7659</v>
      </c>
      <c r="D2173" s="6" t="s">
        <v>7660</v>
      </c>
      <c r="E2173" s="7" t="s">
        <v>21</v>
      </c>
      <c r="F2173" s="6" t="s">
        <v>7828</v>
      </c>
      <c r="G2173" s="6" t="s">
        <v>7829</v>
      </c>
      <c r="H2173" s="6" t="s">
        <v>7830</v>
      </c>
      <c r="I2173" s="6" t="s">
        <v>7831</v>
      </c>
      <c r="J2173" s="6" t="s">
        <v>7832</v>
      </c>
      <c r="K2173" s="5"/>
      <c r="L2173" s="4" t="s">
        <v>51</v>
      </c>
      <c r="M2173" s="8" t="s">
        <v>129</v>
      </c>
      <c r="N2173" s="9" t="s">
        <v>7668</v>
      </c>
      <c r="O2173" s="5"/>
      <c r="P2173" s="5"/>
      <c r="Q2173" s="6" t="s">
        <v>30</v>
      </c>
      <c r="R2173" s="4" t="s">
        <v>31</v>
      </c>
      <c r="S2173" s="7" t="s">
        <v>32</v>
      </c>
      <c r="T2173" s="5"/>
    </row>
    <row r="2174" customFormat="false" ht="29.25" hidden="false" customHeight="true" outlineLevel="0" collapsed="false">
      <c r="A2174" s="4" t="n">
        <v>2173</v>
      </c>
      <c r="B2174" s="6" t="s">
        <v>1787</v>
      </c>
      <c r="C2174" s="6" t="s">
        <v>7659</v>
      </c>
      <c r="D2174" s="6" t="s">
        <v>7660</v>
      </c>
      <c r="E2174" s="7" t="s">
        <v>21</v>
      </c>
      <c r="F2174" s="6" t="s">
        <v>7833</v>
      </c>
      <c r="G2174" s="6" t="s">
        <v>7834</v>
      </c>
      <c r="H2174" s="6" t="s">
        <v>7835</v>
      </c>
      <c r="I2174" s="6" t="s">
        <v>1906</v>
      </c>
      <c r="J2174" s="6" t="s">
        <v>7836</v>
      </c>
      <c r="K2174" s="5"/>
      <c r="L2174" s="4" t="s">
        <v>51</v>
      </c>
      <c r="M2174" s="8" t="s">
        <v>129</v>
      </c>
      <c r="N2174" s="9" t="s">
        <v>7668</v>
      </c>
      <c r="O2174" s="5"/>
      <c r="P2174" s="5"/>
      <c r="Q2174" s="6" t="s">
        <v>30</v>
      </c>
      <c r="R2174" s="4" t="s">
        <v>31</v>
      </c>
      <c r="S2174" s="7" t="s">
        <v>32</v>
      </c>
      <c r="T2174" s="5"/>
    </row>
    <row r="2175" customFormat="false" ht="29.25" hidden="false" customHeight="true" outlineLevel="0" collapsed="false">
      <c r="A2175" s="4" t="n">
        <v>2174</v>
      </c>
      <c r="B2175" s="6" t="s">
        <v>1787</v>
      </c>
      <c r="C2175" s="6" t="s">
        <v>7659</v>
      </c>
      <c r="D2175" s="6" t="s">
        <v>7660</v>
      </c>
      <c r="E2175" s="7" t="s">
        <v>21</v>
      </c>
      <c r="F2175" s="6" t="s">
        <v>7837</v>
      </c>
      <c r="G2175" s="6" t="s">
        <v>4386</v>
      </c>
      <c r="H2175" s="6" t="s">
        <v>7838</v>
      </c>
      <c r="I2175" s="6" t="s">
        <v>4389</v>
      </c>
      <c r="J2175" s="6" t="s">
        <v>7839</v>
      </c>
      <c r="K2175" s="5"/>
      <c r="L2175" s="4" t="s">
        <v>62</v>
      </c>
      <c r="M2175" s="8" t="s">
        <v>129</v>
      </c>
      <c r="N2175" s="9" t="s">
        <v>7668</v>
      </c>
      <c r="O2175" s="5"/>
      <c r="P2175" s="5"/>
      <c r="Q2175" s="6" t="s">
        <v>30</v>
      </c>
      <c r="R2175" s="4" t="s">
        <v>31</v>
      </c>
      <c r="S2175" s="7" t="s">
        <v>32</v>
      </c>
      <c r="T2175" s="5"/>
    </row>
    <row r="2176" customFormat="false" ht="29.25" hidden="false" customHeight="true" outlineLevel="0" collapsed="false">
      <c r="A2176" s="4" t="n">
        <v>2175</v>
      </c>
      <c r="B2176" s="6" t="s">
        <v>1787</v>
      </c>
      <c r="C2176" s="6" t="s">
        <v>7659</v>
      </c>
      <c r="D2176" s="6" t="s">
        <v>7660</v>
      </c>
      <c r="E2176" s="7" t="s">
        <v>21</v>
      </c>
      <c r="F2176" s="6" t="s">
        <v>7840</v>
      </c>
      <c r="G2176" s="6" t="s">
        <v>7841</v>
      </c>
      <c r="H2176" s="6" t="s">
        <v>7842</v>
      </c>
      <c r="I2176" s="6" t="s">
        <v>7843</v>
      </c>
      <c r="J2176" s="6" t="s">
        <v>78</v>
      </c>
      <c r="K2176" s="5"/>
      <c r="L2176" s="4" t="s">
        <v>44</v>
      </c>
      <c r="M2176" s="8" t="s">
        <v>129</v>
      </c>
      <c r="N2176" s="9" t="s">
        <v>7668</v>
      </c>
      <c r="O2176" s="5"/>
      <c r="P2176" s="5"/>
      <c r="Q2176" s="6" t="s">
        <v>30</v>
      </c>
      <c r="R2176" s="4" t="s">
        <v>31</v>
      </c>
      <c r="S2176" s="7" t="s">
        <v>32</v>
      </c>
      <c r="T2176" s="5"/>
    </row>
    <row r="2177" customFormat="false" ht="29.25" hidden="false" customHeight="true" outlineLevel="0" collapsed="false">
      <c r="A2177" s="4" t="n">
        <v>2176</v>
      </c>
      <c r="B2177" s="6" t="s">
        <v>1787</v>
      </c>
      <c r="C2177" s="6" t="s">
        <v>7659</v>
      </c>
      <c r="D2177" s="6" t="s">
        <v>7660</v>
      </c>
      <c r="E2177" s="7" t="s">
        <v>21</v>
      </c>
      <c r="F2177" s="6" t="s">
        <v>7844</v>
      </c>
      <c r="G2177" s="5" t="s">
        <v>7845</v>
      </c>
      <c r="H2177" s="6" t="s">
        <v>7846</v>
      </c>
      <c r="I2177" s="5" t="s">
        <v>7847</v>
      </c>
      <c r="J2177" s="6" t="s">
        <v>78</v>
      </c>
      <c r="K2177" s="5"/>
      <c r="L2177" s="4" t="s">
        <v>44</v>
      </c>
      <c r="M2177" s="8" t="s">
        <v>129</v>
      </c>
      <c r="N2177" s="9" t="s">
        <v>7668</v>
      </c>
      <c r="O2177" s="5"/>
      <c r="P2177" s="5"/>
      <c r="Q2177" s="6" t="s">
        <v>30</v>
      </c>
      <c r="R2177" s="4" t="s">
        <v>31</v>
      </c>
      <c r="S2177" s="7" t="s">
        <v>32</v>
      </c>
      <c r="T2177" s="5"/>
    </row>
    <row r="2178" customFormat="false" ht="29.25" hidden="false" customHeight="true" outlineLevel="0" collapsed="false">
      <c r="A2178" s="4" t="n">
        <v>2177</v>
      </c>
      <c r="B2178" s="6" t="s">
        <v>1787</v>
      </c>
      <c r="C2178" s="6" t="s">
        <v>7659</v>
      </c>
      <c r="D2178" s="6" t="s">
        <v>7660</v>
      </c>
      <c r="E2178" s="7" t="s">
        <v>21</v>
      </c>
      <c r="F2178" s="6" t="s">
        <v>7848</v>
      </c>
      <c r="G2178" s="5" t="s">
        <v>7849</v>
      </c>
      <c r="H2178" s="5" t="s">
        <v>7850</v>
      </c>
      <c r="I2178" s="5" t="s">
        <v>7851</v>
      </c>
      <c r="J2178" s="5" t="s">
        <v>7852</v>
      </c>
      <c r="K2178" s="5"/>
      <c r="L2178" s="4" t="s">
        <v>51</v>
      </c>
      <c r="M2178" s="8" t="s">
        <v>79</v>
      </c>
      <c r="N2178" s="9" t="s">
        <v>7668</v>
      </c>
      <c r="O2178" s="5"/>
      <c r="P2178" s="5"/>
      <c r="Q2178" s="6" t="s">
        <v>30</v>
      </c>
      <c r="R2178" s="4" t="s">
        <v>31</v>
      </c>
      <c r="S2178" s="7" t="s">
        <v>32</v>
      </c>
      <c r="T2178" s="5"/>
    </row>
    <row r="2179" customFormat="false" ht="29.25" hidden="false" customHeight="true" outlineLevel="0" collapsed="false">
      <c r="A2179" s="4" t="n">
        <v>2178</v>
      </c>
      <c r="B2179" s="6" t="s">
        <v>1787</v>
      </c>
      <c r="C2179" s="6" t="s">
        <v>7659</v>
      </c>
      <c r="D2179" s="6" t="s">
        <v>7660</v>
      </c>
      <c r="E2179" s="7" t="s">
        <v>21</v>
      </c>
      <c r="F2179" s="6" t="s">
        <v>7853</v>
      </c>
      <c r="G2179" s="5" t="s">
        <v>7854</v>
      </c>
      <c r="H2179" s="5" t="s">
        <v>7855</v>
      </c>
      <c r="I2179" s="5" t="s">
        <v>7856</v>
      </c>
      <c r="J2179" s="5" t="s">
        <v>7857</v>
      </c>
      <c r="K2179" s="5"/>
      <c r="L2179" s="4" t="s">
        <v>44</v>
      </c>
      <c r="M2179" s="8" t="s">
        <v>129</v>
      </c>
      <c r="N2179" s="9" t="s">
        <v>7668</v>
      </c>
      <c r="O2179" s="5"/>
      <c r="P2179" s="5"/>
      <c r="Q2179" s="6" t="s">
        <v>30</v>
      </c>
      <c r="R2179" s="4" t="s">
        <v>31</v>
      </c>
      <c r="S2179" s="7" t="s">
        <v>32</v>
      </c>
      <c r="T2179" s="5"/>
    </row>
    <row r="2180" customFormat="false" ht="29.25" hidden="false" customHeight="true" outlineLevel="0" collapsed="false">
      <c r="A2180" s="4" t="n">
        <v>2179</v>
      </c>
      <c r="B2180" s="6" t="s">
        <v>1787</v>
      </c>
      <c r="C2180" s="6" t="s">
        <v>7659</v>
      </c>
      <c r="D2180" s="6" t="s">
        <v>7660</v>
      </c>
      <c r="E2180" s="7" t="s">
        <v>21</v>
      </c>
      <c r="F2180" s="6" t="s">
        <v>7858</v>
      </c>
      <c r="G2180" s="5" t="s">
        <v>7859</v>
      </c>
      <c r="H2180" s="5" t="s">
        <v>7860</v>
      </c>
      <c r="I2180" s="5" t="s">
        <v>7861</v>
      </c>
      <c r="J2180" s="6" t="s">
        <v>1906</v>
      </c>
      <c r="K2180" s="5"/>
      <c r="L2180" s="4" t="s">
        <v>51</v>
      </c>
      <c r="M2180" s="8" t="s">
        <v>129</v>
      </c>
      <c r="N2180" s="9" t="s">
        <v>7668</v>
      </c>
      <c r="O2180" s="5"/>
      <c r="P2180" s="5"/>
      <c r="Q2180" s="6" t="s">
        <v>30</v>
      </c>
      <c r="R2180" s="4" t="s">
        <v>31</v>
      </c>
      <c r="S2180" s="7" t="s">
        <v>32</v>
      </c>
      <c r="T2180" s="5"/>
    </row>
    <row r="2181" customFormat="false" ht="29.25" hidden="false" customHeight="true" outlineLevel="0" collapsed="false">
      <c r="A2181" s="4" t="n">
        <v>2180</v>
      </c>
      <c r="B2181" s="6" t="s">
        <v>1787</v>
      </c>
      <c r="C2181" s="6" t="s">
        <v>7659</v>
      </c>
      <c r="D2181" s="6" t="s">
        <v>7660</v>
      </c>
      <c r="E2181" s="7" t="s">
        <v>21</v>
      </c>
      <c r="F2181" s="6" t="s">
        <v>7862</v>
      </c>
      <c r="G2181" s="5" t="s">
        <v>7863</v>
      </c>
      <c r="H2181" s="5" t="s">
        <v>7864</v>
      </c>
      <c r="I2181" s="5" t="s">
        <v>7865</v>
      </c>
      <c r="J2181" s="5" t="s">
        <v>7866</v>
      </c>
      <c r="K2181" s="5"/>
      <c r="L2181" s="4" t="s">
        <v>62</v>
      </c>
      <c r="M2181" s="8" t="s">
        <v>129</v>
      </c>
      <c r="N2181" s="9" t="s">
        <v>7668</v>
      </c>
      <c r="O2181" s="5"/>
      <c r="P2181" s="5"/>
      <c r="Q2181" s="6" t="s">
        <v>30</v>
      </c>
      <c r="R2181" s="4" t="s">
        <v>31</v>
      </c>
      <c r="S2181" s="7" t="s">
        <v>32</v>
      </c>
      <c r="T2181" s="5"/>
    </row>
    <row r="2182" customFormat="false" ht="29.25" hidden="false" customHeight="true" outlineLevel="0" collapsed="false">
      <c r="A2182" s="4" t="n">
        <v>2181</v>
      </c>
      <c r="B2182" s="6" t="s">
        <v>1787</v>
      </c>
      <c r="C2182" s="6" t="s">
        <v>7659</v>
      </c>
      <c r="D2182" s="6" t="s">
        <v>7660</v>
      </c>
      <c r="E2182" s="7" t="s">
        <v>21</v>
      </c>
      <c r="F2182" s="6" t="s">
        <v>7867</v>
      </c>
      <c r="G2182" s="6" t="s">
        <v>7868</v>
      </c>
      <c r="H2182" s="6" t="s">
        <v>7869</v>
      </c>
      <c r="I2182" s="6" t="s">
        <v>7870</v>
      </c>
      <c r="J2182" s="6" t="s">
        <v>78</v>
      </c>
      <c r="K2182" s="5"/>
      <c r="L2182" s="4" t="s">
        <v>44</v>
      </c>
      <c r="M2182" s="8" t="s">
        <v>129</v>
      </c>
      <c r="N2182" s="9" t="s">
        <v>7706</v>
      </c>
      <c r="O2182" s="5"/>
      <c r="P2182" s="5"/>
      <c r="Q2182" s="6" t="s">
        <v>30</v>
      </c>
      <c r="R2182" s="4" t="s">
        <v>31</v>
      </c>
      <c r="S2182" s="7" t="s">
        <v>32</v>
      </c>
      <c r="T2182" s="5"/>
    </row>
    <row r="2183" customFormat="false" ht="29.25" hidden="false" customHeight="true" outlineLevel="0" collapsed="false">
      <c r="A2183" s="4" t="n">
        <v>2182</v>
      </c>
      <c r="B2183" s="6" t="s">
        <v>1787</v>
      </c>
      <c r="C2183" s="6" t="s">
        <v>7659</v>
      </c>
      <c r="D2183" s="6" t="s">
        <v>7660</v>
      </c>
      <c r="E2183" s="7" t="s">
        <v>21</v>
      </c>
      <c r="F2183" s="6" t="s">
        <v>7871</v>
      </c>
      <c r="G2183" s="6" t="s">
        <v>7872</v>
      </c>
      <c r="H2183" s="6" t="s">
        <v>7873</v>
      </c>
      <c r="I2183" s="6" t="s">
        <v>7874</v>
      </c>
      <c r="J2183" s="6" t="s">
        <v>78</v>
      </c>
      <c r="K2183" s="5"/>
      <c r="L2183" s="4" t="s">
        <v>44</v>
      </c>
      <c r="M2183" s="8" t="s">
        <v>129</v>
      </c>
      <c r="N2183" s="9" t="s">
        <v>7706</v>
      </c>
      <c r="O2183" s="5"/>
      <c r="P2183" s="5"/>
      <c r="Q2183" s="6" t="s">
        <v>30</v>
      </c>
      <c r="R2183" s="4" t="s">
        <v>31</v>
      </c>
      <c r="S2183" s="7" t="s">
        <v>32</v>
      </c>
      <c r="T2183" s="5"/>
    </row>
    <row r="2184" customFormat="false" ht="29.25" hidden="false" customHeight="true" outlineLevel="0" collapsed="false">
      <c r="A2184" s="4" t="n">
        <v>2183</v>
      </c>
      <c r="B2184" s="6" t="s">
        <v>1787</v>
      </c>
      <c r="C2184" s="6" t="s">
        <v>7659</v>
      </c>
      <c r="D2184" s="6" t="s">
        <v>7660</v>
      </c>
      <c r="E2184" s="7" t="s">
        <v>21</v>
      </c>
      <c r="F2184" s="6" t="s">
        <v>7875</v>
      </c>
      <c r="G2184" s="6" t="s">
        <v>7876</v>
      </c>
      <c r="H2184" s="6" t="s">
        <v>7877</v>
      </c>
      <c r="I2184" s="6" t="s">
        <v>7878</v>
      </c>
      <c r="J2184" s="6" t="s">
        <v>7879</v>
      </c>
      <c r="K2184" s="5"/>
      <c r="L2184" s="4" t="s">
        <v>51</v>
      </c>
      <c r="M2184" s="8" t="s">
        <v>129</v>
      </c>
      <c r="N2184" s="9" t="s">
        <v>7668</v>
      </c>
      <c r="O2184" s="5"/>
      <c r="P2184" s="5"/>
      <c r="Q2184" s="6" t="s">
        <v>30</v>
      </c>
      <c r="R2184" s="4" t="s">
        <v>31</v>
      </c>
      <c r="S2184" s="7" t="s">
        <v>32</v>
      </c>
      <c r="T2184" s="5"/>
    </row>
    <row r="2185" customFormat="false" ht="29.25" hidden="false" customHeight="true" outlineLevel="0" collapsed="false">
      <c r="A2185" s="4" t="n">
        <v>2184</v>
      </c>
      <c r="B2185" s="6" t="s">
        <v>1787</v>
      </c>
      <c r="C2185" s="6" t="s">
        <v>7659</v>
      </c>
      <c r="D2185" s="6" t="s">
        <v>7660</v>
      </c>
      <c r="E2185" s="7" t="s">
        <v>21</v>
      </c>
      <c r="F2185" s="6" t="s">
        <v>7880</v>
      </c>
      <c r="G2185" s="6" t="s">
        <v>7881</v>
      </c>
      <c r="H2185" s="6" t="s">
        <v>7882</v>
      </c>
      <c r="I2185" s="6" t="s">
        <v>7883</v>
      </c>
      <c r="J2185" s="6" t="s">
        <v>7884</v>
      </c>
      <c r="K2185" s="5"/>
      <c r="L2185" s="4" t="s">
        <v>62</v>
      </c>
      <c r="M2185" s="8" t="s">
        <v>79</v>
      </c>
      <c r="N2185" s="9" t="s">
        <v>7668</v>
      </c>
      <c r="O2185" s="5"/>
      <c r="P2185" s="5"/>
      <c r="Q2185" s="6" t="s">
        <v>30</v>
      </c>
      <c r="R2185" s="4" t="s">
        <v>31</v>
      </c>
      <c r="S2185" s="7" t="s">
        <v>32</v>
      </c>
      <c r="T2185" s="5"/>
    </row>
    <row r="2186" customFormat="false" ht="29.25" hidden="false" customHeight="true" outlineLevel="0" collapsed="false">
      <c r="A2186" s="4" t="n">
        <v>2185</v>
      </c>
      <c r="B2186" s="6" t="s">
        <v>1787</v>
      </c>
      <c r="C2186" s="6" t="s">
        <v>7659</v>
      </c>
      <c r="D2186" s="6" t="s">
        <v>7660</v>
      </c>
      <c r="E2186" s="7" t="s">
        <v>21</v>
      </c>
      <c r="F2186" s="6" t="s">
        <v>7885</v>
      </c>
      <c r="G2186" s="6" t="s">
        <v>7881</v>
      </c>
      <c r="H2186" s="6" t="s">
        <v>7882</v>
      </c>
      <c r="I2186" s="6" t="s">
        <v>7883</v>
      </c>
      <c r="J2186" s="6" t="s">
        <v>7884</v>
      </c>
      <c r="K2186" s="5"/>
      <c r="L2186" s="4" t="s">
        <v>27</v>
      </c>
      <c r="M2186" s="8" t="s">
        <v>79</v>
      </c>
      <c r="N2186" s="9" t="s">
        <v>7668</v>
      </c>
      <c r="O2186" s="5"/>
      <c r="P2186" s="5"/>
      <c r="Q2186" s="6" t="s">
        <v>30</v>
      </c>
      <c r="R2186" s="4" t="s">
        <v>31</v>
      </c>
      <c r="S2186" s="7" t="s">
        <v>32</v>
      </c>
      <c r="T2186" s="5"/>
    </row>
    <row r="2187" customFormat="false" ht="29.25" hidden="false" customHeight="true" outlineLevel="0" collapsed="false">
      <c r="A2187" s="4" t="n">
        <v>2186</v>
      </c>
      <c r="B2187" s="6" t="s">
        <v>1787</v>
      </c>
      <c r="C2187" s="6" t="s">
        <v>7659</v>
      </c>
      <c r="D2187" s="6" t="s">
        <v>7660</v>
      </c>
      <c r="E2187" s="7" t="s">
        <v>21</v>
      </c>
      <c r="F2187" s="6" t="s">
        <v>7886</v>
      </c>
      <c r="G2187" s="6" t="s">
        <v>7881</v>
      </c>
      <c r="H2187" s="6" t="s">
        <v>7882</v>
      </c>
      <c r="I2187" s="6" t="s">
        <v>7883</v>
      </c>
      <c r="J2187" s="6" t="s">
        <v>7884</v>
      </c>
      <c r="K2187" s="5"/>
      <c r="L2187" s="4" t="s">
        <v>44</v>
      </c>
      <c r="M2187" s="8" t="s">
        <v>79</v>
      </c>
      <c r="N2187" s="9" t="s">
        <v>7668</v>
      </c>
      <c r="O2187" s="5"/>
      <c r="P2187" s="5"/>
      <c r="Q2187" s="6" t="s">
        <v>30</v>
      </c>
      <c r="R2187" s="4" t="s">
        <v>31</v>
      </c>
      <c r="S2187" s="7" t="s">
        <v>32</v>
      </c>
      <c r="T2187" s="5"/>
    </row>
    <row r="2188" customFormat="false" ht="29.25" hidden="false" customHeight="true" outlineLevel="0" collapsed="false">
      <c r="A2188" s="4" t="n">
        <v>2187</v>
      </c>
      <c r="B2188" s="6" t="s">
        <v>1787</v>
      </c>
      <c r="C2188" s="6" t="s">
        <v>7659</v>
      </c>
      <c r="D2188" s="6" t="s">
        <v>7660</v>
      </c>
      <c r="E2188" s="7" t="s">
        <v>21</v>
      </c>
      <c r="F2188" s="6" t="s">
        <v>7887</v>
      </c>
      <c r="G2188" s="5" t="s">
        <v>701</v>
      </c>
      <c r="H2188" s="5" t="s">
        <v>702</v>
      </c>
      <c r="I2188" s="6" t="s">
        <v>1906</v>
      </c>
      <c r="J2188" s="6" t="s">
        <v>7888</v>
      </c>
      <c r="K2188" s="5"/>
      <c r="L2188" s="4" t="s">
        <v>62</v>
      </c>
      <c r="M2188" s="8" t="s">
        <v>129</v>
      </c>
      <c r="N2188" s="9" t="s">
        <v>7668</v>
      </c>
      <c r="O2188" s="5"/>
      <c r="P2188" s="5"/>
      <c r="Q2188" s="6" t="s">
        <v>30</v>
      </c>
      <c r="R2188" s="4" t="s">
        <v>31</v>
      </c>
      <c r="S2188" s="7" t="s">
        <v>32</v>
      </c>
      <c r="T2188" s="5"/>
    </row>
    <row r="2189" customFormat="false" ht="29.25" hidden="false" customHeight="true" outlineLevel="0" collapsed="false">
      <c r="A2189" s="4" t="n">
        <v>2188</v>
      </c>
      <c r="B2189" s="6" t="s">
        <v>1787</v>
      </c>
      <c r="C2189" s="6" t="s">
        <v>7659</v>
      </c>
      <c r="D2189" s="6" t="s">
        <v>7660</v>
      </c>
      <c r="E2189" s="7" t="s">
        <v>21</v>
      </c>
      <c r="F2189" s="6" t="s">
        <v>7889</v>
      </c>
      <c r="G2189" s="5" t="s">
        <v>7890</v>
      </c>
      <c r="H2189" s="5" t="s">
        <v>7891</v>
      </c>
      <c r="I2189" s="5" t="s">
        <v>7892</v>
      </c>
      <c r="J2189" s="6" t="s">
        <v>7752</v>
      </c>
      <c r="K2189" s="5"/>
      <c r="L2189" s="4" t="s">
        <v>44</v>
      </c>
      <c r="M2189" s="8" t="s">
        <v>129</v>
      </c>
      <c r="N2189" s="9" t="s">
        <v>7668</v>
      </c>
      <c r="O2189" s="5"/>
      <c r="P2189" s="5"/>
      <c r="Q2189" s="6" t="s">
        <v>30</v>
      </c>
      <c r="R2189" s="4" t="s">
        <v>31</v>
      </c>
      <c r="S2189" s="7" t="s">
        <v>32</v>
      </c>
      <c r="T2189" s="5"/>
    </row>
    <row r="2190" customFormat="false" ht="29.25" hidden="false" customHeight="true" outlineLevel="0" collapsed="false">
      <c r="A2190" s="4" t="n">
        <v>2189</v>
      </c>
      <c r="B2190" s="6" t="s">
        <v>1787</v>
      </c>
      <c r="C2190" s="6" t="s">
        <v>7659</v>
      </c>
      <c r="D2190" s="6" t="s">
        <v>7660</v>
      </c>
      <c r="E2190" s="7" t="s">
        <v>21</v>
      </c>
      <c r="F2190" s="6" t="s">
        <v>7893</v>
      </c>
      <c r="G2190" s="5" t="s">
        <v>6712</v>
      </c>
      <c r="H2190" s="5" t="s">
        <v>6713</v>
      </c>
      <c r="I2190" s="5" t="s">
        <v>6714</v>
      </c>
      <c r="J2190" s="5" t="s">
        <v>6728</v>
      </c>
      <c r="K2190" s="5"/>
      <c r="L2190" s="4" t="s">
        <v>27</v>
      </c>
      <c r="M2190" s="8" t="s">
        <v>129</v>
      </c>
      <c r="N2190" s="9" t="s">
        <v>7706</v>
      </c>
      <c r="O2190" s="5"/>
      <c r="P2190" s="5"/>
      <c r="Q2190" s="6" t="s">
        <v>30</v>
      </c>
      <c r="R2190" s="4" t="s">
        <v>31</v>
      </c>
      <c r="S2190" s="7" t="s">
        <v>32</v>
      </c>
      <c r="T2190" s="5"/>
    </row>
    <row r="2191" customFormat="false" ht="29.25" hidden="false" customHeight="true" outlineLevel="0" collapsed="false">
      <c r="A2191" s="4" t="n">
        <v>2190</v>
      </c>
      <c r="B2191" s="6" t="s">
        <v>1787</v>
      </c>
      <c r="C2191" s="6" t="s">
        <v>7659</v>
      </c>
      <c r="D2191" s="6" t="s">
        <v>7660</v>
      </c>
      <c r="E2191" s="7" t="s">
        <v>21</v>
      </c>
      <c r="F2191" s="6" t="s">
        <v>7894</v>
      </c>
      <c r="G2191" s="5" t="s">
        <v>7895</v>
      </c>
      <c r="H2191" s="5" t="s">
        <v>7896</v>
      </c>
      <c r="I2191" s="5" t="s">
        <v>7897</v>
      </c>
      <c r="J2191" s="5" t="s">
        <v>7898</v>
      </c>
      <c r="K2191" s="5"/>
      <c r="L2191" s="4" t="s">
        <v>62</v>
      </c>
      <c r="M2191" s="8" t="s">
        <v>129</v>
      </c>
      <c r="N2191" s="9" t="s">
        <v>7706</v>
      </c>
      <c r="O2191" s="5"/>
      <c r="P2191" s="5"/>
      <c r="Q2191" s="6" t="s">
        <v>30</v>
      </c>
      <c r="R2191" s="4" t="s">
        <v>31</v>
      </c>
      <c r="S2191" s="7" t="s">
        <v>32</v>
      </c>
      <c r="T2191" s="5"/>
    </row>
    <row r="2192" customFormat="false" ht="29.25" hidden="false" customHeight="true" outlineLevel="0" collapsed="false">
      <c r="A2192" s="4" t="n">
        <v>2191</v>
      </c>
      <c r="B2192" s="6" t="s">
        <v>1787</v>
      </c>
      <c r="C2192" s="6" t="s">
        <v>7659</v>
      </c>
      <c r="D2192" s="6" t="s">
        <v>7660</v>
      </c>
      <c r="E2192" s="7" t="s">
        <v>21</v>
      </c>
      <c r="F2192" s="6" t="s">
        <v>7899</v>
      </c>
      <c r="G2192" s="5" t="s">
        <v>7900</v>
      </c>
      <c r="H2192" s="5" t="s">
        <v>7901</v>
      </c>
      <c r="I2192" s="5" t="s">
        <v>7902</v>
      </c>
      <c r="J2192" s="5" t="s">
        <v>7903</v>
      </c>
      <c r="K2192" s="5"/>
      <c r="L2192" s="4" t="s">
        <v>51</v>
      </c>
      <c r="M2192" s="8" t="s">
        <v>129</v>
      </c>
      <c r="N2192" s="9" t="s">
        <v>7668</v>
      </c>
      <c r="O2192" s="5"/>
      <c r="P2192" s="5"/>
      <c r="Q2192" s="6" t="s">
        <v>30</v>
      </c>
      <c r="R2192" s="4" t="s">
        <v>31</v>
      </c>
      <c r="S2192" s="7" t="s">
        <v>32</v>
      </c>
      <c r="T2192" s="5"/>
    </row>
    <row r="2193" customFormat="false" ht="29.25" hidden="false" customHeight="true" outlineLevel="0" collapsed="false">
      <c r="A2193" s="4" t="n">
        <v>2192</v>
      </c>
      <c r="B2193" s="6" t="s">
        <v>1787</v>
      </c>
      <c r="C2193" s="6" t="s">
        <v>7659</v>
      </c>
      <c r="D2193" s="6" t="s">
        <v>7660</v>
      </c>
      <c r="E2193" s="7" t="s">
        <v>21</v>
      </c>
      <c r="F2193" s="6" t="s">
        <v>7904</v>
      </c>
      <c r="G2193" s="5" t="s">
        <v>7905</v>
      </c>
      <c r="H2193" s="5" t="s">
        <v>7906</v>
      </c>
      <c r="I2193" s="5" t="s">
        <v>7907</v>
      </c>
      <c r="J2193" s="5" t="s">
        <v>7908</v>
      </c>
      <c r="K2193" s="5"/>
      <c r="L2193" s="4" t="s">
        <v>27</v>
      </c>
      <c r="M2193" s="8" t="s">
        <v>129</v>
      </c>
      <c r="N2193" s="9" t="s">
        <v>7668</v>
      </c>
      <c r="O2193" s="5"/>
      <c r="P2193" s="5"/>
      <c r="Q2193" s="6" t="s">
        <v>30</v>
      </c>
      <c r="R2193" s="4" t="s">
        <v>31</v>
      </c>
      <c r="S2193" s="7" t="s">
        <v>32</v>
      </c>
      <c r="T2193" s="5"/>
    </row>
    <row r="2194" customFormat="false" ht="29.25" hidden="false" customHeight="true" outlineLevel="0" collapsed="false">
      <c r="A2194" s="4" t="n">
        <v>2193</v>
      </c>
      <c r="B2194" s="6" t="s">
        <v>1787</v>
      </c>
      <c r="C2194" s="6" t="s">
        <v>7659</v>
      </c>
      <c r="D2194" s="6" t="s">
        <v>7660</v>
      </c>
      <c r="E2194" s="7" t="s">
        <v>21</v>
      </c>
      <c r="F2194" s="6" t="s">
        <v>7909</v>
      </c>
      <c r="G2194" s="5" t="s">
        <v>7905</v>
      </c>
      <c r="H2194" s="5" t="s">
        <v>7906</v>
      </c>
      <c r="I2194" s="5" t="s">
        <v>7907</v>
      </c>
      <c r="J2194" s="5" t="s">
        <v>7908</v>
      </c>
      <c r="K2194" s="5"/>
      <c r="L2194" s="4" t="s">
        <v>27</v>
      </c>
      <c r="M2194" s="8" t="s">
        <v>129</v>
      </c>
      <c r="N2194" s="9" t="s">
        <v>7668</v>
      </c>
      <c r="O2194" s="5"/>
      <c r="P2194" s="5"/>
      <c r="Q2194" s="6" t="s">
        <v>30</v>
      </c>
      <c r="R2194" s="4" t="s">
        <v>31</v>
      </c>
      <c r="S2194" s="7" t="s">
        <v>32</v>
      </c>
      <c r="T2194" s="5"/>
    </row>
    <row r="2195" customFormat="false" ht="29.25" hidden="false" customHeight="true" outlineLevel="0" collapsed="false">
      <c r="A2195" s="4" t="n">
        <v>2194</v>
      </c>
      <c r="B2195" s="6" t="s">
        <v>1787</v>
      </c>
      <c r="C2195" s="6" t="s">
        <v>7659</v>
      </c>
      <c r="D2195" s="6" t="s">
        <v>7660</v>
      </c>
      <c r="E2195" s="7" t="s">
        <v>21</v>
      </c>
      <c r="F2195" s="6" t="s">
        <v>7910</v>
      </c>
      <c r="G2195" s="5" t="s">
        <v>7911</v>
      </c>
      <c r="H2195" s="5" t="s">
        <v>7912</v>
      </c>
      <c r="I2195" s="5" t="s">
        <v>7913</v>
      </c>
      <c r="J2195" s="5" t="s">
        <v>7914</v>
      </c>
      <c r="K2195" s="5"/>
      <c r="L2195" s="4" t="s">
        <v>51</v>
      </c>
      <c r="M2195" s="8" t="s">
        <v>129</v>
      </c>
      <c r="N2195" s="9" t="s">
        <v>7706</v>
      </c>
      <c r="O2195" s="5"/>
      <c r="P2195" s="5"/>
      <c r="Q2195" s="6" t="s">
        <v>30</v>
      </c>
      <c r="R2195" s="4" t="s">
        <v>31</v>
      </c>
      <c r="S2195" s="7" t="s">
        <v>32</v>
      </c>
      <c r="T2195" s="5"/>
    </row>
    <row r="2196" customFormat="false" ht="29.25" hidden="false" customHeight="true" outlineLevel="0" collapsed="false">
      <c r="A2196" s="4" t="n">
        <v>2195</v>
      </c>
      <c r="B2196" s="6" t="s">
        <v>1787</v>
      </c>
      <c r="C2196" s="6" t="s">
        <v>7659</v>
      </c>
      <c r="D2196" s="6" t="s">
        <v>7660</v>
      </c>
      <c r="E2196" s="7" t="s">
        <v>21</v>
      </c>
      <c r="F2196" s="6" t="s">
        <v>7915</v>
      </c>
      <c r="G2196" s="5" t="s">
        <v>7916</v>
      </c>
      <c r="H2196" s="5" t="s">
        <v>7917</v>
      </c>
      <c r="I2196" s="5" t="s">
        <v>7918</v>
      </c>
      <c r="J2196" s="5" t="s">
        <v>7919</v>
      </c>
      <c r="K2196" s="5"/>
      <c r="L2196" s="4" t="s">
        <v>44</v>
      </c>
      <c r="M2196" s="8" t="s">
        <v>129</v>
      </c>
      <c r="N2196" s="9" t="s">
        <v>7706</v>
      </c>
      <c r="O2196" s="5"/>
      <c r="P2196" s="5"/>
      <c r="Q2196" s="6" t="s">
        <v>30</v>
      </c>
      <c r="R2196" s="4" t="s">
        <v>31</v>
      </c>
      <c r="S2196" s="7" t="s">
        <v>32</v>
      </c>
      <c r="T2196" s="5"/>
    </row>
    <row r="2197" customFormat="false" ht="29.25" hidden="false" customHeight="true" outlineLevel="0" collapsed="false">
      <c r="A2197" s="4" t="n">
        <v>2196</v>
      </c>
      <c r="B2197" s="6" t="s">
        <v>1787</v>
      </c>
      <c r="C2197" s="6" t="s">
        <v>7659</v>
      </c>
      <c r="D2197" s="6" t="s">
        <v>7660</v>
      </c>
      <c r="E2197" s="7" t="s">
        <v>21</v>
      </c>
      <c r="F2197" s="6" t="s">
        <v>7920</v>
      </c>
      <c r="G2197" s="5" t="s">
        <v>7921</v>
      </c>
      <c r="H2197" s="5" t="s">
        <v>7922</v>
      </c>
      <c r="I2197" s="6" t="s">
        <v>7923</v>
      </c>
      <c r="J2197" s="6" t="s">
        <v>150</v>
      </c>
      <c r="K2197" s="5"/>
      <c r="L2197" s="4" t="s">
        <v>62</v>
      </c>
      <c r="M2197" s="8" t="s">
        <v>79</v>
      </c>
      <c r="N2197" s="9" t="s">
        <v>7706</v>
      </c>
      <c r="O2197" s="5"/>
      <c r="P2197" s="5"/>
      <c r="Q2197" s="6" t="s">
        <v>30</v>
      </c>
      <c r="R2197" s="4" t="s">
        <v>31</v>
      </c>
      <c r="S2197" s="7" t="s">
        <v>32</v>
      </c>
      <c r="T2197" s="5"/>
    </row>
    <row r="2198" customFormat="false" ht="29.25" hidden="false" customHeight="true" outlineLevel="0" collapsed="false">
      <c r="A2198" s="4" t="n">
        <v>2197</v>
      </c>
      <c r="B2198" s="6" t="s">
        <v>1787</v>
      </c>
      <c r="C2198" s="6" t="s">
        <v>7659</v>
      </c>
      <c r="D2198" s="6" t="s">
        <v>7660</v>
      </c>
      <c r="E2198" s="7" t="s">
        <v>21</v>
      </c>
      <c r="F2198" s="6" t="s">
        <v>7924</v>
      </c>
      <c r="G2198" s="6" t="s">
        <v>7925</v>
      </c>
      <c r="H2198" s="6" t="s">
        <v>7709</v>
      </c>
      <c r="I2198" s="6" t="s">
        <v>7710</v>
      </c>
      <c r="J2198" s="6" t="s">
        <v>7926</v>
      </c>
      <c r="K2198" s="5"/>
      <c r="L2198" s="4" t="s">
        <v>51</v>
      </c>
      <c r="M2198" s="8" t="s">
        <v>129</v>
      </c>
      <c r="N2198" s="9" t="s">
        <v>7664</v>
      </c>
      <c r="O2198" s="5"/>
      <c r="P2198" s="5"/>
      <c r="Q2198" s="6" t="s">
        <v>30</v>
      </c>
      <c r="R2198" s="4" t="s">
        <v>31</v>
      </c>
      <c r="S2198" s="7" t="s">
        <v>32</v>
      </c>
      <c r="T2198" s="5"/>
    </row>
    <row r="2199" customFormat="false" ht="29.25" hidden="false" customHeight="true" outlineLevel="0" collapsed="false">
      <c r="A2199" s="4" t="n">
        <v>2198</v>
      </c>
      <c r="B2199" s="6" t="s">
        <v>1787</v>
      </c>
      <c r="C2199" s="6" t="s">
        <v>7659</v>
      </c>
      <c r="D2199" s="6" t="s">
        <v>7660</v>
      </c>
      <c r="E2199" s="7" t="s">
        <v>21</v>
      </c>
      <c r="F2199" s="6" t="s">
        <v>7927</v>
      </c>
      <c r="G2199" s="6" t="s">
        <v>7708</v>
      </c>
      <c r="H2199" s="6" t="s">
        <v>7925</v>
      </c>
      <c r="I2199" s="6" t="s">
        <v>7928</v>
      </c>
      <c r="J2199" s="6" t="s">
        <v>7929</v>
      </c>
      <c r="K2199" s="5"/>
      <c r="L2199" s="4" t="s">
        <v>27</v>
      </c>
      <c r="M2199" s="8" t="s">
        <v>129</v>
      </c>
      <c r="N2199" s="9" t="s">
        <v>7664</v>
      </c>
      <c r="O2199" s="5"/>
      <c r="P2199" s="5"/>
      <c r="Q2199" s="6" t="s">
        <v>30</v>
      </c>
      <c r="R2199" s="4" t="s">
        <v>31</v>
      </c>
      <c r="S2199" s="7" t="s">
        <v>32</v>
      </c>
      <c r="T2199" s="5"/>
    </row>
    <row r="2200" customFormat="false" ht="29.25" hidden="false" customHeight="true" outlineLevel="0" collapsed="false">
      <c r="A2200" s="4" t="n">
        <v>2199</v>
      </c>
      <c r="B2200" s="6" t="s">
        <v>1787</v>
      </c>
      <c r="C2200" s="6" t="s">
        <v>7659</v>
      </c>
      <c r="D2200" s="6" t="s">
        <v>7660</v>
      </c>
      <c r="E2200" s="7" t="s">
        <v>21</v>
      </c>
      <c r="F2200" s="6" t="s">
        <v>7930</v>
      </c>
      <c r="G2200" s="6" t="s">
        <v>7931</v>
      </c>
      <c r="H2200" s="6" t="s">
        <v>7817</v>
      </c>
      <c r="I2200" s="6" t="s">
        <v>7932</v>
      </c>
      <c r="J2200" s="6" t="s">
        <v>7933</v>
      </c>
      <c r="K2200" s="5"/>
      <c r="L2200" s="4" t="s">
        <v>62</v>
      </c>
      <c r="M2200" s="8" t="s">
        <v>129</v>
      </c>
      <c r="N2200" s="9" t="s">
        <v>7664</v>
      </c>
      <c r="O2200" s="5"/>
      <c r="P2200" s="5"/>
      <c r="Q2200" s="6" t="s">
        <v>30</v>
      </c>
      <c r="R2200" s="4" t="s">
        <v>31</v>
      </c>
      <c r="S2200" s="7" t="s">
        <v>32</v>
      </c>
      <c r="T2200" s="5"/>
    </row>
    <row r="2201" customFormat="false" ht="29.25" hidden="false" customHeight="true" outlineLevel="0" collapsed="false">
      <c r="A2201" s="4" t="n">
        <v>2200</v>
      </c>
      <c r="B2201" s="6" t="s">
        <v>1787</v>
      </c>
      <c r="C2201" s="6" t="s">
        <v>7659</v>
      </c>
      <c r="D2201" s="6" t="s">
        <v>7660</v>
      </c>
      <c r="E2201" s="7" t="s">
        <v>21</v>
      </c>
      <c r="F2201" s="6" t="s">
        <v>7934</v>
      </c>
      <c r="G2201" s="6" t="s">
        <v>7789</v>
      </c>
      <c r="H2201" s="6" t="s">
        <v>7935</v>
      </c>
      <c r="I2201" s="6" t="s">
        <v>7936</v>
      </c>
      <c r="J2201" s="6" t="s">
        <v>7818</v>
      </c>
      <c r="K2201" s="5"/>
      <c r="L2201" s="4" t="s">
        <v>51</v>
      </c>
      <c r="M2201" s="8" t="s">
        <v>129</v>
      </c>
      <c r="N2201" s="9" t="s">
        <v>7664</v>
      </c>
      <c r="O2201" s="5"/>
      <c r="P2201" s="5"/>
      <c r="Q2201" s="6" t="s">
        <v>30</v>
      </c>
      <c r="R2201" s="4" t="s">
        <v>31</v>
      </c>
      <c r="S2201" s="7" t="s">
        <v>32</v>
      </c>
      <c r="T2201" s="5"/>
    </row>
    <row r="2202" customFormat="false" ht="29.25" hidden="false" customHeight="true" outlineLevel="0" collapsed="false">
      <c r="A2202" s="4" t="n">
        <v>2201</v>
      </c>
      <c r="B2202" s="6" t="s">
        <v>1787</v>
      </c>
      <c r="C2202" s="6" t="s">
        <v>7659</v>
      </c>
      <c r="D2202" s="6" t="s">
        <v>7660</v>
      </c>
      <c r="E2202" s="7" t="s">
        <v>21</v>
      </c>
      <c r="F2202" s="6" t="s">
        <v>7937</v>
      </c>
      <c r="G2202" s="6" t="s">
        <v>7788</v>
      </c>
      <c r="H2202" s="6" t="s">
        <v>7792</v>
      </c>
      <c r="I2202" s="6" t="s">
        <v>7931</v>
      </c>
      <c r="J2202" s="6" t="s">
        <v>7936</v>
      </c>
      <c r="K2202" s="5"/>
      <c r="L2202" s="4" t="s">
        <v>51</v>
      </c>
      <c r="M2202" s="8" t="s">
        <v>129</v>
      </c>
      <c r="N2202" s="9" t="s">
        <v>7664</v>
      </c>
      <c r="O2202" s="5"/>
      <c r="P2202" s="5"/>
      <c r="Q2202" s="6" t="s">
        <v>30</v>
      </c>
      <c r="R2202" s="4" t="s">
        <v>31</v>
      </c>
      <c r="S2202" s="7" t="s">
        <v>32</v>
      </c>
      <c r="T2202" s="5"/>
    </row>
    <row r="2203" customFormat="false" ht="29.25" hidden="false" customHeight="true" outlineLevel="0" collapsed="false">
      <c r="A2203" s="4" t="n">
        <v>2202</v>
      </c>
      <c r="B2203" s="6" t="s">
        <v>1787</v>
      </c>
      <c r="C2203" s="6" t="s">
        <v>7659</v>
      </c>
      <c r="D2203" s="6" t="s">
        <v>7660</v>
      </c>
      <c r="E2203" s="7" t="s">
        <v>21</v>
      </c>
      <c r="F2203" s="6" t="s">
        <v>7938</v>
      </c>
      <c r="G2203" s="5" t="s">
        <v>7939</v>
      </c>
      <c r="H2203" s="5" t="s">
        <v>7940</v>
      </c>
      <c r="I2203" s="5" t="s">
        <v>7694</v>
      </c>
      <c r="J2203" s="5" t="s">
        <v>7941</v>
      </c>
      <c r="K2203" s="5"/>
      <c r="L2203" s="4" t="s">
        <v>27</v>
      </c>
      <c r="M2203" s="8" t="s">
        <v>129</v>
      </c>
      <c r="N2203" s="9" t="s">
        <v>7668</v>
      </c>
      <c r="O2203" s="5"/>
      <c r="P2203" s="5"/>
      <c r="Q2203" s="6" t="s">
        <v>30</v>
      </c>
      <c r="R2203" s="4" t="s">
        <v>31</v>
      </c>
      <c r="S2203" s="7" t="s">
        <v>32</v>
      </c>
      <c r="T2203" s="5"/>
    </row>
    <row r="2204" customFormat="false" ht="29.25" hidden="false" customHeight="true" outlineLevel="0" collapsed="false">
      <c r="A2204" s="4" t="n">
        <v>2203</v>
      </c>
      <c r="B2204" s="6" t="s">
        <v>1787</v>
      </c>
      <c r="C2204" s="6" t="s">
        <v>7659</v>
      </c>
      <c r="D2204" s="6" t="s">
        <v>7660</v>
      </c>
      <c r="E2204" s="7" t="s">
        <v>21</v>
      </c>
      <c r="F2204" s="6" t="s">
        <v>7942</v>
      </c>
      <c r="G2204" s="5" t="s">
        <v>7290</v>
      </c>
      <c r="H2204" s="5" t="s">
        <v>7289</v>
      </c>
      <c r="I2204" s="5" t="s">
        <v>7291</v>
      </c>
      <c r="J2204" s="5" t="s">
        <v>7288</v>
      </c>
      <c r="K2204" s="5"/>
      <c r="L2204" s="4" t="s">
        <v>62</v>
      </c>
      <c r="M2204" s="8" t="s">
        <v>79</v>
      </c>
      <c r="N2204" s="9" t="s">
        <v>7813</v>
      </c>
      <c r="O2204" s="5"/>
      <c r="P2204" s="5"/>
      <c r="Q2204" s="6" t="s">
        <v>30</v>
      </c>
      <c r="R2204" s="4" t="s">
        <v>31</v>
      </c>
      <c r="S2204" s="7" t="s">
        <v>32</v>
      </c>
      <c r="T2204" s="5"/>
    </row>
    <row r="2205" customFormat="false" ht="29.25" hidden="false" customHeight="true" outlineLevel="0" collapsed="false">
      <c r="A2205" s="4" t="n">
        <v>2204</v>
      </c>
      <c r="B2205" s="6" t="s">
        <v>1787</v>
      </c>
      <c r="C2205" s="6" t="s">
        <v>7659</v>
      </c>
      <c r="D2205" s="6" t="s">
        <v>7660</v>
      </c>
      <c r="E2205" s="7" t="s">
        <v>21</v>
      </c>
      <c r="F2205" s="6" t="s">
        <v>7943</v>
      </c>
      <c r="G2205" s="5" t="s">
        <v>7290</v>
      </c>
      <c r="H2205" s="5" t="s">
        <v>7289</v>
      </c>
      <c r="I2205" s="5" t="s">
        <v>7291</v>
      </c>
      <c r="J2205" s="5" t="s">
        <v>7288</v>
      </c>
      <c r="K2205" s="5"/>
      <c r="L2205" s="4" t="s">
        <v>62</v>
      </c>
      <c r="M2205" s="8" t="s">
        <v>129</v>
      </c>
      <c r="N2205" s="9" t="s">
        <v>7664</v>
      </c>
      <c r="O2205" s="5"/>
      <c r="P2205" s="5"/>
      <c r="Q2205" s="6" t="s">
        <v>30</v>
      </c>
      <c r="R2205" s="4" t="s">
        <v>31</v>
      </c>
      <c r="S2205" s="7" t="s">
        <v>32</v>
      </c>
      <c r="T2205" s="5"/>
    </row>
    <row r="2206" customFormat="false" ht="29.25" hidden="false" customHeight="true" outlineLevel="0" collapsed="false">
      <c r="A2206" s="4" t="n">
        <v>2205</v>
      </c>
      <c r="B2206" s="6" t="s">
        <v>1787</v>
      </c>
      <c r="C2206" s="6" t="s">
        <v>7659</v>
      </c>
      <c r="D2206" s="6" t="s">
        <v>7660</v>
      </c>
      <c r="E2206" s="7" t="s">
        <v>21</v>
      </c>
      <c r="F2206" s="6" t="s">
        <v>7944</v>
      </c>
      <c r="G2206" s="5" t="s">
        <v>5791</v>
      </c>
      <c r="H2206" s="5" t="s">
        <v>7945</v>
      </c>
      <c r="I2206" s="5" t="s">
        <v>5792</v>
      </c>
      <c r="J2206" s="5" t="s">
        <v>6046</v>
      </c>
      <c r="K2206" s="5"/>
      <c r="L2206" s="4" t="s">
        <v>27</v>
      </c>
      <c r="M2206" s="8" t="s">
        <v>129</v>
      </c>
      <c r="N2206" s="9" t="s">
        <v>7668</v>
      </c>
      <c r="O2206" s="5"/>
      <c r="P2206" s="5"/>
      <c r="Q2206" s="6" t="s">
        <v>30</v>
      </c>
      <c r="R2206" s="4" t="s">
        <v>31</v>
      </c>
      <c r="S2206" s="7" t="s">
        <v>32</v>
      </c>
      <c r="T2206" s="5"/>
    </row>
    <row r="2207" customFormat="false" ht="29.25" hidden="false" customHeight="true" outlineLevel="0" collapsed="false">
      <c r="A2207" s="4" t="n">
        <v>2206</v>
      </c>
      <c r="B2207" s="6" t="s">
        <v>1787</v>
      </c>
      <c r="C2207" s="6" t="s">
        <v>7659</v>
      </c>
      <c r="D2207" s="6" t="s">
        <v>7660</v>
      </c>
      <c r="E2207" s="7" t="s">
        <v>21</v>
      </c>
      <c r="F2207" s="6" t="s">
        <v>7946</v>
      </c>
      <c r="G2207" s="6" t="s">
        <v>7947</v>
      </c>
      <c r="H2207" s="6" t="s">
        <v>7948</v>
      </c>
      <c r="I2207" s="6" t="s">
        <v>7949</v>
      </c>
      <c r="J2207" s="6" t="s">
        <v>150</v>
      </c>
      <c r="K2207" s="5"/>
      <c r="L2207" s="4" t="s">
        <v>62</v>
      </c>
      <c r="M2207" s="8" t="s">
        <v>79</v>
      </c>
      <c r="N2207" s="9" t="s">
        <v>7668</v>
      </c>
      <c r="O2207" s="5"/>
      <c r="P2207" s="5"/>
      <c r="Q2207" s="6" t="s">
        <v>30</v>
      </c>
      <c r="R2207" s="4" t="s">
        <v>31</v>
      </c>
      <c r="S2207" s="7" t="s">
        <v>32</v>
      </c>
      <c r="T2207" s="5"/>
    </row>
    <row r="2208" customFormat="false" ht="29.25" hidden="false" customHeight="true" outlineLevel="0" collapsed="false">
      <c r="A2208" s="4" t="n">
        <v>2207</v>
      </c>
      <c r="B2208" s="6" t="s">
        <v>1787</v>
      </c>
      <c r="C2208" s="6" t="s">
        <v>7659</v>
      </c>
      <c r="D2208" s="6" t="s">
        <v>7660</v>
      </c>
      <c r="E2208" s="7" t="s">
        <v>21</v>
      </c>
      <c r="F2208" s="6" t="s">
        <v>7950</v>
      </c>
      <c r="G2208" s="6" t="s">
        <v>7951</v>
      </c>
      <c r="H2208" s="6" t="s">
        <v>7952</v>
      </c>
      <c r="I2208" s="6" t="s">
        <v>7953</v>
      </c>
      <c r="J2208" s="6" t="s">
        <v>78</v>
      </c>
      <c r="K2208" s="5"/>
      <c r="L2208" s="4" t="s">
        <v>44</v>
      </c>
      <c r="M2208" s="8" t="s">
        <v>79</v>
      </c>
      <c r="N2208" s="9" t="s">
        <v>7664</v>
      </c>
      <c r="O2208" s="5"/>
      <c r="P2208" s="5"/>
      <c r="Q2208" s="6" t="s">
        <v>30</v>
      </c>
      <c r="R2208" s="4" t="s">
        <v>31</v>
      </c>
      <c r="S2208" s="7" t="s">
        <v>32</v>
      </c>
      <c r="T2208" s="5"/>
    </row>
    <row r="2209" customFormat="false" ht="29.25" hidden="false" customHeight="true" outlineLevel="0" collapsed="false">
      <c r="A2209" s="4" t="n">
        <v>2208</v>
      </c>
      <c r="B2209" s="6" t="s">
        <v>1787</v>
      </c>
      <c r="C2209" s="6" t="s">
        <v>7659</v>
      </c>
      <c r="D2209" s="6" t="s">
        <v>7660</v>
      </c>
      <c r="E2209" s="7" t="s">
        <v>21</v>
      </c>
      <c r="F2209" s="6" t="s">
        <v>7954</v>
      </c>
      <c r="G2209" s="6" t="s">
        <v>7955</v>
      </c>
      <c r="H2209" s="6" t="s">
        <v>7956</v>
      </c>
      <c r="I2209" s="6" t="s">
        <v>7957</v>
      </c>
      <c r="J2209" s="6" t="s">
        <v>78</v>
      </c>
      <c r="K2209" s="5"/>
      <c r="L2209" s="4" t="s">
        <v>44</v>
      </c>
      <c r="M2209" s="8" t="s">
        <v>79</v>
      </c>
      <c r="N2209" s="9" t="s">
        <v>7664</v>
      </c>
      <c r="O2209" s="5"/>
      <c r="P2209" s="5"/>
      <c r="Q2209" s="6" t="s">
        <v>30</v>
      </c>
      <c r="R2209" s="4" t="s">
        <v>31</v>
      </c>
      <c r="S2209" s="7" t="s">
        <v>32</v>
      </c>
      <c r="T2209" s="5"/>
    </row>
    <row r="2210" customFormat="false" ht="29.25" hidden="false" customHeight="true" outlineLevel="0" collapsed="false">
      <c r="A2210" s="4" t="n">
        <v>2209</v>
      </c>
      <c r="B2210" s="6" t="s">
        <v>1787</v>
      </c>
      <c r="C2210" s="6" t="s">
        <v>7659</v>
      </c>
      <c r="D2210" s="6" t="s">
        <v>7660</v>
      </c>
      <c r="E2210" s="7" t="s">
        <v>21</v>
      </c>
      <c r="F2210" s="6" t="s">
        <v>7958</v>
      </c>
      <c r="G2210" s="6" t="s">
        <v>7959</v>
      </c>
      <c r="H2210" s="6" t="s">
        <v>7960</v>
      </c>
      <c r="I2210" s="6" t="s">
        <v>7961</v>
      </c>
      <c r="J2210" s="6" t="s">
        <v>78</v>
      </c>
      <c r="K2210" s="5"/>
      <c r="L2210" s="4" t="s">
        <v>44</v>
      </c>
      <c r="M2210" s="8" t="s">
        <v>79</v>
      </c>
      <c r="N2210" s="9" t="s">
        <v>7664</v>
      </c>
      <c r="O2210" s="5"/>
      <c r="P2210" s="5"/>
      <c r="Q2210" s="6" t="s">
        <v>30</v>
      </c>
      <c r="R2210" s="4" t="s">
        <v>31</v>
      </c>
      <c r="S2210" s="7" t="s">
        <v>32</v>
      </c>
      <c r="T2210" s="5"/>
    </row>
    <row r="2211" customFormat="false" ht="29.25" hidden="false" customHeight="true" outlineLevel="0" collapsed="false">
      <c r="A2211" s="4" t="n">
        <v>2210</v>
      </c>
      <c r="B2211" s="6" t="s">
        <v>1787</v>
      </c>
      <c r="C2211" s="6" t="s">
        <v>7659</v>
      </c>
      <c r="D2211" s="6" t="s">
        <v>7660</v>
      </c>
      <c r="E2211" s="7" t="s">
        <v>21</v>
      </c>
      <c r="F2211" s="6" t="s">
        <v>7962</v>
      </c>
      <c r="G2211" s="6" t="s">
        <v>7963</v>
      </c>
      <c r="H2211" s="6" t="s">
        <v>7842</v>
      </c>
      <c r="I2211" s="6" t="s">
        <v>7964</v>
      </c>
      <c r="J2211" s="6" t="s">
        <v>78</v>
      </c>
      <c r="K2211" s="5"/>
      <c r="L2211" s="4" t="s">
        <v>44</v>
      </c>
      <c r="M2211" s="8" t="s">
        <v>79</v>
      </c>
      <c r="N2211" s="9" t="s">
        <v>7706</v>
      </c>
      <c r="O2211" s="5"/>
      <c r="P2211" s="5"/>
      <c r="Q2211" s="6" t="s">
        <v>30</v>
      </c>
      <c r="R2211" s="4" t="s">
        <v>31</v>
      </c>
      <c r="S2211" s="7" t="s">
        <v>32</v>
      </c>
      <c r="T2211" s="5"/>
    </row>
    <row r="2212" customFormat="false" ht="29.25" hidden="false" customHeight="true" outlineLevel="0" collapsed="false">
      <c r="A2212" s="4" t="n">
        <v>2211</v>
      </c>
      <c r="B2212" s="6" t="s">
        <v>1787</v>
      </c>
      <c r="C2212" s="6" t="s">
        <v>7659</v>
      </c>
      <c r="D2212" s="6" t="s">
        <v>7660</v>
      </c>
      <c r="E2212" s="7" t="s">
        <v>21</v>
      </c>
      <c r="F2212" s="6" t="s">
        <v>7965</v>
      </c>
      <c r="G2212" s="6" t="s">
        <v>7963</v>
      </c>
      <c r="H2212" s="6" t="s">
        <v>7842</v>
      </c>
      <c r="I2212" s="6" t="s">
        <v>7964</v>
      </c>
      <c r="J2212" s="6" t="s">
        <v>7843</v>
      </c>
      <c r="K2212" s="5"/>
      <c r="L2212" s="4" t="s">
        <v>62</v>
      </c>
      <c r="M2212" s="8" t="s">
        <v>79</v>
      </c>
      <c r="N2212" s="9" t="s">
        <v>7668</v>
      </c>
      <c r="O2212" s="5"/>
      <c r="P2212" s="5"/>
      <c r="Q2212" s="6" t="s">
        <v>30</v>
      </c>
      <c r="R2212" s="4" t="s">
        <v>31</v>
      </c>
      <c r="S2212" s="7" t="s">
        <v>32</v>
      </c>
      <c r="T2212" s="5"/>
    </row>
    <row r="2213" customFormat="false" ht="29.25" hidden="false" customHeight="true" outlineLevel="0" collapsed="false">
      <c r="A2213" s="4" t="n">
        <v>2212</v>
      </c>
      <c r="B2213" s="6" t="s">
        <v>1787</v>
      </c>
      <c r="C2213" s="6" t="s">
        <v>7659</v>
      </c>
      <c r="D2213" s="6" t="s">
        <v>7660</v>
      </c>
      <c r="E2213" s="7" t="s">
        <v>21</v>
      </c>
      <c r="F2213" s="6" t="s">
        <v>7966</v>
      </c>
      <c r="G2213" s="6" t="s">
        <v>7963</v>
      </c>
      <c r="H2213" s="6" t="s">
        <v>7842</v>
      </c>
      <c r="I2213" s="6" t="s">
        <v>7964</v>
      </c>
      <c r="J2213" s="6" t="s">
        <v>7843</v>
      </c>
      <c r="K2213" s="5"/>
      <c r="L2213" s="4" t="s">
        <v>51</v>
      </c>
      <c r="M2213" s="8" t="s">
        <v>79</v>
      </c>
      <c r="N2213" s="9" t="s">
        <v>7668</v>
      </c>
      <c r="O2213" s="5"/>
      <c r="P2213" s="5"/>
      <c r="Q2213" s="6" t="s">
        <v>30</v>
      </c>
      <c r="R2213" s="4" t="s">
        <v>31</v>
      </c>
      <c r="S2213" s="7" t="s">
        <v>32</v>
      </c>
      <c r="T2213" s="5"/>
    </row>
    <row r="2214" customFormat="false" ht="29.25" hidden="false" customHeight="true" outlineLevel="0" collapsed="false">
      <c r="A2214" s="4" t="n">
        <v>2213</v>
      </c>
      <c r="B2214" s="6" t="s">
        <v>1787</v>
      </c>
      <c r="C2214" s="6" t="s">
        <v>7659</v>
      </c>
      <c r="D2214" s="6" t="s">
        <v>7660</v>
      </c>
      <c r="E2214" s="7" t="s">
        <v>21</v>
      </c>
      <c r="F2214" s="6" t="s">
        <v>7967</v>
      </c>
      <c r="G2214" s="6" t="s">
        <v>7968</v>
      </c>
      <c r="H2214" s="6" t="s">
        <v>7969</v>
      </c>
      <c r="I2214" s="6" t="s">
        <v>7970</v>
      </c>
      <c r="J2214" s="6" t="s">
        <v>78</v>
      </c>
      <c r="K2214" s="5"/>
      <c r="L2214" s="4" t="s">
        <v>44</v>
      </c>
      <c r="M2214" s="8" t="s">
        <v>79</v>
      </c>
      <c r="N2214" s="9" t="s">
        <v>7668</v>
      </c>
      <c r="O2214" s="5"/>
      <c r="P2214" s="5"/>
      <c r="Q2214" s="6" t="s">
        <v>30</v>
      </c>
      <c r="R2214" s="4" t="s">
        <v>31</v>
      </c>
      <c r="S2214" s="7" t="s">
        <v>32</v>
      </c>
      <c r="T2214" s="5"/>
    </row>
    <row r="2215" customFormat="false" ht="29.25" hidden="false" customHeight="true" outlineLevel="0" collapsed="false">
      <c r="A2215" s="4" t="n">
        <v>2214</v>
      </c>
      <c r="B2215" s="6" t="s">
        <v>1787</v>
      </c>
      <c r="C2215" s="6" t="s">
        <v>7659</v>
      </c>
      <c r="D2215" s="6" t="s">
        <v>7660</v>
      </c>
      <c r="E2215" s="7" t="s">
        <v>21</v>
      </c>
      <c r="F2215" s="6" t="s">
        <v>7971</v>
      </c>
      <c r="G2215" s="5" t="s">
        <v>7972</v>
      </c>
      <c r="H2215" s="5" t="s">
        <v>7973</v>
      </c>
      <c r="I2215" s="5" t="s">
        <v>7974</v>
      </c>
      <c r="J2215" s="5" t="s">
        <v>7975</v>
      </c>
      <c r="K2215" s="5"/>
      <c r="L2215" s="4" t="s">
        <v>51</v>
      </c>
      <c r="M2215" s="8" t="s">
        <v>129</v>
      </c>
      <c r="N2215" s="9" t="s">
        <v>7706</v>
      </c>
      <c r="O2215" s="5"/>
      <c r="P2215" s="5"/>
      <c r="Q2215" s="6" t="s">
        <v>30</v>
      </c>
      <c r="R2215" s="4" t="s">
        <v>31</v>
      </c>
      <c r="S2215" s="7" t="s">
        <v>32</v>
      </c>
      <c r="T2215" s="5"/>
    </row>
    <row r="2216" customFormat="false" ht="29.25" hidden="false" customHeight="true" outlineLevel="0" collapsed="false">
      <c r="A2216" s="4" t="n">
        <v>2215</v>
      </c>
      <c r="B2216" s="6" t="s">
        <v>1787</v>
      </c>
      <c r="C2216" s="6" t="s">
        <v>7659</v>
      </c>
      <c r="D2216" s="6" t="s">
        <v>7660</v>
      </c>
      <c r="E2216" s="7" t="s">
        <v>21</v>
      </c>
      <c r="F2216" s="6" t="s">
        <v>7976</v>
      </c>
      <c r="G2216" s="6" t="s">
        <v>7977</v>
      </c>
      <c r="H2216" s="6" t="s">
        <v>7978</v>
      </c>
      <c r="I2216" s="6" t="s">
        <v>7979</v>
      </c>
      <c r="J2216" s="6" t="s">
        <v>78</v>
      </c>
      <c r="K2216" s="5"/>
      <c r="L2216" s="4" t="s">
        <v>44</v>
      </c>
      <c r="M2216" s="8" t="s">
        <v>79</v>
      </c>
      <c r="N2216" s="9" t="s">
        <v>7706</v>
      </c>
      <c r="O2216" s="5"/>
      <c r="P2216" s="5"/>
      <c r="Q2216" s="6" t="s">
        <v>30</v>
      </c>
      <c r="R2216" s="4" t="s">
        <v>31</v>
      </c>
      <c r="S2216" s="7" t="s">
        <v>32</v>
      </c>
      <c r="T2216" s="5"/>
    </row>
    <row r="2217" customFormat="false" ht="29.25" hidden="false" customHeight="true" outlineLevel="0" collapsed="false">
      <c r="A2217" s="4" t="n">
        <v>2216</v>
      </c>
      <c r="B2217" s="6" t="s">
        <v>1787</v>
      </c>
      <c r="C2217" s="6" t="s">
        <v>7659</v>
      </c>
      <c r="D2217" s="6" t="s">
        <v>7660</v>
      </c>
      <c r="E2217" s="7" t="s">
        <v>21</v>
      </c>
      <c r="F2217" s="6" t="s">
        <v>7980</v>
      </c>
      <c r="G2217" s="6" t="s">
        <v>7869</v>
      </c>
      <c r="H2217" s="6" t="s">
        <v>7868</v>
      </c>
      <c r="I2217" s="6" t="s">
        <v>7870</v>
      </c>
      <c r="J2217" s="6" t="s">
        <v>78</v>
      </c>
      <c r="K2217" s="5"/>
      <c r="L2217" s="4" t="s">
        <v>44</v>
      </c>
      <c r="M2217" s="8" t="s">
        <v>129</v>
      </c>
      <c r="N2217" s="9" t="s">
        <v>7706</v>
      </c>
      <c r="O2217" s="5"/>
      <c r="P2217" s="5"/>
      <c r="Q2217" s="6" t="s">
        <v>30</v>
      </c>
      <c r="R2217" s="4" t="s">
        <v>31</v>
      </c>
      <c r="S2217" s="7" t="s">
        <v>32</v>
      </c>
      <c r="T2217" s="5"/>
    </row>
    <row r="2218" customFormat="false" ht="29.25" hidden="false" customHeight="true" outlineLevel="0" collapsed="false">
      <c r="A2218" s="4" t="n">
        <v>2217</v>
      </c>
      <c r="B2218" s="6" t="s">
        <v>1787</v>
      </c>
      <c r="C2218" s="6" t="s">
        <v>7659</v>
      </c>
      <c r="D2218" s="6" t="s">
        <v>7660</v>
      </c>
      <c r="E2218" s="7" t="s">
        <v>21</v>
      </c>
      <c r="F2218" s="6" t="s">
        <v>7981</v>
      </c>
      <c r="G2218" s="6" t="s">
        <v>7982</v>
      </c>
      <c r="H2218" s="6" t="s">
        <v>7983</v>
      </c>
      <c r="I2218" s="6" t="s">
        <v>7984</v>
      </c>
      <c r="J2218" s="6" t="s">
        <v>78</v>
      </c>
      <c r="K2218" s="5"/>
      <c r="L2218" s="4" t="s">
        <v>44</v>
      </c>
      <c r="M2218" s="8" t="s">
        <v>79</v>
      </c>
      <c r="N2218" s="9" t="s">
        <v>7706</v>
      </c>
      <c r="O2218" s="5"/>
      <c r="P2218" s="5"/>
      <c r="Q2218" s="6" t="s">
        <v>30</v>
      </c>
      <c r="R2218" s="4" t="s">
        <v>31</v>
      </c>
      <c r="S2218" s="7" t="s">
        <v>32</v>
      </c>
      <c r="T2218" s="5"/>
    </row>
    <row r="2219" customFormat="false" ht="29.25" hidden="false" customHeight="true" outlineLevel="0" collapsed="false">
      <c r="A2219" s="4" t="n">
        <v>2218</v>
      </c>
      <c r="B2219" s="6" t="s">
        <v>1787</v>
      </c>
      <c r="C2219" s="6" t="s">
        <v>7659</v>
      </c>
      <c r="D2219" s="6" t="s">
        <v>7660</v>
      </c>
      <c r="E2219" s="7" t="s">
        <v>21</v>
      </c>
      <c r="F2219" s="6" t="s">
        <v>7985</v>
      </c>
      <c r="G2219" s="6" t="s">
        <v>7986</v>
      </c>
      <c r="H2219" s="6" t="s">
        <v>7987</v>
      </c>
      <c r="I2219" s="6" t="s">
        <v>7988</v>
      </c>
      <c r="J2219" s="6" t="s">
        <v>78</v>
      </c>
      <c r="K2219" s="5"/>
      <c r="L2219" s="4" t="s">
        <v>44</v>
      </c>
      <c r="M2219" s="8" t="s">
        <v>79</v>
      </c>
      <c r="N2219" s="9" t="s">
        <v>7668</v>
      </c>
      <c r="O2219" s="5"/>
      <c r="P2219" s="5"/>
      <c r="Q2219" s="6" t="s">
        <v>30</v>
      </c>
      <c r="R2219" s="4" t="s">
        <v>31</v>
      </c>
      <c r="S2219" s="7" t="s">
        <v>32</v>
      </c>
      <c r="T2219" s="5"/>
    </row>
    <row r="2220" customFormat="false" ht="29.25" hidden="false" customHeight="true" outlineLevel="0" collapsed="false">
      <c r="A2220" s="4" t="n">
        <v>2219</v>
      </c>
      <c r="B2220" s="6" t="s">
        <v>1787</v>
      </c>
      <c r="C2220" s="6" t="s">
        <v>7659</v>
      </c>
      <c r="D2220" s="6" t="s">
        <v>7660</v>
      </c>
      <c r="E2220" s="7" t="s">
        <v>21</v>
      </c>
      <c r="F2220" s="6" t="s">
        <v>7989</v>
      </c>
      <c r="G2220" s="5" t="s">
        <v>7990</v>
      </c>
      <c r="H2220" s="5" t="s">
        <v>7991</v>
      </c>
      <c r="I2220" s="5" t="s">
        <v>7992</v>
      </c>
      <c r="J2220" s="5" t="s">
        <v>7993</v>
      </c>
      <c r="K2220" s="5"/>
      <c r="L2220" s="4" t="s">
        <v>27</v>
      </c>
      <c r="M2220" s="8" t="s">
        <v>129</v>
      </c>
      <c r="N2220" s="9" t="s">
        <v>7668</v>
      </c>
      <c r="O2220" s="5"/>
      <c r="P2220" s="5"/>
      <c r="Q2220" s="6" t="s">
        <v>30</v>
      </c>
      <c r="R2220" s="4" t="s">
        <v>31</v>
      </c>
      <c r="S2220" s="7" t="s">
        <v>32</v>
      </c>
      <c r="T2220" s="5"/>
    </row>
    <row r="2221" customFormat="false" ht="29.25" hidden="false" customHeight="true" outlineLevel="0" collapsed="false">
      <c r="A2221" s="4" t="n">
        <v>2220</v>
      </c>
      <c r="B2221" s="6" t="s">
        <v>1787</v>
      </c>
      <c r="C2221" s="6" t="s">
        <v>7659</v>
      </c>
      <c r="D2221" s="6" t="s">
        <v>7660</v>
      </c>
      <c r="E2221" s="7" t="s">
        <v>21</v>
      </c>
      <c r="F2221" s="6" t="s">
        <v>7994</v>
      </c>
      <c r="G2221" s="5" t="s">
        <v>7995</v>
      </c>
      <c r="H2221" s="5" t="s">
        <v>7996</v>
      </c>
      <c r="I2221" s="5" t="s">
        <v>7997</v>
      </c>
      <c r="J2221" s="5" t="s">
        <v>7998</v>
      </c>
      <c r="K2221" s="5"/>
      <c r="L2221" s="4" t="s">
        <v>51</v>
      </c>
      <c r="M2221" s="8" t="s">
        <v>129</v>
      </c>
      <c r="N2221" s="9" t="s">
        <v>7668</v>
      </c>
      <c r="O2221" s="5"/>
      <c r="P2221" s="5"/>
      <c r="Q2221" s="6" t="s">
        <v>30</v>
      </c>
      <c r="R2221" s="4" t="s">
        <v>31</v>
      </c>
      <c r="S2221" s="7" t="s">
        <v>32</v>
      </c>
      <c r="T2221" s="5"/>
    </row>
    <row r="2222" customFormat="false" ht="29.25" hidden="false" customHeight="true" outlineLevel="0" collapsed="false">
      <c r="A2222" s="4" t="n">
        <v>2221</v>
      </c>
      <c r="B2222" s="6" t="s">
        <v>1787</v>
      </c>
      <c r="C2222" s="6" t="s">
        <v>7659</v>
      </c>
      <c r="D2222" s="6" t="s">
        <v>7660</v>
      </c>
      <c r="E2222" s="7" t="s">
        <v>21</v>
      </c>
      <c r="F2222" s="6" t="s">
        <v>7999</v>
      </c>
      <c r="G2222" s="6" t="s">
        <v>8000</v>
      </c>
      <c r="H2222" s="6" t="s">
        <v>8001</v>
      </c>
      <c r="I2222" s="6" t="s">
        <v>8002</v>
      </c>
      <c r="J2222" s="6" t="s">
        <v>150</v>
      </c>
      <c r="K2222" s="5"/>
      <c r="L2222" s="4" t="s">
        <v>51</v>
      </c>
      <c r="M2222" s="8" t="s">
        <v>79</v>
      </c>
      <c r="N2222" s="9" t="s">
        <v>7668</v>
      </c>
      <c r="O2222" s="5"/>
      <c r="P2222" s="5"/>
      <c r="Q2222" s="6" t="s">
        <v>30</v>
      </c>
      <c r="R2222" s="4" t="s">
        <v>31</v>
      </c>
      <c r="S2222" s="7" t="s">
        <v>32</v>
      </c>
      <c r="T2222" s="5"/>
    </row>
    <row r="2223" customFormat="false" ht="29.25" hidden="false" customHeight="true" outlineLevel="0" collapsed="false">
      <c r="A2223" s="4" t="n">
        <v>2222</v>
      </c>
      <c r="B2223" s="6" t="s">
        <v>1787</v>
      </c>
      <c r="C2223" s="6" t="s">
        <v>7659</v>
      </c>
      <c r="D2223" s="6" t="s">
        <v>7660</v>
      </c>
      <c r="E2223" s="7" t="s">
        <v>21</v>
      </c>
      <c r="F2223" s="6" t="s">
        <v>8003</v>
      </c>
      <c r="G2223" s="6" t="s">
        <v>8000</v>
      </c>
      <c r="H2223" s="6" t="s">
        <v>8001</v>
      </c>
      <c r="I2223" s="6" t="s">
        <v>8002</v>
      </c>
      <c r="J2223" s="6" t="s">
        <v>150</v>
      </c>
      <c r="K2223" s="5"/>
      <c r="L2223" s="4" t="s">
        <v>62</v>
      </c>
      <c r="M2223" s="8" t="s">
        <v>79</v>
      </c>
      <c r="N2223" s="9" t="s">
        <v>7668</v>
      </c>
      <c r="O2223" s="5"/>
      <c r="P2223" s="5"/>
      <c r="Q2223" s="6" t="s">
        <v>30</v>
      </c>
      <c r="R2223" s="4" t="s">
        <v>31</v>
      </c>
      <c r="S2223" s="7" t="s">
        <v>32</v>
      </c>
      <c r="T2223" s="5"/>
    </row>
    <row r="2224" customFormat="false" ht="29.25" hidden="false" customHeight="true" outlineLevel="0" collapsed="false">
      <c r="A2224" s="4" t="n">
        <v>2223</v>
      </c>
      <c r="B2224" s="6" t="s">
        <v>1787</v>
      </c>
      <c r="C2224" s="6" t="s">
        <v>7659</v>
      </c>
      <c r="D2224" s="6" t="s">
        <v>7660</v>
      </c>
      <c r="E2224" s="7" t="s">
        <v>21</v>
      </c>
      <c r="F2224" s="6" t="s">
        <v>8004</v>
      </c>
      <c r="G2224" s="6" t="s">
        <v>8005</v>
      </c>
      <c r="H2224" s="6" t="s">
        <v>8006</v>
      </c>
      <c r="I2224" s="6" t="s">
        <v>8007</v>
      </c>
      <c r="J2224" s="6" t="s">
        <v>8008</v>
      </c>
      <c r="K2224" s="5"/>
      <c r="L2224" s="4" t="s">
        <v>27</v>
      </c>
      <c r="M2224" s="8" t="s">
        <v>129</v>
      </c>
      <c r="N2224" s="9" t="s">
        <v>7668</v>
      </c>
      <c r="O2224" s="5"/>
      <c r="P2224" s="5"/>
      <c r="Q2224" s="6" t="s">
        <v>30</v>
      </c>
      <c r="R2224" s="4" t="s">
        <v>31</v>
      </c>
      <c r="S2224" s="7" t="s">
        <v>32</v>
      </c>
      <c r="T2224" s="5"/>
    </row>
    <row r="2225" customFormat="false" ht="29.25" hidden="false" customHeight="true" outlineLevel="0" collapsed="false">
      <c r="A2225" s="4" t="n">
        <v>2224</v>
      </c>
      <c r="B2225" s="6" t="s">
        <v>1787</v>
      </c>
      <c r="C2225" s="6" t="s">
        <v>7659</v>
      </c>
      <c r="D2225" s="6" t="s">
        <v>7660</v>
      </c>
      <c r="E2225" s="7" t="s">
        <v>21</v>
      </c>
      <c r="F2225" s="6" t="s">
        <v>8009</v>
      </c>
      <c r="G2225" s="6" t="s">
        <v>7876</v>
      </c>
      <c r="H2225" s="6" t="s">
        <v>8010</v>
      </c>
      <c r="I2225" s="6" t="s">
        <v>8011</v>
      </c>
      <c r="J2225" s="6" t="s">
        <v>78</v>
      </c>
      <c r="K2225" s="5"/>
      <c r="L2225" s="4" t="s">
        <v>44</v>
      </c>
      <c r="M2225" s="8" t="s">
        <v>129</v>
      </c>
      <c r="N2225" s="9" t="s">
        <v>7706</v>
      </c>
      <c r="O2225" s="5"/>
      <c r="P2225" s="5"/>
      <c r="Q2225" s="6" t="s">
        <v>30</v>
      </c>
      <c r="R2225" s="4" t="s">
        <v>31</v>
      </c>
      <c r="S2225" s="7" t="s">
        <v>32</v>
      </c>
      <c r="T2225" s="5"/>
    </row>
    <row r="2226" customFormat="false" ht="29.25" hidden="false" customHeight="true" outlineLevel="0" collapsed="false">
      <c r="A2226" s="4" t="n">
        <v>2225</v>
      </c>
      <c r="B2226" s="6" t="s">
        <v>1787</v>
      </c>
      <c r="C2226" s="6" t="s">
        <v>7659</v>
      </c>
      <c r="D2226" s="6" t="s">
        <v>7660</v>
      </c>
      <c r="E2226" s="7" t="s">
        <v>21</v>
      </c>
      <c r="F2226" s="6" t="s">
        <v>8012</v>
      </c>
      <c r="G2226" s="6" t="s">
        <v>8013</v>
      </c>
      <c r="H2226" s="6" t="s">
        <v>8014</v>
      </c>
      <c r="I2226" s="6" t="s">
        <v>8015</v>
      </c>
      <c r="J2226" s="6" t="s">
        <v>78</v>
      </c>
      <c r="K2226" s="5"/>
      <c r="L2226" s="4" t="s">
        <v>44</v>
      </c>
      <c r="M2226" s="8" t="s">
        <v>79</v>
      </c>
      <c r="N2226" s="9" t="s">
        <v>7706</v>
      </c>
      <c r="O2226" s="5"/>
      <c r="P2226" s="5"/>
      <c r="Q2226" s="6" t="s">
        <v>30</v>
      </c>
      <c r="R2226" s="4" t="s">
        <v>31</v>
      </c>
      <c r="S2226" s="7" t="s">
        <v>32</v>
      </c>
      <c r="T2226" s="5"/>
    </row>
    <row r="2227" customFormat="false" ht="29.25" hidden="false" customHeight="true" outlineLevel="0" collapsed="false">
      <c r="A2227" s="4" t="n">
        <v>2226</v>
      </c>
      <c r="B2227" s="6" t="s">
        <v>1787</v>
      </c>
      <c r="C2227" s="6" t="s">
        <v>7659</v>
      </c>
      <c r="D2227" s="6" t="s">
        <v>7660</v>
      </c>
      <c r="E2227" s="7" t="s">
        <v>21</v>
      </c>
      <c r="F2227" s="6" t="s">
        <v>8016</v>
      </c>
      <c r="G2227" s="6" t="s">
        <v>8017</v>
      </c>
      <c r="H2227" s="6" t="s">
        <v>8018</v>
      </c>
      <c r="I2227" s="6" t="s">
        <v>7752</v>
      </c>
      <c r="J2227" s="5" t="s">
        <v>7890</v>
      </c>
      <c r="K2227" s="5"/>
      <c r="L2227" s="4" t="s">
        <v>27</v>
      </c>
      <c r="M2227" s="8" t="s">
        <v>129</v>
      </c>
      <c r="N2227" s="9" t="s">
        <v>7706</v>
      </c>
      <c r="O2227" s="5"/>
      <c r="P2227" s="5"/>
      <c r="Q2227" s="6" t="s">
        <v>30</v>
      </c>
      <c r="R2227" s="4" t="s">
        <v>31</v>
      </c>
      <c r="S2227" s="7" t="s">
        <v>32</v>
      </c>
      <c r="T2227" s="5"/>
    </row>
    <row r="2228" customFormat="false" ht="29.25" hidden="false" customHeight="true" outlineLevel="0" collapsed="false">
      <c r="A2228" s="4" t="n">
        <v>2227</v>
      </c>
      <c r="B2228" s="6" t="s">
        <v>1787</v>
      </c>
      <c r="C2228" s="6" t="s">
        <v>7659</v>
      </c>
      <c r="D2228" s="6" t="s">
        <v>7660</v>
      </c>
      <c r="E2228" s="7" t="s">
        <v>21</v>
      </c>
      <c r="F2228" s="6" t="s">
        <v>8019</v>
      </c>
      <c r="G2228" s="6" t="s">
        <v>8020</v>
      </c>
      <c r="H2228" s="6" t="s">
        <v>8021</v>
      </c>
      <c r="I2228" s="6" t="s">
        <v>8022</v>
      </c>
      <c r="J2228" s="6" t="s">
        <v>78</v>
      </c>
      <c r="K2228" s="5"/>
      <c r="L2228" s="4" t="s">
        <v>44</v>
      </c>
      <c r="M2228" s="8" t="s">
        <v>129</v>
      </c>
      <c r="N2228" s="9" t="s">
        <v>7706</v>
      </c>
      <c r="O2228" s="5"/>
      <c r="P2228" s="5"/>
      <c r="Q2228" s="6" t="s">
        <v>30</v>
      </c>
      <c r="R2228" s="4" t="s">
        <v>31</v>
      </c>
      <c r="S2228" s="7" t="s">
        <v>32</v>
      </c>
      <c r="T2228" s="5"/>
    </row>
    <row r="2229" customFormat="false" ht="29.25" hidden="false" customHeight="true" outlineLevel="0" collapsed="false">
      <c r="A2229" s="4" t="n">
        <v>2228</v>
      </c>
      <c r="B2229" s="6" t="s">
        <v>1787</v>
      </c>
      <c r="C2229" s="6" t="s">
        <v>7659</v>
      </c>
      <c r="D2229" s="6" t="s">
        <v>7660</v>
      </c>
      <c r="E2229" s="7" t="s">
        <v>21</v>
      </c>
      <c r="F2229" s="6" t="s">
        <v>8023</v>
      </c>
      <c r="G2229" s="5" t="s">
        <v>7722</v>
      </c>
      <c r="H2229" s="5" t="s">
        <v>8024</v>
      </c>
      <c r="I2229" s="5" t="s">
        <v>8025</v>
      </c>
      <c r="J2229" s="5" t="s">
        <v>8026</v>
      </c>
      <c r="K2229" s="5"/>
      <c r="L2229" s="4" t="s">
        <v>27</v>
      </c>
      <c r="M2229" s="8" t="s">
        <v>129</v>
      </c>
      <c r="N2229" s="9" t="s">
        <v>7706</v>
      </c>
      <c r="O2229" s="5"/>
      <c r="P2229" s="5"/>
      <c r="Q2229" s="6" t="s">
        <v>30</v>
      </c>
      <c r="R2229" s="4" t="s">
        <v>31</v>
      </c>
      <c r="S2229" s="7" t="s">
        <v>32</v>
      </c>
      <c r="T2229" s="5"/>
    </row>
    <row r="2230" customFormat="false" ht="29.25" hidden="false" customHeight="true" outlineLevel="0" collapsed="false">
      <c r="A2230" s="4" t="n">
        <v>2229</v>
      </c>
      <c r="B2230" s="6" t="s">
        <v>1787</v>
      </c>
      <c r="C2230" s="6" t="s">
        <v>7659</v>
      </c>
      <c r="D2230" s="6" t="s">
        <v>7660</v>
      </c>
      <c r="E2230" s="7" t="s">
        <v>21</v>
      </c>
      <c r="F2230" s="6" t="s">
        <v>8027</v>
      </c>
      <c r="G2230" s="5" t="s">
        <v>8028</v>
      </c>
      <c r="H2230" s="5" t="s">
        <v>8029</v>
      </c>
      <c r="I2230" s="5" t="s">
        <v>5939</v>
      </c>
      <c r="J2230" s="5" t="s">
        <v>5938</v>
      </c>
      <c r="K2230" s="5"/>
      <c r="L2230" s="4" t="s">
        <v>44</v>
      </c>
      <c r="M2230" s="8" t="s">
        <v>129</v>
      </c>
      <c r="N2230" s="9" t="s">
        <v>7706</v>
      </c>
      <c r="O2230" s="5"/>
      <c r="P2230" s="5"/>
      <c r="Q2230" s="6" t="s">
        <v>30</v>
      </c>
      <c r="R2230" s="4" t="s">
        <v>31</v>
      </c>
      <c r="S2230" s="7" t="s">
        <v>32</v>
      </c>
      <c r="T2230" s="5"/>
    </row>
    <row r="2231" customFormat="false" ht="29.25" hidden="false" customHeight="true" outlineLevel="0" collapsed="false">
      <c r="A2231" s="4" t="n">
        <v>2230</v>
      </c>
      <c r="B2231" s="6" t="s">
        <v>1787</v>
      </c>
      <c r="C2231" s="6" t="s">
        <v>7659</v>
      </c>
      <c r="D2231" s="6" t="s">
        <v>7660</v>
      </c>
      <c r="E2231" s="7" t="s">
        <v>21</v>
      </c>
      <c r="F2231" s="6" t="s">
        <v>8030</v>
      </c>
      <c r="G2231" s="5" t="s">
        <v>1253</v>
      </c>
      <c r="H2231" s="5" t="s">
        <v>1255</v>
      </c>
      <c r="I2231" s="5" t="s">
        <v>1902</v>
      </c>
      <c r="J2231" s="5" t="s">
        <v>7863</v>
      </c>
      <c r="K2231" s="5"/>
      <c r="L2231" s="4" t="s">
        <v>27</v>
      </c>
      <c r="M2231" s="8" t="s">
        <v>129</v>
      </c>
      <c r="N2231" s="9" t="s">
        <v>7706</v>
      </c>
      <c r="O2231" s="5"/>
      <c r="P2231" s="5"/>
      <c r="Q2231" s="6" t="s">
        <v>30</v>
      </c>
      <c r="R2231" s="4" t="s">
        <v>31</v>
      </c>
      <c r="S2231" s="7" t="s">
        <v>32</v>
      </c>
      <c r="T2231" s="5"/>
    </row>
    <row r="2232" customFormat="false" ht="29.25" hidden="false" customHeight="true" outlineLevel="0" collapsed="false">
      <c r="A2232" s="4" t="n">
        <v>2231</v>
      </c>
      <c r="B2232" s="6" t="s">
        <v>1787</v>
      </c>
      <c r="C2232" s="6" t="s">
        <v>7659</v>
      </c>
      <c r="D2232" s="6" t="s">
        <v>7660</v>
      </c>
      <c r="E2232" s="7" t="s">
        <v>21</v>
      </c>
      <c r="F2232" s="6" t="s">
        <v>8031</v>
      </c>
      <c r="G2232" s="6" t="s">
        <v>8032</v>
      </c>
      <c r="H2232" s="6" t="s">
        <v>7815</v>
      </c>
      <c r="I2232" s="6" t="s">
        <v>7931</v>
      </c>
      <c r="J2232" s="6" t="s">
        <v>7817</v>
      </c>
      <c r="K2232" s="5"/>
      <c r="L2232" s="4" t="s">
        <v>27</v>
      </c>
      <c r="M2232" s="8" t="s">
        <v>129</v>
      </c>
      <c r="N2232" s="9" t="s">
        <v>7664</v>
      </c>
      <c r="O2232" s="5"/>
      <c r="P2232" s="5"/>
      <c r="Q2232" s="6" t="s">
        <v>30</v>
      </c>
      <c r="R2232" s="4" t="s">
        <v>31</v>
      </c>
      <c r="S2232" s="7" t="s">
        <v>32</v>
      </c>
      <c r="T2232" s="5"/>
    </row>
    <row r="2233" customFormat="false" ht="29.25" hidden="false" customHeight="true" outlineLevel="0" collapsed="false">
      <c r="A2233" s="4" t="n">
        <v>2232</v>
      </c>
      <c r="B2233" s="6" t="s">
        <v>1787</v>
      </c>
      <c r="C2233" s="6" t="s">
        <v>7659</v>
      </c>
      <c r="D2233" s="6" t="s">
        <v>7660</v>
      </c>
      <c r="E2233" s="7" t="s">
        <v>21</v>
      </c>
      <c r="F2233" s="6" t="s">
        <v>8033</v>
      </c>
      <c r="G2233" s="6" t="s">
        <v>8034</v>
      </c>
      <c r="H2233" s="6" t="s">
        <v>7790</v>
      </c>
      <c r="I2233" s="6" t="s">
        <v>7936</v>
      </c>
      <c r="J2233" s="6" t="s">
        <v>7935</v>
      </c>
      <c r="K2233" s="5"/>
      <c r="L2233" s="4" t="s">
        <v>62</v>
      </c>
      <c r="M2233" s="8" t="s">
        <v>129</v>
      </c>
      <c r="N2233" s="9" t="s">
        <v>7664</v>
      </c>
      <c r="O2233" s="5"/>
      <c r="P2233" s="5"/>
      <c r="Q2233" s="6" t="s">
        <v>30</v>
      </c>
      <c r="R2233" s="4" t="s">
        <v>31</v>
      </c>
      <c r="S2233" s="7" t="s">
        <v>32</v>
      </c>
      <c r="T2233" s="5"/>
    </row>
    <row r="2234" customFormat="false" ht="29.25" hidden="false" customHeight="true" outlineLevel="0" collapsed="false">
      <c r="A2234" s="4" t="n">
        <v>2233</v>
      </c>
      <c r="B2234" s="6" t="s">
        <v>1787</v>
      </c>
      <c r="C2234" s="6" t="s">
        <v>7659</v>
      </c>
      <c r="D2234" s="6" t="s">
        <v>7660</v>
      </c>
      <c r="E2234" s="7" t="s">
        <v>21</v>
      </c>
      <c r="F2234" s="6" t="s">
        <v>8035</v>
      </c>
      <c r="G2234" s="6" t="s">
        <v>8036</v>
      </c>
      <c r="H2234" s="6" t="s">
        <v>8037</v>
      </c>
      <c r="I2234" s="6" t="s">
        <v>8038</v>
      </c>
      <c r="J2234" s="6" t="s">
        <v>8039</v>
      </c>
      <c r="K2234" s="5"/>
      <c r="L2234" s="4" t="s">
        <v>51</v>
      </c>
      <c r="M2234" s="8" t="s">
        <v>79</v>
      </c>
      <c r="N2234" s="9" t="s">
        <v>7664</v>
      </c>
      <c r="O2234" s="5"/>
      <c r="P2234" s="5"/>
      <c r="Q2234" s="6" t="s">
        <v>30</v>
      </c>
      <c r="R2234" s="4" t="s">
        <v>31</v>
      </c>
      <c r="S2234" s="7" t="s">
        <v>32</v>
      </c>
      <c r="T2234" s="5"/>
    </row>
    <row r="2235" customFormat="false" ht="29.25" hidden="false" customHeight="true" outlineLevel="0" collapsed="false">
      <c r="A2235" s="4" t="n">
        <v>2234</v>
      </c>
      <c r="B2235" s="6" t="s">
        <v>1787</v>
      </c>
      <c r="C2235" s="6" t="s">
        <v>7659</v>
      </c>
      <c r="D2235" s="6" t="s">
        <v>7660</v>
      </c>
      <c r="E2235" s="7" t="s">
        <v>21</v>
      </c>
      <c r="F2235" s="6" t="s">
        <v>8040</v>
      </c>
      <c r="G2235" s="5" t="s">
        <v>7990</v>
      </c>
      <c r="H2235" s="5" t="s">
        <v>7991</v>
      </c>
      <c r="I2235" s="5" t="s">
        <v>8041</v>
      </c>
      <c r="J2235" s="5" t="s">
        <v>7992</v>
      </c>
      <c r="K2235" s="5"/>
      <c r="L2235" s="4" t="s">
        <v>44</v>
      </c>
      <c r="M2235" s="8" t="s">
        <v>79</v>
      </c>
      <c r="N2235" s="9" t="s">
        <v>7706</v>
      </c>
      <c r="O2235" s="5"/>
      <c r="P2235" s="5"/>
      <c r="Q2235" s="6" t="s">
        <v>30</v>
      </c>
      <c r="R2235" s="4" t="s">
        <v>31</v>
      </c>
      <c r="S2235" s="7" t="s">
        <v>32</v>
      </c>
      <c r="T2235" s="5"/>
    </row>
    <row r="2236" customFormat="false" ht="29.25" hidden="false" customHeight="true" outlineLevel="0" collapsed="false">
      <c r="A2236" s="4" t="n">
        <v>2235</v>
      </c>
      <c r="B2236" s="6" t="s">
        <v>1787</v>
      </c>
      <c r="C2236" s="6" t="s">
        <v>7659</v>
      </c>
      <c r="D2236" s="6" t="s">
        <v>7660</v>
      </c>
      <c r="E2236" s="7" t="s">
        <v>21</v>
      </c>
      <c r="F2236" s="6" t="s">
        <v>8042</v>
      </c>
      <c r="G2236" s="5" t="s">
        <v>7399</v>
      </c>
      <c r="H2236" s="5" t="s">
        <v>7427</v>
      </c>
      <c r="I2236" s="5" t="s">
        <v>7401</v>
      </c>
      <c r="J2236" s="5" t="s">
        <v>8043</v>
      </c>
      <c r="K2236" s="5"/>
      <c r="L2236" s="4" t="s">
        <v>27</v>
      </c>
      <c r="M2236" s="8" t="s">
        <v>129</v>
      </c>
      <c r="N2236" s="9" t="s">
        <v>7668</v>
      </c>
      <c r="O2236" s="5"/>
      <c r="P2236" s="5"/>
      <c r="Q2236" s="6" t="s">
        <v>30</v>
      </c>
      <c r="R2236" s="4" t="s">
        <v>31</v>
      </c>
      <c r="S2236" s="7" t="s">
        <v>32</v>
      </c>
      <c r="T2236" s="5"/>
    </row>
    <row r="2237" customFormat="false" ht="29.25" hidden="false" customHeight="true" outlineLevel="0" collapsed="false">
      <c r="A2237" s="4" t="n">
        <v>2236</v>
      </c>
      <c r="B2237" s="6" t="s">
        <v>1787</v>
      </c>
      <c r="C2237" s="6" t="s">
        <v>7659</v>
      </c>
      <c r="D2237" s="6" t="s">
        <v>7660</v>
      </c>
      <c r="E2237" s="7" t="s">
        <v>21</v>
      </c>
      <c r="F2237" s="6" t="s">
        <v>8044</v>
      </c>
      <c r="G2237" s="5" t="s">
        <v>6803</v>
      </c>
      <c r="H2237" s="5" t="s">
        <v>1235</v>
      </c>
      <c r="I2237" s="5" t="s">
        <v>6052</v>
      </c>
      <c r="J2237" s="5" t="s">
        <v>8045</v>
      </c>
      <c r="K2237" s="5"/>
      <c r="L2237" s="4" t="s">
        <v>51</v>
      </c>
      <c r="M2237" s="8" t="s">
        <v>79</v>
      </c>
      <c r="N2237" s="9" t="s">
        <v>7668</v>
      </c>
      <c r="O2237" s="5"/>
      <c r="P2237" s="5"/>
      <c r="Q2237" s="6" t="s">
        <v>30</v>
      </c>
      <c r="R2237" s="4" t="s">
        <v>31</v>
      </c>
      <c r="S2237" s="7" t="s">
        <v>32</v>
      </c>
      <c r="T2237" s="5"/>
    </row>
    <row r="2238" customFormat="false" ht="29.25" hidden="false" customHeight="true" outlineLevel="0" collapsed="false">
      <c r="A2238" s="4" t="n">
        <v>2237</v>
      </c>
      <c r="B2238" s="6" t="s">
        <v>1787</v>
      </c>
      <c r="C2238" s="6" t="s">
        <v>7659</v>
      </c>
      <c r="D2238" s="6" t="s">
        <v>7660</v>
      </c>
      <c r="E2238" s="7" t="s">
        <v>21</v>
      </c>
      <c r="F2238" s="6" t="s">
        <v>8046</v>
      </c>
      <c r="G2238" s="5" t="s">
        <v>2671</v>
      </c>
      <c r="H2238" s="5" t="s">
        <v>2672</v>
      </c>
      <c r="I2238" s="5" t="s">
        <v>2673</v>
      </c>
      <c r="J2238" s="5" t="s">
        <v>2674</v>
      </c>
      <c r="K2238" s="5"/>
      <c r="L2238" s="4" t="s">
        <v>51</v>
      </c>
      <c r="M2238" s="8" t="s">
        <v>79</v>
      </c>
      <c r="N2238" s="9" t="s">
        <v>7668</v>
      </c>
      <c r="O2238" s="5"/>
      <c r="P2238" s="5"/>
      <c r="Q2238" s="6" t="s">
        <v>30</v>
      </c>
      <c r="R2238" s="4" t="s">
        <v>31</v>
      </c>
      <c r="S2238" s="7" t="s">
        <v>32</v>
      </c>
      <c r="T2238" s="5"/>
    </row>
    <row r="2239" customFormat="false" ht="29.25" hidden="false" customHeight="true" outlineLevel="0" collapsed="false">
      <c r="A2239" s="4" t="n">
        <v>2238</v>
      </c>
      <c r="B2239" s="6" t="s">
        <v>1787</v>
      </c>
      <c r="C2239" s="6" t="s">
        <v>7659</v>
      </c>
      <c r="D2239" s="6" t="s">
        <v>7660</v>
      </c>
      <c r="E2239" s="7" t="s">
        <v>21</v>
      </c>
      <c r="F2239" s="6" t="s">
        <v>8047</v>
      </c>
      <c r="G2239" s="5" t="s">
        <v>6751</v>
      </c>
      <c r="H2239" s="5" t="s">
        <v>2672</v>
      </c>
      <c r="I2239" s="5" t="s">
        <v>2673</v>
      </c>
      <c r="J2239" s="5" t="s">
        <v>2674</v>
      </c>
      <c r="K2239" s="5"/>
      <c r="L2239" s="4" t="s">
        <v>51</v>
      </c>
      <c r="M2239" s="8" t="s">
        <v>129</v>
      </c>
      <c r="N2239" s="9" t="s">
        <v>7668</v>
      </c>
      <c r="O2239" s="5"/>
      <c r="P2239" s="5"/>
      <c r="Q2239" s="6" t="s">
        <v>30</v>
      </c>
      <c r="R2239" s="4" t="s">
        <v>31</v>
      </c>
      <c r="S2239" s="7" t="s">
        <v>32</v>
      </c>
      <c r="T2239" s="5"/>
    </row>
    <row r="2240" customFormat="false" ht="29.25" hidden="false" customHeight="true" outlineLevel="0" collapsed="false">
      <c r="A2240" s="4" t="n">
        <v>2239</v>
      </c>
      <c r="B2240" s="6" t="s">
        <v>1787</v>
      </c>
      <c r="C2240" s="6" t="s">
        <v>7659</v>
      </c>
      <c r="D2240" s="6" t="s">
        <v>7660</v>
      </c>
      <c r="E2240" s="7" t="s">
        <v>21</v>
      </c>
      <c r="F2240" s="6" t="s">
        <v>8048</v>
      </c>
      <c r="G2240" s="5" t="s">
        <v>2671</v>
      </c>
      <c r="H2240" s="5" t="s">
        <v>2672</v>
      </c>
      <c r="I2240" s="5" t="s">
        <v>2673</v>
      </c>
      <c r="J2240" s="5" t="s">
        <v>2674</v>
      </c>
      <c r="K2240" s="5"/>
      <c r="L2240" s="4" t="s">
        <v>51</v>
      </c>
      <c r="M2240" s="8" t="s">
        <v>79</v>
      </c>
      <c r="N2240" s="9" t="s">
        <v>7668</v>
      </c>
      <c r="O2240" s="5"/>
      <c r="P2240" s="5"/>
      <c r="Q2240" s="6" t="s">
        <v>30</v>
      </c>
      <c r="R2240" s="4" t="s">
        <v>31</v>
      </c>
      <c r="S2240" s="7" t="s">
        <v>32</v>
      </c>
      <c r="T2240" s="5"/>
    </row>
    <row r="2241" customFormat="false" ht="29.25" hidden="false" customHeight="true" outlineLevel="0" collapsed="false">
      <c r="A2241" s="4" t="n">
        <v>2240</v>
      </c>
      <c r="B2241" s="6" t="s">
        <v>1787</v>
      </c>
      <c r="C2241" s="6" t="s">
        <v>7659</v>
      </c>
      <c r="D2241" s="6" t="s">
        <v>7660</v>
      </c>
      <c r="E2241" s="7" t="s">
        <v>21</v>
      </c>
      <c r="F2241" s="6" t="s">
        <v>8049</v>
      </c>
      <c r="G2241" s="5" t="s">
        <v>1327</v>
      </c>
      <c r="H2241" s="5" t="s">
        <v>2672</v>
      </c>
      <c r="I2241" s="5" t="s">
        <v>2673</v>
      </c>
      <c r="J2241" s="5" t="s">
        <v>7682</v>
      </c>
      <c r="K2241" s="5"/>
      <c r="L2241" s="4" t="s">
        <v>51</v>
      </c>
      <c r="M2241" s="8" t="s">
        <v>129</v>
      </c>
      <c r="N2241" s="9" t="s">
        <v>7668</v>
      </c>
      <c r="O2241" s="5"/>
      <c r="P2241" s="5"/>
      <c r="Q2241" s="6" t="s">
        <v>30</v>
      </c>
      <c r="R2241" s="4" t="s">
        <v>31</v>
      </c>
      <c r="S2241" s="7" t="s">
        <v>32</v>
      </c>
      <c r="T2241" s="5"/>
    </row>
    <row r="2242" customFormat="false" ht="29.25" hidden="false" customHeight="true" outlineLevel="0" collapsed="false">
      <c r="A2242" s="4" t="n">
        <v>2241</v>
      </c>
      <c r="B2242" s="6" t="s">
        <v>1787</v>
      </c>
      <c r="C2242" s="6" t="s">
        <v>7659</v>
      </c>
      <c r="D2242" s="6" t="s">
        <v>7660</v>
      </c>
      <c r="E2242" s="7" t="s">
        <v>21</v>
      </c>
      <c r="F2242" s="6" t="s">
        <v>8050</v>
      </c>
      <c r="G2242" s="5" t="s">
        <v>6803</v>
      </c>
      <c r="H2242" s="5" t="s">
        <v>1235</v>
      </c>
      <c r="I2242" s="5" t="s">
        <v>6052</v>
      </c>
      <c r="J2242" s="5" t="s">
        <v>1224</v>
      </c>
      <c r="K2242" s="5"/>
      <c r="L2242" s="4" t="s">
        <v>51</v>
      </c>
      <c r="M2242" s="8" t="s">
        <v>79</v>
      </c>
      <c r="N2242" s="9" t="s">
        <v>7706</v>
      </c>
      <c r="O2242" s="5"/>
      <c r="P2242" s="5"/>
      <c r="Q2242" s="6" t="s">
        <v>30</v>
      </c>
      <c r="R2242" s="4" t="s">
        <v>31</v>
      </c>
      <c r="S2242" s="7" t="s">
        <v>32</v>
      </c>
      <c r="T2242" s="5"/>
    </row>
    <row r="2243" customFormat="false" ht="43.5" hidden="false" customHeight="true" outlineLevel="0" collapsed="false">
      <c r="A2243" s="4" t="n">
        <v>2242</v>
      </c>
      <c r="B2243" s="6" t="s">
        <v>1787</v>
      </c>
      <c r="C2243" s="6" t="s">
        <v>7659</v>
      </c>
      <c r="D2243" s="6" t="s">
        <v>7660</v>
      </c>
      <c r="E2243" s="7" t="s">
        <v>21</v>
      </c>
      <c r="F2243" s="6" t="s">
        <v>8051</v>
      </c>
      <c r="G2243" s="5" t="s">
        <v>7694</v>
      </c>
      <c r="H2243" s="5" t="s">
        <v>7695</v>
      </c>
      <c r="I2243" s="5" t="s">
        <v>7382</v>
      </c>
      <c r="J2243" s="6" t="s">
        <v>8052</v>
      </c>
      <c r="K2243" s="5"/>
      <c r="L2243" s="4" t="s">
        <v>27</v>
      </c>
      <c r="M2243" s="8" t="s">
        <v>79</v>
      </c>
      <c r="N2243" s="9" t="s">
        <v>7668</v>
      </c>
      <c r="O2243" s="5"/>
      <c r="P2243" s="5"/>
      <c r="Q2243" s="6" t="s">
        <v>30</v>
      </c>
      <c r="R2243" s="4" t="s">
        <v>31</v>
      </c>
      <c r="S2243" s="7" t="s">
        <v>32</v>
      </c>
      <c r="T2243" s="5"/>
    </row>
    <row r="2244" customFormat="false" ht="29.25" hidden="false" customHeight="true" outlineLevel="0" collapsed="false">
      <c r="A2244" s="4" t="n">
        <v>2243</v>
      </c>
      <c r="B2244" s="6" t="s">
        <v>1787</v>
      </c>
      <c r="C2244" s="6" t="s">
        <v>7659</v>
      </c>
      <c r="D2244" s="6" t="s">
        <v>7660</v>
      </c>
      <c r="E2244" s="7" t="s">
        <v>21</v>
      </c>
      <c r="F2244" s="6" t="s">
        <v>8053</v>
      </c>
      <c r="G2244" s="5" t="s">
        <v>7382</v>
      </c>
      <c r="H2244" s="5" t="s">
        <v>7381</v>
      </c>
      <c r="I2244" s="5" t="s">
        <v>7380</v>
      </c>
      <c r="J2244" s="5" t="s">
        <v>8054</v>
      </c>
      <c r="K2244" s="5"/>
      <c r="L2244" s="4" t="s">
        <v>44</v>
      </c>
      <c r="M2244" s="8" t="s">
        <v>129</v>
      </c>
      <c r="N2244" s="9" t="s">
        <v>7668</v>
      </c>
      <c r="O2244" s="5"/>
      <c r="P2244" s="5"/>
      <c r="Q2244" s="6" t="s">
        <v>30</v>
      </c>
      <c r="R2244" s="4" t="s">
        <v>31</v>
      </c>
      <c r="S2244" s="7" t="s">
        <v>32</v>
      </c>
      <c r="T2244" s="5"/>
    </row>
    <row r="2245" customFormat="false" ht="40.5" hidden="false" customHeight="true" outlineLevel="0" collapsed="false">
      <c r="A2245" s="4" t="n">
        <v>2244</v>
      </c>
      <c r="B2245" s="6" t="s">
        <v>1787</v>
      </c>
      <c r="C2245" s="6" t="s">
        <v>7659</v>
      </c>
      <c r="D2245" s="6" t="s">
        <v>7660</v>
      </c>
      <c r="E2245" s="7" t="s">
        <v>21</v>
      </c>
      <c r="F2245" s="6" t="s">
        <v>8055</v>
      </c>
      <c r="G2245" s="6" t="s">
        <v>7574</v>
      </c>
      <c r="H2245" s="6" t="s">
        <v>8056</v>
      </c>
      <c r="I2245" s="6" t="s">
        <v>8057</v>
      </c>
      <c r="J2245" s="6" t="s">
        <v>8058</v>
      </c>
      <c r="K2245" s="5"/>
      <c r="L2245" s="4" t="s">
        <v>44</v>
      </c>
      <c r="M2245" s="8" t="s">
        <v>79</v>
      </c>
      <c r="N2245" s="9" t="s">
        <v>7668</v>
      </c>
      <c r="O2245" s="5"/>
      <c r="P2245" s="5"/>
      <c r="Q2245" s="6" t="s">
        <v>30</v>
      </c>
      <c r="R2245" s="4" t="s">
        <v>31</v>
      </c>
      <c r="S2245" s="7" t="s">
        <v>32</v>
      </c>
      <c r="T2245" s="5"/>
    </row>
    <row r="2246" customFormat="false" ht="29.25" hidden="false" customHeight="true" outlineLevel="0" collapsed="false">
      <c r="A2246" s="4" t="n">
        <v>2245</v>
      </c>
      <c r="B2246" s="6" t="s">
        <v>1787</v>
      </c>
      <c r="C2246" s="6" t="s">
        <v>7659</v>
      </c>
      <c r="D2246" s="6" t="s">
        <v>7660</v>
      </c>
      <c r="E2246" s="7" t="s">
        <v>21</v>
      </c>
      <c r="F2246" s="5" t="s">
        <v>8059</v>
      </c>
      <c r="G2246" s="5" t="s">
        <v>1534</v>
      </c>
      <c r="H2246" s="5" t="s">
        <v>1535</v>
      </c>
      <c r="I2246" s="5" t="s">
        <v>1536</v>
      </c>
      <c r="J2246" s="6" t="s">
        <v>150</v>
      </c>
      <c r="K2246" s="5"/>
      <c r="L2246" s="4" t="s">
        <v>27</v>
      </c>
      <c r="M2246" s="8" t="s">
        <v>79</v>
      </c>
      <c r="N2246" s="9" t="s">
        <v>7668</v>
      </c>
      <c r="O2246" s="5"/>
      <c r="P2246" s="5"/>
      <c r="Q2246" s="6" t="s">
        <v>30</v>
      </c>
      <c r="R2246" s="4" t="s">
        <v>31</v>
      </c>
      <c r="S2246" s="7" t="s">
        <v>32</v>
      </c>
      <c r="T2246" s="5"/>
    </row>
    <row r="2247" customFormat="false" ht="29.25" hidden="false" customHeight="true" outlineLevel="0" collapsed="false">
      <c r="A2247" s="4" t="n">
        <v>2246</v>
      </c>
      <c r="B2247" s="6" t="s">
        <v>1787</v>
      </c>
      <c r="C2247" s="6" t="s">
        <v>7659</v>
      </c>
      <c r="D2247" s="6" t="s">
        <v>7660</v>
      </c>
      <c r="E2247" s="7" t="s">
        <v>21</v>
      </c>
      <c r="F2247" s="6" t="s">
        <v>8060</v>
      </c>
      <c r="G2247" s="5" t="s">
        <v>3613</v>
      </c>
      <c r="H2247" s="5" t="s">
        <v>7663</v>
      </c>
      <c r="I2247" s="5" t="s">
        <v>8061</v>
      </c>
      <c r="J2247" s="5" t="s">
        <v>4271</v>
      </c>
      <c r="K2247" s="5"/>
      <c r="L2247" s="4" t="s">
        <v>27</v>
      </c>
      <c r="M2247" s="8" t="s">
        <v>129</v>
      </c>
      <c r="N2247" s="9" t="s">
        <v>7668</v>
      </c>
      <c r="O2247" s="5"/>
      <c r="P2247" s="5"/>
      <c r="Q2247" s="6" t="s">
        <v>30</v>
      </c>
      <c r="R2247" s="4" t="s">
        <v>31</v>
      </c>
      <c r="S2247" s="7" t="s">
        <v>32</v>
      </c>
      <c r="T2247" s="5"/>
    </row>
    <row r="2248" customFormat="false" ht="29.25" hidden="false" customHeight="true" outlineLevel="0" collapsed="false">
      <c r="A2248" s="4" t="n">
        <v>2247</v>
      </c>
      <c r="B2248" s="6" t="s">
        <v>1787</v>
      </c>
      <c r="C2248" s="6" t="s">
        <v>7659</v>
      </c>
      <c r="D2248" s="6" t="s">
        <v>7660</v>
      </c>
      <c r="E2248" s="7" t="s">
        <v>21</v>
      </c>
      <c r="F2248" s="6" t="s">
        <v>8062</v>
      </c>
      <c r="G2248" s="6" t="s">
        <v>8063</v>
      </c>
      <c r="H2248" s="6" t="s">
        <v>7986</v>
      </c>
      <c r="I2248" s="6" t="s">
        <v>8064</v>
      </c>
      <c r="J2248" s="6" t="s">
        <v>78</v>
      </c>
      <c r="K2248" s="5"/>
      <c r="L2248" s="4" t="s">
        <v>44</v>
      </c>
      <c r="M2248" s="8" t="s">
        <v>129</v>
      </c>
      <c r="N2248" s="9" t="s">
        <v>7668</v>
      </c>
      <c r="O2248" s="5"/>
      <c r="P2248" s="5"/>
      <c r="Q2248" s="6" t="s">
        <v>30</v>
      </c>
      <c r="R2248" s="4" t="s">
        <v>31</v>
      </c>
      <c r="S2248" s="7" t="s">
        <v>32</v>
      </c>
      <c r="T2248" s="5"/>
    </row>
    <row r="2249" customFormat="false" ht="29.25" hidden="false" customHeight="true" outlineLevel="0" collapsed="false">
      <c r="A2249" s="4" t="n">
        <v>2248</v>
      </c>
      <c r="B2249" s="6" t="s">
        <v>1787</v>
      </c>
      <c r="C2249" s="6" t="s">
        <v>7659</v>
      </c>
      <c r="D2249" s="6" t="s">
        <v>7660</v>
      </c>
      <c r="E2249" s="7" t="s">
        <v>21</v>
      </c>
      <c r="F2249" s="6" t="s">
        <v>8065</v>
      </c>
      <c r="G2249" s="5" t="s">
        <v>8066</v>
      </c>
      <c r="H2249" s="5" t="s">
        <v>8067</v>
      </c>
      <c r="I2249" s="5" t="s">
        <v>8068</v>
      </c>
      <c r="J2249" s="5" t="s">
        <v>8069</v>
      </c>
      <c r="K2249" s="5"/>
      <c r="L2249" s="4" t="s">
        <v>27</v>
      </c>
      <c r="M2249" s="8" t="s">
        <v>129</v>
      </c>
      <c r="N2249" s="9" t="s">
        <v>7668</v>
      </c>
      <c r="O2249" s="5"/>
      <c r="P2249" s="5"/>
      <c r="Q2249" s="6" t="s">
        <v>30</v>
      </c>
      <c r="R2249" s="4" t="s">
        <v>31</v>
      </c>
      <c r="S2249" s="7" t="s">
        <v>32</v>
      </c>
      <c r="T2249" s="5"/>
    </row>
    <row r="2250" customFormat="false" ht="29.25" hidden="false" customHeight="true" outlineLevel="0" collapsed="false">
      <c r="A2250" s="4" t="n">
        <v>2249</v>
      </c>
      <c r="B2250" s="6" t="s">
        <v>1787</v>
      </c>
      <c r="C2250" s="6" t="s">
        <v>7659</v>
      </c>
      <c r="D2250" s="6" t="s">
        <v>7660</v>
      </c>
      <c r="E2250" s="7" t="s">
        <v>21</v>
      </c>
      <c r="F2250" s="6" t="s">
        <v>8070</v>
      </c>
      <c r="G2250" s="5" t="s">
        <v>7808</v>
      </c>
      <c r="H2250" s="5" t="s">
        <v>7679</v>
      </c>
      <c r="I2250" s="5" t="s">
        <v>7681</v>
      </c>
      <c r="J2250" s="5" t="s">
        <v>8071</v>
      </c>
      <c r="K2250" s="5"/>
      <c r="L2250" s="4" t="s">
        <v>62</v>
      </c>
      <c r="M2250" s="8" t="s">
        <v>79</v>
      </c>
      <c r="N2250" s="9" t="s">
        <v>7706</v>
      </c>
      <c r="O2250" s="5"/>
      <c r="P2250" s="5"/>
      <c r="Q2250" s="6" t="s">
        <v>30</v>
      </c>
      <c r="R2250" s="4" t="s">
        <v>31</v>
      </c>
      <c r="S2250" s="7" t="s">
        <v>32</v>
      </c>
      <c r="T2250" s="5"/>
    </row>
    <row r="2251" customFormat="false" ht="29.25" hidden="false" customHeight="true" outlineLevel="0" collapsed="false">
      <c r="A2251" s="4" t="n">
        <v>2250</v>
      </c>
      <c r="B2251" s="6" t="s">
        <v>1787</v>
      </c>
      <c r="C2251" s="6" t="s">
        <v>7659</v>
      </c>
      <c r="D2251" s="6" t="s">
        <v>7660</v>
      </c>
      <c r="E2251" s="7" t="s">
        <v>21</v>
      </c>
      <c r="F2251" s="6" t="s">
        <v>8072</v>
      </c>
      <c r="G2251" s="5" t="s">
        <v>8073</v>
      </c>
      <c r="H2251" s="5" t="s">
        <v>8074</v>
      </c>
      <c r="I2251" s="5" t="s">
        <v>8075</v>
      </c>
      <c r="J2251" s="5" t="s">
        <v>7697</v>
      </c>
      <c r="K2251" s="5"/>
      <c r="L2251" s="4" t="s">
        <v>27</v>
      </c>
      <c r="M2251" s="8" t="s">
        <v>129</v>
      </c>
      <c r="N2251" s="9" t="s">
        <v>7668</v>
      </c>
      <c r="O2251" s="5"/>
      <c r="P2251" s="5"/>
      <c r="Q2251" s="6" t="s">
        <v>30</v>
      </c>
      <c r="R2251" s="4" t="s">
        <v>31</v>
      </c>
      <c r="S2251" s="7" t="s">
        <v>32</v>
      </c>
      <c r="T2251" s="5"/>
    </row>
    <row r="2252" customFormat="false" ht="29.25" hidden="false" customHeight="true" outlineLevel="0" collapsed="false">
      <c r="A2252" s="4" t="n">
        <v>2251</v>
      </c>
      <c r="B2252" s="6" t="s">
        <v>1787</v>
      </c>
      <c r="C2252" s="6" t="s">
        <v>7659</v>
      </c>
      <c r="D2252" s="6" t="s">
        <v>7660</v>
      </c>
      <c r="E2252" s="7" t="s">
        <v>21</v>
      </c>
      <c r="F2252" s="6" t="s">
        <v>8076</v>
      </c>
      <c r="G2252" s="5" t="s">
        <v>7679</v>
      </c>
      <c r="H2252" s="5" t="s">
        <v>7680</v>
      </c>
      <c r="I2252" s="5" t="s">
        <v>7681</v>
      </c>
      <c r="J2252" s="5" t="s">
        <v>8077</v>
      </c>
      <c r="K2252" s="5"/>
      <c r="L2252" s="4" t="s">
        <v>51</v>
      </c>
      <c r="M2252" s="8" t="s">
        <v>129</v>
      </c>
      <c r="N2252" s="9" t="s">
        <v>7668</v>
      </c>
      <c r="O2252" s="5"/>
      <c r="P2252" s="5"/>
      <c r="Q2252" s="6" t="s">
        <v>30</v>
      </c>
      <c r="R2252" s="4" t="s">
        <v>31</v>
      </c>
      <c r="S2252" s="7" t="s">
        <v>32</v>
      </c>
      <c r="T2252" s="5"/>
    </row>
    <row r="2253" customFormat="false" ht="29.25" hidden="false" customHeight="true" outlineLevel="0" collapsed="false">
      <c r="A2253" s="4" t="n">
        <v>2252</v>
      </c>
      <c r="B2253" s="6" t="s">
        <v>1787</v>
      </c>
      <c r="C2253" s="6" t="s">
        <v>7659</v>
      </c>
      <c r="D2253" s="6" t="s">
        <v>7660</v>
      </c>
      <c r="E2253" s="7" t="s">
        <v>21</v>
      </c>
      <c r="F2253" s="6" t="s">
        <v>8078</v>
      </c>
      <c r="G2253" s="5" t="s">
        <v>8079</v>
      </c>
      <c r="H2253" s="5" t="s">
        <v>5791</v>
      </c>
      <c r="I2253" s="5" t="s">
        <v>7945</v>
      </c>
      <c r="J2253" s="5" t="s">
        <v>5792</v>
      </c>
      <c r="K2253" s="5"/>
      <c r="L2253" s="4" t="s">
        <v>44</v>
      </c>
      <c r="M2253" s="8" t="s">
        <v>79</v>
      </c>
      <c r="N2253" s="9" t="s">
        <v>7668</v>
      </c>
      <c r="O2253" s="5"/>
      <c r="P2253" s="5"/>
      <c r="Q2253" s="6" t="s">
        <v>30</v>
      </c>
      <c r="R2253" s="4" t="s">
        <v>31</v>
      </c>
      <c r="S2253" s="7" t="s">
        <v>32</v>
      </c>
      <c r="T2253" s="5"/>
    </row>
    <row r="2254" customFormat="false" ht="29.25" hidden="false" customHeight="true" outlineLevel="0" collapsed="false">
      <c r="A2254" s="4" t="n">
        <v>2253</v>
      </c>
      <c r="B2254" s="6" t="s">
        <v>1787</v>
      </c>
      <c r="C2254" s="6" t="s">
        <v>7659</v>
      </c>
      <c r="D2254" s="6" t="s">
        <v>7660</v>
      </c>
      <c r="E2254" s="7" t="s">
        <v>21</v>
      </c>
      <c r="F2254" s="6" t="s">
        <v>8080</v>
      </c>
      <c r="G2254" s="6" t="s">
        <v>8081</v>
      </c>
      <c r="H2254" s="6" t="s">
        <v>8082</v>
      </c>
      <c r="I2254" s="6" t="s">
        <v>8083</v>
      </c>
      <c r="J2254" s="6" t="s">
        <v>78</v>
      </c>
      <c r="K2254" s="5"/>
      <c r="L2254" s="4" t="s">
        <v>44</v>
      </c>
      <c r="M2254" s="8" t="s">
        <v>79</v>
      </c>
      <c r="N2254" s="9" t="s">
        <v>7668</v>
      </c>
      <c r="O2254" s="5"/>
      <c r="P2254" s="5"/>
      <c r="Q2254" s="6" t="s">
        <v>30</v>
      </c>
      <c r="R2254" s="4" t="s">
        <v>31</v>
      </c>
      <c r="S2254" s="7" t="s">
        <v>32</v>
      </c>
      <c r="T2254" s="5"/>
    </row>
    <row r="2255" customFormat="false" ht="29.25" hidden="false" customHeight="true" outlineLevel="0" collapsed="false">
      <c r="A2255" s="4" t="n">
        <v>2254</v>
      </c>
      <c r="B2255" s="6" t="s">
        <v>1787</v>
      </c>
      <c r="C2255" s="6" t="s">
        <v>7659</v>
      </c>
      <c r="D2255" s="6" t="s">
        <v>7660</v>
      </c>
      <c r="E2255" s="7" t="s">
        <v>21</v>
      </c>
      <c r="F2255" s="6" t="s">
        <v>8084</v>
      </c>
      <c r="G2255" s="6" t="s">
        <v>6978</v>
      </c>
      <c r="H2255" s="6" t="s">
        <v>8085</v>
      </c>
      <c r="I2255" s="6" t="s">
        <v>8086</v>
      </c>
      <c r="J2255" s="6" t="s">
        <v>8087</v>
      </c>
      <c r="K2255" s="5"/>
      <c r="L2255" s="4" t="s">
        <v>44</v>
      </c>
      <c r="M2255" s="8" t="s">
        <v>79</v>
      </c>
      <c r="N2255" s="9" t="s">
        <v>7664</v>
      </c>
      <c r="O2255" s="5"/>
      <c r="P2255" s="5"/>
      <c r="Q2255" s="6" t="s">
        <v>30</v>
      </c>
      <c r="R2255" s="4" t="s">
        <v>31</v>
      </c>
      <c r="S2255" s="7" t="s">
        <v>32</v>
      </c>
      <c r="T2255" s="5"/>
    </row>
    <row r="2256" customFormat="false" ht="29.25" hidden="false" customHeight="true" outlineLevel="0" collapsed="false">
      <c r="A2256" s="4" t="n">
        <v>2255</v>
      </c>
      <c r="B2256" s="6" t="s">
        <v>1787</v>
      </c>
      <c r="C2256" s="6" t="s">
        <v>7659</v>
      </c>
      <c r="D2256" s="6" t="s">
        <v>7660</v>
      </c>
      <c r="E2256" s="7" t="s">
        <v>21</v>
      </c>
      <c r="F2256" s="6" t="s">
        <v>8088</v>
      </c>
      <c r="G2256" s="5" t="s">
        <v>2677</v>
      </c>
      <c r="H2256" s="5" t="s">
        <v>2672</v>
      </c>
      <c r="I2256" s="5" t="s">
        <v>2673</v>
      </c>
      <c r="J2256" s="5" t="s">
        <v>2674</v>
      </c>
      <c r="K2256" s="5"/>
      <c r="L2256" s="4" t="s">
        <v>51</v>
      </c>
      <c r="M2256" s="8" t="s">
        <v>79</v>
      </c>
      <c r="N2256" s="9" t="s">
        <v>7668</v>
      </c>
      <c r="O2256" s="5"/>
      <c r="P2256" s="5"/>
      <c r="Q2256" s="6" t="s">
        <v>30</v>
      </c>
      <c r="R2256" s="4" t="s">
        <v>31</v>
      </c>
      <c r="S2256" s="7" t="s">
        <v>32</v>
      </c>
      <c r="T2256" s="5"/>
    </row>
    <row r="2257" customFormat="false" ht="29.25" hidden="false" customHeight="true" outlineLevel="0" collapsed="false">
      <c r="A2257" s="4" t="n">
        <v>2256</v>
      </c>
      <c r="B2257" s="6" t="s">
        <v>1787</v>
      </c>
      <c r="C2257" s="6" t="s">
        <v>7659</v>
      </c>
      <c r="D2257" s="6" t="s">
        <v>7660</v>
      </c>
      <c r="E2257" s="7" t="s">
        <v>21</v>
      </c>
      <c r="F2257" s="6" t="s">
        <v>8089</v>
      </c>
      <c r="G2257" s="5" t="s">
        <v>8090</v>
      </c>
      <c r="H2257" s="5" t="s">
        <v>8091</v>
      </c>
      <c r="I2257" s="5" t="s">
        <v>8092</v>
      </c>
      <c r="J2257" s="5" t="s">
        <v>8093</v>
      </c>
      <c r="K2257" s="5"/>
      <c r="L2257" s="4" t="s">
        <v>51</v>
      </c>
      <c r="M2257" s="8" t="s">
        <v>129</v>
      </c>
      <c r="N2257" s="9" t="s">
        <v>7668</v>
      </c>
      <c r="O2257" s="5"/>
      <c r="P2257" s="5"/>
      <c r="Q2257" s="6" t="s">
        <v>30</v>
      </c>
      <c r="R2257" s="4" t="s">
        <v>31</v>
      </c>
      <c r="S2257" s="7" t="s">
        <v>32</v>
      </c>
      <c r="T2257" s="5"/>
    </row>
    <row r="2258" customFormat="false" ht="29.25" hidden="false" customHeight="true" outlineLevel="0" collapsed="false">
      <c r="A2258" s="4" t="n">
        <v>2257</v>
      </c>
      <c r="B2258" s="6" t="s">
        <v>1787</v>
      </c>
      <c r="C2258" s="6" t="s">
        <v>7659</v>
      </c>
      <c r="D2258" s="6" t="s">
        <v>7660</v>
      </c>
      <c r="E2258" s="7" t="s">
        <v>21</v>
      </c>
      <c r="F2258" s="6" t="s">
        <v>8094</v>
      </c>
      <c r="G2258" s="5" t="s">
        <v>1536</v>
      </c>
      <c r="H2258" s="5" t="s">
        <v>8095</v>
      </c>
      <c r="I2258" s="5" t="s">
        <v>8096</v>
      </c>
      <c r="J2258" s="5" t="s">
        <v>8097</v>
      </c>
      <c r="K2258" s="5"/>
      <c r="L2258" s="4" t="s">
        <v>51</v>
      </c>
      <c r="M2258" s="8" t="s">
        <v>79</v>
      </c>
      <c r="N2258" s="9" t="s">
        <v>7668</v>
      </c>
      <c r="O2258" s="5"/>
      <c r="P2258" s="5"/>
      <c r="Q2258" s="6" t="s">
        <v>30</v>
      </c>
      <c r="R2258" s="4" t="s">
        <v>31</v>
      </c>
      <c r="S2258" s="7" t="s">
        <v>32</v>
      </c>
      <c r="T2258" s="5"/>
    </row>
    <row r="2259" customFormat="false" ht="29.25" hidden="false" customHeight="true" outlineLevel="0" collapsed="false">
      <c r="A2259" s="4" t="n">
        <v>2258</v>
      </c>
      <c r="B2259" s="6" t="s">
        <v>1787</v>
      </c>
      <c r="C2259" s="6" t="s">
        <v>7659</v>
      </c>
      <c r="D2259" s="6" t="s">
        <v>7660</v>
      </c>
      <c r="E2259" s="7" t="s">
        <v>21</v>
      </c>
      <c r="F2259" s="6" t="s">
        <v>8098</v>
      </c>
      <c r="G2259" s="6" t="s">
        <v>8081</v>
      </c>
      <c r="H2259" s="6" t="s">
        <v>8099</v>
      </c>
      <c r="I2259" s="6" t="s">
        <v>8100</v>
      </c>
      <c r="J2259" s="6" t="s">
        <v>8101</v>
      </c>
      <c r="K2259" s="5"/>
      <c r="L2259" s="4" t="s">
        <v>51</v>
      </c>
      <c r="M2259" s="8" t="s">
        <v>129</v>
      </c>
      <c r="N2259" s="9" t="s">
        <v>7668</v>
      </c>
      <c r="O2259" s="5"/>
      <c r="P2259" s="5"/>
      <c r="Q2259" s="6" t="s">
        <v>30</v>
      </c>
      <c r="R2259" s="4" t="s">
        <v>31</v>
      </c>
      <c r="S2259" s="7" t="s">
        <v>32</v>
      </c>
      <c r="T2259" s="5"/>
    </row>
    <row r="2260" customFormat="false" ht="29.25" hidden="false" customHeight="true" outlineLevel="0" collapsed="false">
      <c r="A2260" s="4" t="n">
        <v>2259</v>
      </c>
      <c r="B2260" s="6" t="s">
        <v>1787</v>
      </c>
      <c r="C2260" s="6" t="s">
        <v>7659</v>
      </c>
      <c r="D2260" s="6" t="s">
        <v>7660</v>
      </c>
      <c r="E2260" s="7" t="s">
        <v>21</v>
      </c>
      <c r="F2260" s="6" t="s">
        <v>7665</v>
      </c>
      <c r="G2260" s="5" t="s">
        <v>6319</v>
      </c>
      <c r="H2260" s="5" t="s">
        <v>7666</v>
      </c>
      <c r="I2260" s="5" t="s">
        <v>7667</v>
      </c>
      <c r="J2260" s="5" t="s">
        <v>8102</v>
      </c>
      <c r="K2260" s="5"/>
      <c r="L2260" s="4" t="s">
        <v>27</v>
      </c>
      <c r="M2260" s="8" t="s">
        <v>79</v>
      </c>
      <c r="N2260" s="9" t="s">
        <v>7668</v>
      </c>
      <c r="O2260" s="5"/>
      <c r="P2260" s="5"/>
      <c r="Q2260" s="6" t="s">
        <v>30</v>
      </c>
      <c r="R2260" s="4" t="s">
        <v>31</v>
      </c>
      <c r="S2260" s="7" t="s">
        <v>32</v>
      </c>
      <c r="T2260" s="5"/>
    </row>
    <row r="2261" customFormat="false" ht="29.25" hidden="false" customHeight="true" outlineLevel="0" collapsed="false">
      <c r="A2261" s="4" t="n">
        <v>2260</v>
      </c>
      <c r="B2261" s="6" t="s">
        <v>1787</v>
      </c>
      <c r="C2261" s="6" t="s">
        <v>7659</v>
      </c>
      <c r="D2261" s="6" t="s">
        <v>7660</v>
      </c>
      <c r="E2261" s="7" t="s">
        <v>21</v>
      </c>
      <c r="F2261" s="6" t="s">
        <v>8103</v>
      </c>
      <c r="G2261" s="5" t="s">
        <v>8104</v>
      </c>
      <c r="H2261" s="5" t="s">
        <v>8105</v>
      </c>
      <c r="I2261" s="5" t="s">
        <v>8028</v>
      </c>
      <c r="J2261" s="5" t="s">
        <v>5944</v>
      </c>
      <c r="K2261" s="5"/>
      <c r="L2261" s="4" t="s">
        <v>44</v>
      </c>
      <c r="M2261" s="8" t="s">
        <v>129</v>
      </c>
      <c r="N2261" s="9" t="s">
        <v>7668</v>
      </c>
      <c r="O2261" s="5"/>
      <c r="P2261" s="5"/>
      <c r="Q2261" s="6" t="s">
        <v>30</v>
      </c>
      <c r="R2261" s="4" t="s">
        <v>31</v>
      </c>
      <c r="S2261" s="7" t="s">
        <v>32</v>
      </c>
      <c r="T2261" s="5"/>
    </row>
    <row r="2262" customFormat="false" ht="29.25" hidden="false" customHeight="true" outlineLevel="0" collapsed="false">
      <c r="A2262" s="4" t="n">
        <v>2261</v>
      </c>
      <c r="B2262" s="6" t="s">
        <v>1787</v>
      </c>
      <c r="C2262" s="6" t="s">
        <v>7659</v>
      </c>
      <c r="D2262" s="6" t="s">
        <v>7660</v>
      </c>
      <c r="E2262" s="7" t="s">
        <v>21</v>
      </c>
      <c r="F2262" s="6" t="s">
        <v>8106</v>
      </c>
      <c r="G2262" s="5" t="s">
        <v>7995</v>
      </c>
      <c r="H2262" s="5" t="s">
        <v>7996</v>
      </c>
      <c r="I2262" s="5" t="s">
        <v>7997</v>
      </c>
      <c r="J2262" s="5" t="s">
        <v>7998</v>
      </c>
      <c r="K2262" s="5"/>
      <c r="L2262" s="4" t="s">
        <v>62</v>
      </c>
      <c r="M2262" s="8" t="s">
        <v>129</v>
      </c>
      <c r="N2262" s="9" t="s">
        <v>7668</v>
      </c>
      <c r="O2262" s="5"/>
      <c r="P2262" s="5"/>
      <c r="Q2262" s="6" t="s">
        <v>30</v>
      </c>
      <c r="R2262" s="4" t="s">
        <v>31</v>
      </c>
      <c r="S2262" s="7" t="s">
        <v>32</v>
      </c>
      <c r="T2262" s="5"/>
    </row>
    <row r="2263" customFormat="false" ht="29.25" hidden="false" customHeight="true" outlineLevel="0" collapsed="false">
      <c r="A2263" s="4" t="n">
        <v>2262</v>
      </c>
      <c r="B2263" s="6" t="s">
        <v>1787</v>
      </c>
      <c r="C2263" s="6" t="s">
        <v>7659</v>
      </c>
      <c r="D2263" s="6" t="s">
        <v>7660</v>
      </c>
      <c r="E2263" s="7" t="s">
        <v>21</v>
      </c>
      <c r="F2263" s="6" t="s">
        <v>8107</v>
      </c>
      <c r="G2263" s="5" t="s">
        <v>7991</v>
      </c>
      <c r="H2263" s="5" t="s">
        <v>7992</v>
      </c>
      <c r="I2263" s="5" t="s">
        <v>7993</v>
      </c>
      <c r="J2263" s="5" t="s">
        <v>8108</v>
      </c>
      <c r="K2263" s="5"/>
      <c r="L2263" s="4" t="s">
        <v>62</v>
      </c>
      <c r="M2263" s="8" t="s">
        <v>129</v>
      </c>
      <c r="N2263" s="9" t="s">
        <v>7706</v>
      </c>
      <c r="O2263" s="5"/>
      <c r="P2263" s="5"/>
      <c r="Q2263" s="6" t="s">
        <v>30</v>
      </c>
      <c r="R2263" s="4" t="s">
        <v>31</v>
      </c>
      <c r="S2263" s="7" t="s">
        <v>32</v>
      </c>
      <c r="T2263" s="5"/>
    </row>
    <row r="2264" customFormat="false" ht="29.25" hidden="false" customHeight="true" outlineLevel="0" collapsed="false">
      <c r="A2264" s="4" t="n">
        <v>2263</v>
      </c>
      <c r="B2264" s="6" t="s">
        <v>1787</v>
      </c>
      <c r="C2264" s="6" t="s">
        <v>7659</v>
      </c>
      <c r="D2264" s="6" t="s">
        <v>7660</v>
      </c>
      <c r="E2264" s="7" t="s">
        <v>21</v>
      </c>
      <c r="F2264" s="6" t="s">
        <v>8109</v>
      </c>
      <c r="G2264" s="5" t="s">
        <v>7238</v>
      </c>
      <c r="H2264" s="5" t="s">
        <v>7744</v>
      </c>
      <c r="I2264" s="5" t="s">
        <v>7239</v>
      </c>
      <c r="J2264" s="5" t="s">
        <v>7991</v>
      </c>
      <c r="K2264" s="5"/>
      <c r="L2264" s="4" t="s">
        <v>27</v>
      </c>
      <c r="M2264" s="8" t="s">
        <v>129</v>
      </c>
      <c r="N2264" s="9" t="s">
        <v>7668</v>
      </c>
      <c r="O2264" s="5"/>
      <c r="P2264" s="5"/>
      <c r="Q2264" s="6" t="s">
        <v>30</v>
      </c>
      <c r="R2264" s="4" t="s">
        <v>31</v>
      </c>
      <c r="S2264" s="7" t="s">
        <v>32</v>
      </c>
      <c r="T2264" s="5"/>
    </row>
    <row r="2265" customFormat="false" ht="29.25" hidden="false" customHeight="true" outlineLevel="0" collapsed="false">
      <c r="A2265" s="4" t="n">
        <v>2264</v>
      </c>
      <c r="B2265" s="6" t="s">
        <v>1787</v>
      </c>
      <c r="C2265" s="6" t="s">
        <v>7659</v>
      </c>
      <c r="D2265" s="6" t="s">
        <v>7660</v>
      </c>
      <c r="E2265" s="7" t="s">
        <v>21</v>
      </c>
      <c r="F2265" s="6" t="s">
        <v>8110</v>
      </c>
      <c r="G2265" s="5" t="s">
        <v>8111</v>
      </c>
      <c r="H2265" s="5" t="s">
        <v>7338</v>
      </c>
      <c r="I2265" s="5" t="s">
        <v>5878</v>
      </c>
      <c r="J2265" s="5" t="s">
        <v>8112</v>
      </c>
      <c r="K2265" s="5"/>
      <c r="L2265" s="4" t="s">
        <v>44</v>
      </c>
      <c r="M2265" s="8" t="s">
        <v>129</v>
      </c>
      <c r="N2265" s="9" t="s">
        <v>7668</v>
      </c>
      <c r="O2265" s="5"/>
      <c r="P2265" s="5"/>
      <c r="Q2265" s="6" t="s">
        <v>30</v>
      </c>
      <c r="R2265" s="4" t="s">
        <v>31</v>
      </c>
      <c r="S2265" s="7" t="s">
        <v>32</v>
      </c>
      <c r="T2265" s="5"/>
    </row>
    <row r="2266" customFormat="false" ht="29.25" hidden="false" customHeight="true" outlineLevel="0" collapsed="false">
      <c r="A2266" s="4" t="n">
        <v>2265</v>
      </c>
      <c r="B2266" s="6" t="s">
        <v>1787</v>
      </c>
      <c r="C2266" s="6" t="s">
        <v>7659</v>
      </c>
      <c r="D2266" s="6" t="s">
        <v>7660</v>
      </c>
      <c r="E2266" s="7" t="s">
        <v>21</v>
      </c>
      <c r="F2266" s="6" t="s">
        <v>8113</v>
      </c>
      <c r="G2266" s="5" t="s">
        <v>8114</v>
      </c>
      <c r="H2266" s="5" t="s">
        <v>8115</v>
      </c>
      <c r="I2266" s="5" t="s">
        <v>8116</v>
      </c>
      <c r="J2266" s="5" t="s">
        <v>8117</v>
      </c>
      <c r="K2266" s="5"/>
      <c r="L2266" s="4" t="s">
        <v>44</v>
      </c>
      <c r="M2266" s="8" t="s">
        <v>79</v>
      </c>
      <c r="N2266" s="9" t="s">
        <v>7668</v>
      </c>
      <c r="O2266" s="5"/>
      <c r="P2266" s="5"/>
      <c r="Q2266" s="6" t="s">
        <v>30</v>
      </c>
      <c r="R2266" s="4" t="s">
        <v>31</v>
      </c>
      <c r="S2266" s="7" t="s">
        <v>32</v>
      </c>
      <c r="T2266" s="5"/>
    </row>
    <row r="2267" customFormat="false" ht="29.25" hidden="false" customHeight="true" outlineLevel="0" collapsed="false">
      <c r="A2267" s="4" t="n">
        <v>2266</v>
      </c>
      <c r="B2267" s="6" t="s">
        <v>1787</v>
      </c>
      <c r="C2267" s="6" t="s">
        <v>7659</v>
      </c>
      <c r="D2267" s="6" t="s">
        <v>7660</v>
      </c>
      <c r="E2267" s="7" t="s">
        <v>21</v>
      </c>
      <c r="F2267" s="6" t="s">
        <v>8118</v>
      </c>
      <c r="G2267" s="6" t="s">
        <v>7881</v>
      </c>
      <c r="H2267" s="6" t="s">
        <v>7882</v>
      </c>
      <c r="I2267" s="6" t="s">
        <v>7883</v>
      </c>
      <c r="J2267" s="6" t="s">
        <v>7884</v>
      </c>
      <c r="K2267" s="5"/>
      <c r="L2267" s="4" t="s">
        <v>51</v>
      </c>
      <c r="M2267" s="8" t="s">
        <v>79</v>
      </c>
      <c r="N2267" s="9" t="s">
        <v>7668</v>
      </c>
      <c r="O2267" s="5"/>
      <c r="P2267" s="5"/>
      <c r="Q2267" s="6" t="s">
        <v>30</v>
      </c>
      <c r="R2267" s="4" t="s">
        <v>31</v>
      </c>
      <c r="S2267" s="7" t="s">
        <v>32</v>
      </c>
      <c r="T2267" s="5"/>
    </row>
    <row r="2268" customFormat="false" ht="29.25" hidden="false" customHeight="true" outlineLevel="0" collapsed="false">
      <c r="A2268" s="4" t="n">
        <v>2267</v>
      </c>
      <c r="B2268" s="6" t="s">
        <v>1787</v>
      </c>
      <c r="C2268" s="6" t="s">
        <v>7659</v>
      </c>
      <c r="D2268" s="6" t="s">
        <v>7660</v>
      </c>
      <c r="E2268" s="7" t="s">
        <v>21</v>
      </c>
      <c r="F2268" s="6" t="s">
        <v>8119</v>
      </c>
      <c r="G2268" s="5" t="s">
        <v>7890</v>
      </c>
      <c r="H2268" s="5" t="s">
        <v>7891</v>
      </c>
      <c r="I2268" s="6" t="s">
        <v>7877</v>
      </c>
      <c r="J2268" s="6" t="s">
        <v>8120</v>
      </c>
      <c r="K2268" s="5"/>
      <c r="L2268" s="4" t="s">
        <v>44</v>
      </c>
      <c r="M2268" s="8" t="s">
        <v>129</v>
      </c>
      <c r="N2268" s="9" t="s">
        <v>7668</v>
      </c>
      <c r="O2268" s="5"/>
      <c r="P2268" s="5"/>
      <c r="Q2268" s="6" t="s">
        <v>30</v>
      </c>
      <c r="R2268" s="4" t="s">
        <v>31</v>
      </c>
      <c r="S2268" s="7" t="s">
        <v>32</v>
      </c>
      <c r="T2268" s="5"/>
    </row>
    <row r="2269" customFormat="false" ht="29.25" hidden="false" customHeight="true" outlineLevel="0" collapsed="false">
      <c r="A2269" s="4" t="n">
        <v>2268</v>
      </c>
      <c r="B2269" s="6" t="s">
        <v>1787</v>
      </c>
      <c r="C2269" s="6" t="s">
        <v>7659</v>
      </c>
      <c r="D2269" s="6" t="s">
        <v>7660</v>
      </c>
      <c r="E2269" s="7" t="s">
        <v>21</v>
      </c>
      <c r="F2269" s="6" t="s">
        <v>8121</v>
      </c>
      <c r="G2269" s="5" t="s">
        <v>7890</v>
      </c>
      <c r="H2269" s="5" t="s">
        <v>7891</v>
      </c>
      <c r="I2269" s="5" t="s">
        <v>7892</v>
      </c>
      <c r="J2269" s="6" t="s">
        <v>7752</v>
      </c>
      <c r="K2269" s="5"/>
      <c r="L2269" s="4" t="s">
        <v>51</v>
      </c>
      <c r="M2269" s="8" t="s">
        <v>129</v>
      </c>
      <c r="N2269" s="9" t="s">
        <v>7668</v>
      </c>
      <c r="O2269" s="5"/>
      <c r="P2269" s="5"/>
      <c r="Q2269" s="6" t="s">
        <v>30</v>
      </c>
      <c r="R2269" s="4" t="s">
        <v>31</v>
      </c>
      <c r="S2269" s="7" t="s">
        <v>32</v>
      </c>
      <c r="T2269" s="5"/>
    </row>
    <row r="2270" customFormat="false" ht="29.25" hidden="false" customHeight="true" outlineLevel="0" collapsed="false">
      <c r="A2270" s="4" t="n">
        <v>2269</v>
      </c>
      <c r="B2270" s="6" t="s">
        <v>1787</v>
      </c>
      <c r="C2270" s="6" t="s">
        <v>7659</v>
      </c>
      <c r="D2270" s="6" t="s">
        <v>7660</v>
      </c>
      <c r="E2270" s="7" t="s">
        <v>21</v>
      </c>
      <c r="F2270" s="6" t="s">
        <v>8122</v>
      </c>
      <c r="G2270" s="5" t="s">
        <v>8123</v>
      </c>
      <c r="H2270" s="5" t="s">
        <v>8124</v>
      </c>
      <c r="I2270" s="5" t="s">
        <v>8125</v>
      </c>
      <c r="J2270" s="5" t="s">
        <v>8126</v>
      </c>
      <c r="K2270" s="5"/>
      <c r="L2270" s="4" t="s">
        <v>44</v>
      </c>
      <c r="M2270" s="8" t="s">
        <v>129</v>
      </c>
      <c r="N2270" s="9" t="s">
        <v>7706</v>
      </c>
      <c r="O2270" s="5"/>
      <c r="P2270" s="5"/>
      <c r="Q2270" s="6" t="s">
        <v>30</v>
      </c>
      <c r="R2270" s="4" t="s">
        <v>31</v>
      </c>
      <c r="S2270" s="7" t="s">
        <v>32</v>
      </c>
      <c r="T2270" s="5"/>
    </row>
    <row r="2271" customFormat="false" ht="29.25" hidden="false" customHeight="true" outlineLevel="0" collapsed="false">
      <c r="A2271" s="4" t="n">
        <v>2270</v>
      </c>
      <c r="B2271" s="6" t="s">
        <v>1787</v>
      </c>
      <c r="C2271" s="6" t="s">
        <v>7659</v>
      </c>
      <c r="D2271" s="6" t="s">
        <v>7660</v>
      </c>
      <c r="E2271" s="7" t="s">
        <v>21</v>
      </c>
      <c r="F2271" s="6" t="s">
        <v>8127</v>
      </c>
      <c r="G2271" s="5" t="s">
        <v>8128</v>
      </c>
      <c r="H2271" s="5" t="s">
        <v>8129</v>
      </c>
      <c r="I2271" s="5" t="s">
        <v>8130</v>
      </c>
      <c r="J2271" s="5" t="s">
        <v>8131</v>
      </c>
      <c r="K2271" s="5"/>
      <c r="L2271" s="4" t="s">
        <v>44</v>
      </c>
      <c r="M2271" s="8" t="s">
        <v>129</v>
      </c>
      <c r="N2271" s="9" t="s">
        <v>7706</v>
      </c>
      <c r="O2271" s="5"/>
      <c r="P2271" s="5"/>
      <c r="Q2271" s="6" t="s">
        <v>30</v>
      </c>
      <c r="R2271" s="4" t="s">
        <v>31</v>
      </c>
      <c r="S2271" s="7" t="s">
        <v>32</v>
      </c>
      <c r="T2271" s="5"/>
    </row>
    <row r="2272" customFormat="false" ht="29.25" hidden="false" customHeight="true" outlineLevel="0" collapsed="false">
      <c r="A2272" s="4" t="n">
        <v>2271</v>
      </c>
      <c r="B2272" s="6" t="s">
        <v>1787</v>
      </c>
      <c r="C2272" s="6" t="s">
        <v>7659</v>
      </c>
      <c r="D2272" s="6" t="s">
        <v>7660</v>
      </c>
      <c r="E2272" s="7" t="s">
        <v>21</v>
      </c>
      <c r="F2272" s="6" t="s">
        <v>8132</v>
      </c>
      <c r="G2272" s="5" t="s">
        <v>2671</v>
      </c>
      <c r="H2272" s="5" t="s">
        <v>2672</v>
      </c>
      <c r="I2272" s="5" t="s">
        <v>2673</v>
      </c>
      <c r="J2272" s="5" t="s">
        <v>8133</v>
      </c>
      <c r="K2272" s="5"/>
      <c r="L2272" s="4" t="s">
        <v>27</v>
      </c>
      <c r="M2272" s="8" t="s">
        <v>129</v>
      </c>
      <c r="N2272" s="9" t="s">
        <v>7668</v>
      </c>
      <c r="O2272" s="5"/>
      <c r="P2272" s="5"/>
      <c r="Q2272" s="6" t="s">
        <v>30</v>
      </c>
      <c r="R2272" s="4" t="s">
        <v>31</v>
      </c>
      <c r="S2272" s="7" t="s">
        <v>32</v>
      </c>
      <c r="T2272" s="5"/>
    </row>
    <row r="2273" customFormat="false" ht="29.25" hidden="false" customHeight="true" outlineLevel="0" collapsed="false">
      <c r="A2273" s="4" t="n">
        <v>2272</v>
      </c>
      <c r="B2273" s="6" t="s">
        <v>1787</v>
      </c>
      <c r="C2273" s="6" t="s">
        <v>7659</v>
      </c>
      <c r="D2273" s="6" t="s">
        <v>7660</v>
      </c>
      <c r="E2273" s="7" t="s">
        <v>21</v>
      </c>
      <c r="F2273" s="6" t="s">
        <v>8134</v>
      </c>
      <c r="G2273" s="5" t="s">
        <v>1327</v>
      </c>
      <c r="H2273" s="5" t="s">
        <v>2672</v>
      </c>
      <c r="I2273" s="5" t="s">
        <v>2673</v>
      </c>
      <c r="J2273" s="5" t="s">
        <v>2674</v>
      </c>
      <c r="K2273" s="5"/>
      <c r="L2273" s="4" t="s">
        <v>51</v>
      </c>
      <c r="M2273" s="8" t="s">
        <v>79</v>
      </c>
      <c r="N2273" s="9" t="s">
        <v>7668</v>
      </c>
      <c r="O2273" s="5"/>
      <c r="P2273" s="5"/>
      <c r="Q2273" s="6" t="s">
        <v>30</v>
      </c>
      <c r="R2273" s="4" t="s">
        <v>31</v>
      </c>
      <c r="S2273" s="7" t="s">
        <v>32</v>
      </c>
      <c r="T2273" s="5"/>
    </row>
    <row r="2274" customFormat="false" ht="29.25" hidden="false" customHeight="true" outlineLevel="0" collapsed="false">
      <c r="A2274" s="4" t="n">
        <v>2273</v>
      </c>
      <c r="B2274" s="6" t="s">
        <v>1787</v>
      </c>
      <c r="C2274" s="6" t="s">
        <v>7659</v>
      </c>
      <c r="D2274" s="6" t="s">
        <v>7660</v>
      </c>
      <c r="E2274" s="7" t="s">
        <v>21</v>
      </c>
      <c r="F2274" s="6" t="s">
        <v>8135</v>
      </c>
      <c r="G2274" s="6" t="s">
        <v>8136</v>
      </c>
      <c r="H2274" s="6" t="s">
        <v>8137</v>
      </c>
      <c r="I2274" s="6" t="s">
        <v>8138</v>
      </c>
      <c r="J2274" s="6" t="s">
        <v>78</v>
      </c>
      <c r="K2274" s="5"/>
      <c r="L2274" s="4" t="s">
        <v>44</v>
      </c>
      <c r="M2274" s="8" t="s">
        <v>28</v>
      </c>
      <c r="N2274" s="9" t="s">
        <v>7668</v>
      </c>
      <c r="O2274" s="5"/>
      <c r="P2274" s="5"/>
      <c r="Q2274" s="6" t="s">
        <v>30</v>
      </c>
      <c r="R2274" s="4" t="s">
        <v>31</v>
      </c>
      <c r="S2274" s="7" t="s">
        <v>32</v>
      </c>
      <c r="T2274" s="5"/>
    </row>
    <row r="2275" customFormat="false" ht="29.25" hidden="false" customHeight="true" outlineLevel="0" collapsed="false">
      <c r="A2275" s="4" t="n">
        <v>2274</v>
      </c>
      <c r="B2275" s="6" t="s">
        <v>1787</v>
      </c>
      <c r="C2275" s="6" t="s">
        <v>7659</v>
      </c>
      <c r="D2275" s="6" t="s">
        <v>7660</v>
      </c>
      <c r="E2275" s="7" t="s">
        <v>21</v>
      </c>
      <c r="F2275" s="6" t="s">
        <v>8139</v>
      </c>
      <c r="G2275" s="5" t="s">
        <v>7239</v>
      </c>
      <c r="H2275" s="5" t="s">
        <v>7241</v>
      </c>
      <c r="I2275" s="5" t="s">
        <v>7992</v>
      </c>
      <c r="J2275" s="5" t="s">
        <v>8108</v>
      </c>
      <c r="K2275" s="5"/>
      <c r="L2275" s="4" t="s">
        <v>62</v>
      </c>
      <c r="M2275" s="8" t="s">
        <v>79</v>
      </c>
      <c r="N2275" s="9" t="s">
        <v>7668</v>
      </c>
      <c r="O2275" s="5"/>
      <c r="P2275" s="5"/>
      <c r="Q2275" s="6" t="s">
        <v>30</v>
      </c>
      <c r="R2275" s="4" t="s">
        <v>31</v>
      </c>
      <c r="S2275" s="7" t="s">
        <v>32</v>
      </c>
      <c r="T2275" s="5"/>
    </row>
    <row r="2276" customFormat="false" ht="29.25" hidden="false" customHeight="true" outlineLevel="0" collapsed="false">
      <c r="A2276" s="4" t="n">
        <v>2275</v>
      </c>
      <c r="B2276" s="6" t="s">
        <v>1787</v>
      </c>
      <c r="C2276" s="6" t="s">
        <v>7659</v>
      </c>
      <c r="D2276" s="6" t="s">
        <v>7660</v>
      </c>
      <c r="E2276" s="7" t="s">
        <v>21</v>
      </c>
      <c r="F2276" s="6" t="s">
        <v>7796</v>
      </c>
      <c r="G2276" s="5" t="s">
        <v>8140</v>
      </c>
      <c r="H2276" s="5" t="s">
        <v>8141</v>
      </c>
      <c r="I2276" s="5" t="s">
        <v>8142</v>
      </c>
      <c r="J2276" s="5" t="s">
        <v>8143</v>
      </c>
      <c r="K2276" s="5"/>
      <c r="L2276" s="4" t="s">
        <v>62</v>
      </c>
      <c r="M2276" s="8" t="s">
        <v>129</v>
      </c>
      <c r="N2276" s="9" t="s">
        <v>7668</v>
      </c>
      <c r="O2276" s="5"/>
      <c r="P2276" s="5"/>
      <c r="Q2276" s="6" t="s">
        <v>30</v>
      </c>
      <c r="R2276" s="4" t="s">
        <v>31</v>
      </c>
      <c r="S2276" s="7" t="s">
        <v>32</v>
      </c>
      <c r="T2276" s="5"/>
    </row>
    <row r="2277" customFormat="false" ht="29.25" hidden="false" customHeight="true" outlineLevel="0" collapsed="false">
      <c r="A2277" s="4" t="n">
        <v>2276</v>
      </c>
      <c r="B2277" s="6" t="s">
        <v>1787</v>
      </c>
      <c r="C2277" s="6" t="s">
        <v>7659</v>
      </c>
      <c r="D2277" s="6" t="s">
        <v>7660</v>
      </c>
      <c r="E2277" s="7" t="s">
        <v>21</v>
      </c>
      <c r="F2277" s="6" t="s">
        <v>8144</v>
      </c>
      <c r="G2277" s="6" t="s">
        <v>7709</v>
      </c>
      <c r="H2277" s="6" t="s">
        <v>7708</v>
      </c>
      <c r="I2277" s="6" t="s">
        <v>7929</v>
      </c>
      <c r="J2277" s="6" t="s">
        <v>6428</v>
      </c>
      <c r="K2277" s="5"/>
      <c r="L2277" s="4" t="s">
        <v>51</v>
      </c>
      <c r="M2277" s="8" t="s">
        <v>129</v>
      </c>
      <c r="N2277" s="9" t="s">
        <v>7664</v>
      </c>
      <c r="O2277" s="5"/>
      <c r="P2277" s="5"/>
      <c r="Q2277" s="6" t="s">
        <v>30</v>
      </c>
      <c r="R2277" s="4" t="s">
        <v>31</v>
      </c>
      <c r="S2277" s="7" t="s">
        <v>32</v>
      </c>
      <c r="T2277" s="5"/>
    </row>
    <row r="2278" customFormat="false" ht="29.25" hidden="false" customHeight="true" outlineLevel="0" collapsed="false">
      <c r="A2278" s="4" t="n">
        <v>2277</v>
      </c>
      <c r="B2278" s="6" t="s">
        <v>1787</v>
      </c>
      <c r="C2278" s="6" t="s">
        <v>7659</v>
      </c>
      <c r="D2278" s="6" t="s">
        <v>7660</v>
      </c>
      <c r="E2278" s="7" t="s">
        <v>21</v>
      </c>
      <c r="F2278" s="6" t="s">
        <v>8145</v>
      </c>
      <c r="G2278" s="5" t="s">
        <v>8146</v>
      </c>
      <c r="H2278" s="5" t="s">
        <v>8147</v>
      </c>
      <c r="I2278" s="5" t="s">
        <v>8148</v>
      </c>
      <c r="J2278" s="5" t="s">
        <v>8149</v>
      </c>
      <c r="K2278" s="5"/>
      <c r="L2278" s="4" t="s">
        <v>51</v>
      </c>
      <c r="M2278" s="8" t="s">
        <v>79</v>
      </c>
      <c r="N2278" s="9" t="s">
        <v>7813</v>
      </c>
      <c r="O2278" s="5"/>
      <c r="P2278" s="5"/>
      <c r="Q2278" s="6" t="s">
        <v>30</v>
      </c>
      <c r="R2278" s="4" t="s">
        <v>31</v>
      </c>
      <c r="S2278" s="7" t="s">
        <v>32</v>
      </c>
      <c r="T2278" s="5"/>
    </row>
    <row r="2279" customFormat="false" ht="29.25" hidden="false" customHeight="true" outlineLevel="0" collapsed="false">
      <c r="A2279" s="4" t="n">
        <v>2278</v>
      </c>
      <c r="B2279" s="6" t="s">
        <v>1787</v>
      </c>
      <c r="C2279" s="6" t="s">
        <v>7659</v>
      </c>
      <c r="D2279" s="6" t="s">
        <v>7660</v>
      </c>
      <c r="E2279" s="7" t="s">
        <v>21</v>
      </c>
      <c r="F2279" s="6" t="s">
        <v>8150</v>
      </c>
      <c r="G2279" s="5" t="s">
        <v>8151</v>
      </c>
      <c r="H2279" s="5" t="s">
        <v>7996</v>
      </c>
      <c r="I2279" s="5" t="s">
        <v>8152</v>
      </c>
      <c r="J2279" s="5" t="s">
        <v>8153</v>
      </c>
      <c r="K2279" s="5"/>
      <c r="L2279" s="4" t="s">
        <v>44</v>
      </c>
      <c r="M2279" s="8" t="s">
        <v>129</v>
      </c>
      <c r="N2279" s="9" t="s">
        <v>7668</v>
      </c>
      <c r="O2279" s="5"/>
      <c r="P2279" s="5"/>
      <c r="Q2279" s="6" t="s">
        <v>30</v>
      </c>
      <c r="R2279" s="4" t="s">
        <v>31</v>
      </c>
      <c r="S2279" s="7" t="s">
        <v>32</v>
      </c>
      <c r="T2279" s="5"/>
    </row>
    <row r="2280" customFormat="false" ht="29.25" hidden="false" customHeight="true" outlineLevel="0" collapsed="false">
      <c r="A2280" s="4" t="n">
        <v>2279</v>
      </c>
      <c r="B2280" s="6" t="s">
        <v>1787</v>
      </c>
      <c r="C2280" s="6" t="s">
        <v>7659</v>
      </c>
      <c r="D2280" s="6" t="s">
        <v>7660</v>
      </c>
      <c r="E2280" s="7" t="s">
        <v>21</v>
      </c>
      <c r="F2280" s="6" t="s">
        <v>8154</v>
      </c>
      <c r="G2280" s="5" t="s">
        <v>7995</v>
      </c>
      <c r="H2280" s="5" t="s">
        <v>7996</v>
      </c>
      <c r="I2280" s="5" t="s">
        <v>8155</v>
      </c>
      <c r="J2280" s="5" t="s">
        <v>7997</v>
      </c>
      <c r="K2280" s="5"/>
      <c r="L2280" s="4" t="s">
        <v>27</v>
      </c>
      <c r="M2280" s="8" t="s">
        <v>129</v>
      </c>
      <c r="N2280" s="9" t="s">
        <v>7668</v>
      </c>
      <c r="O2280" s="5"/>
      <c r="P2280" s="5"/>
      <c r="Q2280" s="6" t="s">
        <v>30</v>
      </c>
      <c r="R2280" s="4" t="s">
        <v>31</v>
      </c>
      <c r="S2280" s="7" t="s">
        <v>32</v>
      </c>
      <c r="T2280" s="5"/>
    </row>
    <row r="2281" customFormat="false" ht="29.25" hidden="false" customHeight="true" outlineLevel="0" collapsed="false">
      <c r="A2281" s="4" t="n">
        <v>2280</v>
      </c>
      <c r="B2281" s="6" t="s">
        <v>1787</v>
      </c>
      <c r="C2281" s="6" t="s">
        <v>8156</v>
      </c>
      <c r="D2281" s="6" t="s">
        <v>8157</v>
      </c>
      <c r="E2281" s="7" t="s">
        <v>21</v>
      </c>
      <c r="F2281" s="6" t="s">
        <v>8158</v>
      </c>
      <c r="G2281" s="6" t="s">
        <v>8159</v>
      </c>
      <c r="H2281" s="6" t="s">
        <v>8160</v>
      </c>
      <c r="I2281" s="6" t="s">
        <v>8161</v>
      </c>
      <c r="J2281" s="6" t="s">
        <v>150</v>
      </c>
      <c r="K2281" s="5"/>
      <c r="L2281" s="4" t="s">
        <v>27</v>
      </c>
      <c r="M2281" s="8" t="s">
        <v>79</v>
      </c>
      <c r="N2281" s="9" t="s">
        <v>8162</v>
      </c>
      <c r="O2281" s="5"/>
      <c r="P2281" s="5"/>
      <c r="Q2281" s="6" t="s">
        <v>30</v>
      </c>
      <c r="R2281" s="4" t="s">
        <v>31</v>
      </c>
      <c r="S2281" s="7" t="s">
        <v>32</v>
      </c>
      <c r="T2281" s="5"/>
    </row>
    <row r="2282" customFormat="false" ht="29.25" hidden="false" customHeight="true" outlineLevel="0" collapsed="false">
      <c r="A2282" s="4" t="n">
        <v>2281</v>
      </c>
      <c r="B2282" s="6" t="s">
        <v>1787</v>
      </c>
      <c r="C2282" s="6" t="s">
        <v>8156</v>
      </c>
      <c r="D2282" s="6" t="s">
        <v>8157</v>
      </c>
      <c r="E2282" s="7" t="s">
        <v>21</v>
      </c>
      <c r="F2282" s="6" t="s">
        <v>8163</v>
      </c>
      <c r="G2282" s="6" t="s">
        <v>8164</v>
      </c>
      <c r="H2282" s="6" t="s">
        <v>8165</v>
      </c>
      <c r="I2282" s="6" t="s">
        <v>8166</v>
      </c>
      <c r="J2282" s="6" t="s">
        <v>150</v>
      </c>
      <c r="K2282" s="5"/>
      <c r="L2282" s="4" t="s">
        <v>51</v>
      </c>
      <c r="M2282" s="8" t="s">
        <v>79</v>
      </c>
      <c r="N2282" s="9" t="s">
        <v>8167</v>
      </c>
      <c r="O2282" s="5"/>
      <c r="P2282" s="5"/>
      <c r="Q2282" s="6" t="s">
        <v>30</v>
      </c>
      <c r="R2282" s="4" t="s">
        <v>31</v>
      </c>
      <c r="S2282" s="7" t="s">
        <v>32</v>
      </c>
      <c r="T2282" s="5"/>
    </row>
    <row r="2283" customFormat="false" ht="29.25" hidden="false" customHeight="true" outlineLevel="0" collapsed="false">
      <c r="A2283" s="4" t="n">
        <v>2282</v>
      </c>
      <c r="B2283" s="6" t="s">
        <v>1787</v>
      </c>
      <c r="C2283" s="6" t="s">
        <v>8156</v>
      </c>
      <c r="D2283" s="6" t="s">
        <v>8157</v>
      </c>
      <c r="E2283" s="7" t="s">
        <v>21</v>
      </c>
      <c r="F2283" s="6" t="s">
        <v>8168</v>
      </c>
      <c r="G2283" s="6" t="s">
        <v>8169</v>
      </c>
      <c r="H2283" s="6" t="s">
        <v>8170</v>
      </c>
      <c r="I2283" s="6" t="s">
        <v>8171</v>
      </c>
      <c r="J2283" s="6" t="s">
        <v>78</v>
      </c>
      <c r="K2283" s="5"/>
      <c r="L2283" s="4" t="s">
        <v>44</v>
      </c>
      <c r="M2283" s="8" t="s">
        <v>79</v>
      </c>
      <c r="N2283" s="9" t="s">
        <v>8167</v>
      </c>
      <c r="O2283" s="5"/>
      <c r="P2283" s="5"/>
      <c r="Q2283" s="6" t="s">
        <v>30</v>
      </c>
      <c r="R2283" s="4" t="s">
        <v>31</v>
      </c>
      <c r="S2283" s="7" t="s">
        <v>32</v>
      </c>
      <c r="T2283" s="5"/>
    </row>
    <row r="2284" customFormat="false" ht="29.25" hidden="false" customHeight="true" outlineLevel="0" collapsed="false">
      <c r="A2284" s="4" t="n">
        <v>2283</v>
      </c>
      <c r="B2284" s="6" t="s">
        <v>1787</v>
      </c>
      <c r="C2284" s="6" t="s">
        <v>8156</v>
      </c>
      <c r="D2284" s="6" t="s">
        <v>8157</v>
      </c>
      <c r="E2284" s="7" t="s">
        <v>21</v>
      </c>
      <c r="F2284" s="6" t="s">
        <v>8172</v>
      </c>
      <c r="G2284" s="6" t="s">
        <v>8173</v>
      </c>
      <c r="H2284" s="6" t="s">
        <v>8174</v>
      </c>
      <c r="I2284" s="6" t="s">
        <v>8175</v>
      </c>
      <c r="J2284" s="6" t="s">
        <v>78</v>
      </c>
      <c r="K2284" s="5"/>
      <c r="L2284" s="4" t="s">
        <v>44</v>
      </c>
      <c r="M2284" s="8" t="s">
        <v>79</v>
      </c>
      <c r="N2284" s="9" t="s">
        <v>8167</v>
      </c>
      <c r="O2284" s="5"/>
      <c r="P2284" s="5"/>
      <c r="Q2284" s="6" t="s">
        <v>30</v>
      </c>
      <c r="R2284" s="4" t="s">
        <v>31</v>
      </c>
      <c r="S2284" s="7" t="s">
        <v>32</v>
      </c>
      <c r="T2284" s="5"/>
    </row>
    <row r="2285" customFormat="false" ht="29.25" hidden="false" customHeight="true" outlineLevel="0" collapsed="false">
      <c r="A2285" s="4" t="n">
        <v>2284</v>
      </c>
      <c r="B2285" s="6" t="s">
        <v>1787</v>
      </c>
      <c r="C2285" s="6" t="s">
        <v>8156</v>
      </c>
      <c r="D2285" s="6" t="s">
        <v>8157</v>
      </c>
      <c r="E2285" s="7" t="s">
        <v>21</v>
      </c>
      <c r="F2285" s="6" t="s">
        <v>8172</v>
      </c>
      <c r="G2285" s="6" t="s">
        <v>8176</v>
      </c>
      <c r="H2285" s="6" t="s">
        <v>8177</v>
      </c>
      <c r="I2285" s="6" t="s">
        <v>8173</v>
      </c>
      <c r="J2285" s="6" t="s">
        <v>78</v>
      </c>
      <c r="K2285" s="5"/>
      <c r="L2285" s="4" t="s">
        <v>44</v>
      </c>
      <c r="M2285" s="8" t="s">
        <v>79</v>
      </c>
      <c r="N2285" s="9" t="s">
        <v>8167</v>
      </c>
      <c r="O2285" s="5"/>
      <c r="P2285" s="5"/>
      <c r="Q2285" s="6" t="s">
        <v>30</v>
      </c>
      <c r="R2285" s="4" t="s">
        <v>31</v>
      </c>
      <c r="S2285" s="7" t="s">
        <v>32</v>
      </c>
      <c r="T2285" s="5"/>
    </row>
    <row r="2286" customFormat="false" ht="29.25" hidden="false" customHeight="true" outlineLevel="0" collapsed="false">
      <c r="A2286" s="4" t="n">
        <v>2285</v>
      </c>
      <c r="B2286" s="6" t="s">
        <v>1787</v>
      </c>
      <c r="C2286" s="6" t="s">
        <v>8156</v>
      </c>
      <c r="D2286" s="6" t="s">
        <v>8157</v>
      </c>
      <c r="E2286" s="7" t="s">
        <v>21</v>
      </c>
      <c r="F2286" s="6" t="s">
        <v>8178</v>
      </c>
      <c r="G2286" s="6" t="s">
        <v>8179</v>
      </c>
      <c r="H2286" s="6" t="s">
        <v>8180</v>
      </c>
      <c r="I2286" s="6" t="s">
        <v>8181</v>
      </c>
      <c r="J2286" s="6" t="s">
        <v>78</v>
      </c>
      <c r="K2286" s="5"/>
      <c r="L2286" s="4" t="s">
        <v>44</v>
      </c>
      <c r="M2286" s="8" t="s">
        <v>129</v>
      </c>
      <c r="N2286" s="9" t="s">
        <v>8167</v>
      </c>
      <c r="O2286" s="5"/>
      <c r="P2286" s="5"/>
      <c r="Q2286" s="6" t="s">
        <v>30</v>
      </c>
      <c r="R2286" s="4" t="s">
        <v>31</v>
      </c>
      <c r="S2286" s="7" t="s">
        <v>32</v>
      </c>
      <c r="T2286" s="5"/>
    </row>
    <row r="2287" customFormat="false" ht="29.25" hidden="false" customHeight="true" outlineLevel="0" collapsed="false">
      <c r="A2287" s="4" t="n">
        <v>2286</v>
      </c>
      <c r="B2287" s="6" t="s">
        <v>1787</v>
      </c>
      <c r="C2287" s="6" t="s">
        <v>8156</v>
      </c>
      <c r="D2287" s="6" t="s">
        <v>8157</v>
      </c>
      <c r="E2287" s="7" t="s">
        <v>21</v>
      </c>
      <c r="F2287" s="6" t="s">
        <v>8178</v>
      </c>
      <c r="G2287" s="6" t="s">
        <v>8182</v>
      </c>
      <c r="H2287" s="6" t="s">
        <v>8183</v>
      </c>
      <c r="I2287" s="6" t="s">
        <v>8184</v>
      </c>
      <c r="J2287" s="6" t="s">
        <v>78</v>
      </c>
      <c r="K2287" s="5"/>
      <c r="L2287" s="4" t="s">
        <v>44</v>
      </c>
      <c r="M2287" s="8" t="s">
        <v>129</v>
      </c>
      <c r="N2287" s="9" t="s">
        <v>8167</v>
      </c>
      <c r="O2287" s="5"/>
      <c r="P2287" s="5"/>
      <c r="Q2287" s="6" t="s">
        <v>30</v>
      </c>
      <c r="R2287" s="4" t="s">
        <v>31</v>
      </c>
      <c r="S2287" s="7" t="s">
        <v>32</v>
      </c>
      <c r="T2287" s="5"/>
    </row>
    <row r="2288" customFormat="false" ht="29.25" hidden="false" customHeight="true" outlineLevel="0" collapsed="false">
      <c r="A2288" s="4" t="n">
        <v>2287</v>
      </c>
      <c r="B2288" s="6" t="s">
        <v>1787</v>
      </c>
      <c r="C2288" s="6" t="s">
        <v>8156</v>
      </c>
      <c r="D2288" s="6" t="s">
        <v>8157</v>
      </c>
      <c r="E2288" s="7" t="s">
        <v>21</v>
      </c>
      <c r="F2288" s="6" t="s">
        <v>8185</v>
      </c>
      <c r="G2288" s="6" t="s">
        <v>8179</v>
      </c>
      <c r="H2288" s="6" t="s">
        <v>8180</v>
      </c>
      <c r="I2288" s="6" t="s">
        <v>8181</v>
      </c>
      <c r="J2288" s="6" t="s">
        <v>8184</v>
      </c>
      <c r="K2288" s="5"/>
      <c r="L2288" s="4" t="s">
        <v>51</v>
      </c>
      <c r="M2288" s="8" t="s">
        <v>129</v>
      </c>
      <c r="N2288" s="9" t="s">
        <v>8167</v>
      </c>
      <c r="O2288" s="5"/>
      <c r="P2288" s="5"/>
      <c r="Q2288" s="6" t="s">
        <v>30</v>
      </c>
      <c r="R2288" s="4" t="s">
        <v>31</v>
      </c>
      <c r="S2288" s="7" t="s">
        <v>32</v>
      </c>
      <c r="T2288" s="5"/>
    </row>
    <row r="2289" customFormat="false" ht="29.25" hidden="false" customHeight="true" outlineLevel="0" collapsed="false">
      <c r="A2289" s="4" t="n">
        <v>2288</v>
      </c>
      <c r="B2289" s="6" t="s">
        <v>1787</v>
      </c>
      <c r="C2289" s="6" t="s">
        <v>8156</v>
      </c>
      <c r="D2289" s="6" t="s">
        <v>8157</v>
      </c>
      <c r="E2289" s="7" t="s">
        <v>21</v>
      </c>
      <c r="F2289" s="6" t="s">
        <v>8186</v>
      </c>
      <c r="G2289" s="6" t="s">
        <v>8179</v>
      </c>
      <c r="H2289" s="6" t="s">
        <v>8180</v>
      </c>
      <c r="I2289" s="6" t="s">
        <v>8181</v>
      </c>
      <c r="J2289" s="6" t="s">
        <v>8184</v>
      </c>
      <c r="K2289" s="5"/>
      <c r="L2289" s="4" t="s">
        <v>62</v>
      </c>
      <c r="M2289" s="8" t="s">
        <v>129</v>
      </c>
      <c r="N2289" s="9" t="s">
        <v>8167</v>
      </c>
      <c r="O2289" s="5"/>
      <c r="P2289" s="5"/>
      <c r="Q2289" s="6" t="s">
        <v>30</v>
      </c>
      <c r="R2289" s="4" t="s">
        <v>31</v>
      </c>
      <c r="S2289" s="7" t="s">
        <v>32</v>
      </c>
      <c r="T2289" s="5"/>
    </row>
    <row r="2290" customFormat="false" ht="29.25" hidden="false" customHeight="true" outlineLevel="0" collapsed="false">
      <c r="A2290" s="4" t="n">
        <v>2289</v>
      </c>
      <c r="B2290" s="6" t="s">
        <v>1787</v>
      </c>
      <c r="C2290" s="6" t="s">
        <v>8156</v>
      </c>
      <c r="D2290" s="6" t="s">
        <v>8157</v>
      </c>
      <c r="E2290" s="7" t="s">
        <v>21</v>
      </c>
      <c r="F2290" s="6" t="s">
        <v>8187</v>
      </c>
      <c r="G2290" s="6" t="s">
        <v>8179</v>
      </c>
      <c r="H2290" s="6" t="s">
        <v>8180</v>
      </c>
      <c r="I2290" s="6" t="s">
        <v>8181</v>
      </c>
      <c r="J2290" s="6" t="s">
        <v>8184</v>
      </c>
      <c r="K2290" s="5"/>
      <c r="L2290" s="4" t="s">
        <v>27</v>
      </c>
      <c r="M2290" s="8" t="s">
        <v>129</v>
      </c>
      <c r="N2290" s="9" t="s">
        <v>8167</v>
      </c>
      <c r="O2290" s="5"/>
      <c r="P2290" s="5"/>
      <c r="Q2290" s="6" t="s">
        <v>30</v>
      </c>
      <c r="R2290" s="4" t="s">
        <v>31</v>
      </c>
      <c r="S2290" s="7" t="s">
        <v>32</v>
      </c>
      <c r="T2290" s="5"/>
    </row>
    <row r="2291" customFormat="false" ht="29.25" hidden="false" customHeight="true" outlineLevel="0" collapsed="false">
      <c r="A2291" s="4" t="n">
        <v>2290</v>
      </c>
      <c r="B2291" s="6" t="s">
        <v>1787</v>
      </c>
      <c r="C2291" s="6" t="s">
        <v>8156</v>
      </c>
      <c r="D2291" s="6" t="s">
        <v>8157</v>
      </c>
      <c r="E2291" s="7" t="s">
        <v>21</v>
      </c>
      <c r="F2291" s="6" t="s">
        <v>8188</v>
      </c>
      <c r="G2291" s="6" t="s">
        <v>8182</v>
      </c>
      <c r="H2291" s="6" t="s">
        <v>8183</v>
      </c>
      <c r="I2291" s="6" t="s">
        <v>8184</v>
      </c>
      <c r="J2291" s="6" t="s">
        <v>8180</v>
      </c>
      <c r="K2291" s="5"/>
      <c r="L2291" s="4" t="s">
        <v>62</v>
      </c>
      <c r="M2291" s="8" t="s">
        <v>129</v>
      </c>
      <c r="N2291" s="9" t="s">
        <v>8167</v>
      </c>
      <c r="O2291" s="5"/>
      <c r="P2291" s="5"/>
      <c r="Q2291" s="6" t="s">
        <v>30</v>
      </c>
      <c r="R2291" s="4" t="s">
        <v>31</v>
      </c>
      <c r="S2291" s="7" t="s">
        <v>32</v>
      </c>
      <c r="T2291" s="5"/>
    </row>
    <row r="2292" customFormat="false" ht="29.25" hidden="false" customHeight="true" outlineLevel="0" collapsed="false">
      <c r="A2292" s="4" t="n">
        <v>2291</v>
      </c>
      <c r="B2292" s="6" t="s">
        <v>1787</v>
      </c>
      <c r="C2292" s="6" t="s">
        <v>8156</v>
      </c>
      <c r="D2292" s="6" t="s">
        <v>8157</v>
      </c>
      <c r="E2292" s="7" t="s">
        <v>21</v>
      </c>
      <c r="F2292" s="6" t="s">
        <v>8189</v>
      </c>
      <c r="G2292" s="6" t="s">
        <v>8182</v>
      </c>
      <c r="H2292" s="6" t="s">
        <v>8183</v>
      </c>
      <c r="I2292" s="6" t="s">
        <v>8184</v>
      </c>
      <c r="J2292" s="6" t="s">
        <v>8180</v>
      </c>
      <c r="K2292" s="5"/>
      <c r="L2292" s="4" t="s">
        <v>27</v>
      </c>
      <c r="M2292" s="8" t="s">
        <v>129</v>
      </c>
      <c r="N2292" s="9" t="s">
        <v>8167</v>
      </c>
      <c r="O2292" s="5"/>
      <c r="P2292" s="5"/>
      <c r="Q2292" s="6" t="s">
        <v>30</v>
      </c>
      <c r="R2292" s="4" t="s">
        <v>31</v>
      </c>
      <c r="S2292" s="7" t="s">
        <v>32</v>
      </c>
      <c r="T2292" s="5"/>
    </row>
    <row r="2293" customFormat="false" ht="29.25" hidden="false" customHeight="true" outlineLevel="0" collapsed="false">
      <c r="A2293" s="4" t="n">
        <v>2292</v>
      </c>
      <c r="B2293" s="6" t="s">
        <v>1787</v>
      </c>
      <c r="C2293" s="6" t="s">
        <v>8156</v>
      </c>
      <c r="D2293" s="6" t="s">
        <v>8157</v>
      </c>
      <c r="E2293" s="7" t="s">
        <v>21</v>
      </c>
      <c r="F2293" s="6" t="s">
        <v>8190</v>
      </c>
      <c r="G2293" s="6" t="s">
        <v>8182</v>
      </c>
      <c r="H2293" s="6" t="s">
        <v>8183</v>
      </c>
      <c r="I2293" s="6" t="s">
        <v>8184</v>
      </c>
      <c r="J2293" s="6" t="s">
        <v>8179</v>
      </c>
      <c r="K2293" s="5"/>
      <c r="L2293" s="4" t="s">
        <v>51</v>
      </c>
      <c r="M2293" s="8" t="s">
        <v>79</v>
      </c>
      <c r="N2293" s="9" t="s">
        <v>8167</v>
      </c>
      <c r="O2293" s="5"/>
      <c r="P2293" s="5"/>
      <c r="Q2293" s="6" t="s">
        <v>30</v>
      </c>
      <c r="R2293" s="4" t="s">
        <v>31</v>
      </c>
      <c r="S2293" s="7" t="s">
        <v>32</v>
      </c>
      <c r="T2293" s="5"/>
    </row>
    <row r="2294" customFormat="false" ht="29.25" hidden="false" customHeight="true" outlineLevel="0" collapsed="false">
      <c r="A2294" s="4" t="n">
        <v>2293</v>
      </c>
      <c r="B2294" s="6" t="s">
        <v>1787</v>
      </c>
      <c r="C2294" s="6" t="s">
        <v>8156</v>
      </c>
      <c r="D2294" s="6" t="s">
        <v>8157</v>
      </c>
      <c r="E2294" s="7" t="s">
        <v>21</v>
      </c>
      <c r="F2294" s="6" t="s">
        <v>8191</v>
      </c>
      <c r="G2294" s="6" t="s">
        <v>8192</v>
      </c>
      <c r="H2294" s="6" t="s">
        <v>8193</v>
      </c>
      <c r="I2294" s="6" t="s">
        <v>8194</v>
      </c>
      <c r="J2294" s="6" t="s">
        <v>78</v>
      </c>
      <c r="K2294" s="5"/>
      <c r="L2294" s="4" t="s">
        <v>44</v>
      </c>
      <c r="M2294" s="8" t="s">
        <v>129</v>
      </c>
      <c r="N2294" s="9" t="s">
        <v>8167</v>
      </c>
      <c r="O2294" s="5"/>
      <c r="P2294" s="5"/>
      <c r="Q2294" s="6" t="s">
        <v>30</v>
      </c>
      <c r="R2294" s="4" t="s">
        <v>31</v>
      </c>
      <c r="S2294" s="7" t="s">
        <v>32</v>
      </c>
      <c r="T2294" s="5"/>
    </row>
    <row r="2295" customFormat="false" ht="29.25" hidden="false" customHeight="true" outlineLevel="0" collapsed="false">
      <c r="A2295" s="4" t="n">
        <v>2294</v>
      </c>
      <c r="B2295" s="6" t="s">
        <v>1787</v>
      </c>
      <c r="C2295" s="6" t="s">
        <v>8156</v>
      </c>
      <c r="D2295" s="6" t="s">
        <v>8157</v>
      </c>
      <c r="E2295" s="7" t="s">
        <v>21</v>
      </c>
      <c r="F2295" s="6" t="s">
        <v>8195</v>
      </c>
      <c r="G2295" s="6" t="s">
        <v>8196</v>
      </c>
      <c r="H2295" s="6" t="s">
        <v>8197</v>
      </c>
      <c r="I2295" s="6" t="s">
        <v>8198</v>
      </c>
      <c r="J2295" s="6" t="s">
        <v>8199</v>
      </c>
      <c r="K2295" s="5"/>
      <c r="L2295" s="4" t="s">
        <v>27</v>
      </c>
      <c r="M2295" s="8" t="s">
        <v>129</v>
      </c>
      <c r="N2295" s="9" t="s">
        <v>8167</v>
      </c>
      <c r="O2295" s="5"/>
      <c r="P2295" s="5"/>
      <c r="Q2295" s="6" t="s">
        <v>30</v>
      </c>
      <c r="R2295" s="4" t="s">
        <v>31</v>
      </c>
      <c r="S2295" s="7" t="s">
        <v>32</v>
      </c>
      <c r="T2295" s="5"/>
    </row>
    <row r="2296" customFormat="false" ht="29.25" hidden="false" customHeight="true" outlineLevel="0" collapsed="false">
      <c r="A2296" s="4" t="n">
        <v>2295</v>
      </c>
      <c r="B2296" s="6" t="s">
        <v>1787</v>
      </c>
      <c r="C2296" s="6" t="s">
        <v>8156</v>
      </c>
      <c r="D2296" s="6" t="s">
        <v>8157</v>
      </c>
      <c r="E2296" s="7" t="s">
        <v>21</v>
      </c>
      <c r="F2296" s="6" t="s">
        <v>8200</v>
      </c>
      <c r="G2296" s="5" t="s">
        <v>8201</v>
      </c>
      <c r="H2296" s="5" t="s">
        <v>8202</v>
      </c>
      <c r="I2296" s="5" t="s">
        <v>8203</v>
      </c>
      <c r="J2296" s="5" t="s">
        <v>8204</v>
      </c>
      <c r="K2296" s="5"/>
      <c r="L2296" s="4" t="s">
        <v>51</v>
      </c>
      <c r="M2296" s="8" t="s">
        <v>79</v>
      </c>
      <c r="N2296" s="9" t="s">
        <v>8167</v>
      </c>
      <c r="O2296" s="5"/>
      <c r="P2296" s="5"/>
      <c r="Q2296" s="6" t="s">
        <v>30</v>
      </c>
      <c r="R2296" s="4" t="s">
        <v>31</v>
      </c>
      <c r="S2296" s="7" t="s">
        <v>32</v>
      </c>
      <c r="T2296" s="5"/>
    </row>
    <row r="2297" customFormat="false" ht="29.25" hidden="false" customHeight="true" outlineLevel="0" collapsed="false">
      <c r="A2297" s="4" t="n">
        <v>2296</v>
      </c>
      <c r="B2297" s="6" t="s">
        <v>1787</v>
      </c>
      <c r="C2297" s="6" t="s">
        <v>8156</v>
      </c>
      <c r="D2297" s="6" t="s">
        <v>8157</v>
      </c>
      <c r="E2297" s="7" t="s">
        <v>21</v>
      </c>
      <c r="F2297" s="6" t="s">
        <v>8205</v>
      </c>
      <c r="G2297" s="5" t="s">
        <v>8206</v>
      </c>
      <c r="H2297" s="5" t="s">
        <v>8207</v>
      </c>
      <c r="I2297" s="5" t="s">
        <v>8208</v>
      </c>
      <c r="J2297" s="5" t="s">
        <v>8209</v>
      </c>
      <c r="K2297" s="5"/>
      <c r="L2297" s="4" t="s">
        <v>62</v>
      </c>
      <c r="M2297" s="8" t="s">
        <v>79</v>
      </c>
      <c r="N2297" s="9" t="s">
        <v>8167</v>
      </c>
      <c r="O2297" s="5"/>
      <c r="P2297" s="5"/>
      <c r="Q2297" s="6" t="s">
        <v>30</v>
      </c>
      <c r="R2297" s="4" t="s">
        <v>31</v>
      </c>
      <c r="S2297" s="7" t="s">
        <v>32</v>
      </c>
      <c r="T2297" s="5"/>
    </row>
    <row r="2298" customFormat="false" ht="29.25" hidden="false" customHeight="true" outlineLevel="0" collapsed="false">
      <c r="A2298" s="4" t="n">
        <v>2297</v>
      </c>
      <c r="B2298" s="6" t="s">
        <v>1787</v>
      </c>
      <c r="C2298" s="6" t="s">
        <v>8156</v>
      </c>
      <c r="D2298" s="6" t="s">
        <v>8157</v>
      </c>
      <c r="E2298" s="7" t="s">
        <v>21</v>
      </c>
      <c r="F2298" s="6" t="s">
        <v>8210</v>
      </c>
      <c r="G2298" s="5" t="s">
        <v>8211</v>
      </c>
      <c r="H2298" s="5" t="s">
        <v>8212</v>
      </c>
      <c r="I2298" s="5" t="s">
        <v>8213</v>
      </c>
      <c r="J2298" s="5" t="s">
        <v>8214</v>
      </c>
      <c r="K2298" s="5"/>
      <c r="L2298" s="4" t="s">
        <v>44</v>
      </c>
      <c r="M2298" s="8" t="s">
        <v>79</v>
      </c>
      <c r="N2298" s="9" t="s">
        <v>8167</v>
      </c>
      <c r="O2298" s="5"/>
      <c r="P2298" s="5"/>
      <c r="Q2298" s="6" t="s">
        <v>30</v>
      </c>
      <c r="R2298" s="4" t="s">
        <v>31</v>
      </c>
      <c r="S2298" s="7" t="s">
        <v>32</v>
      </c>
      <c r="T2298" s="5"/>
    </row>
    <row r="2299" customFormat="false" ht="29.25" hidden="false" customHeight="true" outlineLevel="0" collapsed="false">
      <c r="A2299" s="4" t="n">
        <v>2298</v>
      </c>
      <c r="B2299" s="6" t="s">
        <v>1787</v>
      </c>
      <c r="C2299" s="6" t="s">
        <v>8156</v>
      </c>
      <c r="D2299" s="6" t="s">
        <v>8157</v>
      </c>
      <c r="E2299" s="7" t="s">
        <v>21</v>
      </c>
      <c r="F2299" s="6" t="s">
        <v>8215</v>
      </c>
      <c r="G2299" s="6" t="s">
        <v>8216</v>
      </c>
      <c r="H2299" s="6" t="s">
        <v>8217</v>
      </c>
      <c r="I2299" s="6" t="s">
        <v>8218</v>
      </c>
      <c r="J2299" s="6" t="s">
        <v>150</v>
      </c>
      <c r="K2299" s="5"/>
      <c r="L2299" s="4" t="s">
        <v>51</v>
      </c>
      <c r="M2299" s="8" t="s">
        <v>79</v>
      </c>
      <c r="N2299" s="9" t="s">
        <v>8167</v>
      </c>
      <c r="O2299" s="5"/>
      <c r="P2299" s="5"/>
      <c r="Q2299" s="6" t="s">
        <v>30</v>
      </c>
      <c r="R2299" s="4" t="s">
        <v>31</v>
      </c>
      <c r="S2299" s="7" t="s">
        <v>32</v>
      </c>
      <c r="T2299" s="5"/>
    </row>
    <row r="2300" customFormat="false" ht="29.25" hidden="false" customHeight="true" outlineLevel="0" collapsed="false">
      <c r="A2300" s="4" t="n">
        <v>2299</v>
      </c>
      <c r="B2300" s="6" t="s">
        <v>1787</v>
      </c>
      <c r="C2300" s="6" t="s">
        <v>8156</v>
      </c>
      <c r="D2300" s="6" t="s">
        <v>8157</v>
      </c>
      <c r="E2300" s="7" t="s">
        <v>21</v>
      </c>
      <c r="F2300" s="6" t="s">
        <v>8219</v>
      </c>
      <c r="G2300" s="5" t="s">
        <v>5791</v>
      </c>
      <c r="H2300" s="5" t="s">
        <v>6046</v>
      </c>
      <c r="I2300" s="5" t="s">
        <v>6044</v>
      </c>
      <c r="J2300" s="5" t="s">
        <v>6042</v>
      </c>
      <c r="K2300" s="5"/>
      <c r="L2300" s="4" t="s">
        <v>62</v>
      </c>
      <c r="M2300" s="8" t="s">
        <v>79</v>
      </c>
      <c r="N2300" s="9" t="s">
        <v>8167</v>
      </c>
      <c r="O2300" s="5"/>
      <c r="P2300" s="5"/>
      <c r="Q2300" s="6" t="s">
        <v>30</v>
      </c>
      <c r="R2300" s="4" t="s">
        <v>31</v>
      </c>
      <c r="S2300" s="7" t="s">
        <v>32</v>
      </c>
      <c r="T2300" s="5"/>
    </row>
    <row r="2301" customFormat="false" ht="29.25" hidden="false" customHeight="true" outlineLevel="0" collapsed="false">
      <c r="A2301" s="4" t="n">
        <v>2300</v>
      </c>
      <c r="B2301" s="6" t="s">
        <v>1787</v>
      </c>
      <c r="C2301" s="6" t="s">
        <v>8156</v>
      </c>
      <c r="D2301" s="6" t="s">
        <v>8157</v>
      </c>
      <c r="E2301" s="7" t="s">
        <v>21</v>
      </c>
      <c r="F2301" s="6" t="s">
        <v>8220</v>
      </c>
      <c r="G2301" s="6" t="s">
        <v>8221</v>
      </c>
      <c r="H2301" s="6" t="s">
        <v>8222</v>
      </c>
      <c r="I2301" s="6" t="s">
        <v>8223</v>
      </c>
      <c r="J2301" s="6" t="s">
        <v>78</v>
      </c>
      <c r="K2301" s="5"/>
      <c r="L2301" s="4" t="s">
        <v>44</v>
      </c>
      <c r="M2301" s="8" t="s">
        <v>28</v>
      </c>
      <c r="N2301" s="9" t="s">
        <v>8167</v>
      </c>
      <c r="O2301" s="5"/>
      <c r="P2301" s="5"/>
      <c r="Q2301" s="6" t="s">
        <v>30</v>
      </c>
      <c r="R2301" s="4" t="s">
        <v>31</v>
      </c>
      <c r="S2301" s="7" t="s">
        <v>32</v>
      </c>
      <c r="T2301" s="5"/>
    </row>
    <row r="2302" customFormat="false" ht="29.25" hidden="false" customHeight="true" outlineLevel="0" collapsed="false">
      <c r="A2302" s="4" t="n">
        <v>2301</v>
      </c>
      <c r="B2302" s="6" t="s">
        <v>1787</v>
      </c>
      <c r="C2302" s="6" t="s">
        <v>8156</v>
      </c>
      <c r="D2302" s="6" t="s">
        <v>8157</v>
      </c>
      <c r="E2302" s="7" t="s">
        <v>21</v>
      </c>
      <c r="F2302" s="6" t="s">
        <v>8224</v>
      </c>
      <c r="G2302" s="6" t="s">
        <v>8225</v>
      </c>
      <c r="H2302" s="6" t="s">
        <v>8226</v>
      </c>
      <c r="I2302" s="6" t="s">
        <v>8227</v>
      </c>
      <c r="J2302" s="6" t="s">
        <v>150</v>
      </c>
      <c r="K2302" s="5"/>
      <c r="L2302" s="4" t="s">
        <v>27</v>
      </c>
      <c r="M2302" s="8" t="s">
        <v>79</v>
      </c>
      <c r="N2302" s="9" t="s">
        <v>8167</v>
      </c>
      <c r="O2302" s="5"/>
      <c r="P2302" s="5"/>
      <c r="Q2302" s="6" t="s">
        <v>30</v>
      </c>
      <c r="R2302" s="4" t="s">
        <v>31</v>
      </c>
      <c r="S2302" s="7" t="s">
        <v>32</v>
      </c>
      <c r="T2302" s="5"/>
    </row>
    <row r="2303" customFormat="false" ht="29.25" hidden="false" customHeight="true" outlineLevel="0" collapsed="false">
      <c r="A2303" s="4" t="n">
        <v>2302</v>
      </c>
      <c r="B2303" s="6" t="s">
        <v>1787</v>
      </c>
      <c r="C2303" s="6" t="s">
        <v>8156</v>
      </c>
      <c r="D2303" s="6" t="s">
        <v>8157</v>
      </c>
      <c r="E2303" s="7" t="s">
        <v>21</v>
      </c>
      <c r="F2303" s="6" t="s">
        <v>8228</v>
      </c>
      <c r="G2303" s="5" t="s">
        <v>701</v>
      </c>
      <c r="H2303" s="5" t="s">
        <v>703</v>
      </c>
      <c r="I2303" s="5" t="s">
        <v>8229</v>
      </c>
      <c r="J2303" s="5" t="s">
        <v>8230</v>
      </c>
      <c r="K2303" s="5"/>
      <c r="L2303" s="4" t="s">
        <v>44</v>
      </c>
      <c r="M2303" s="8" t="s">
        <v>79</v>
      </c>
      <c r="N2303" s="9" t="s">
        <v>8167</v>
      </c>
      <c r="O2303" s="5"/>
      <c r="P2303" s="5"/>
      <c r="Q2303" s="6" t="s">
        <v>30</v>
      </c>
      <c r="R2303" s="4" t="s">
        <v>31</v>
      </c>
      <c r="S2303" s="7" t="s">
        <v>32</v>
      </c>
      <c r="T2303" s="5"/>
    </row>
    <row r="2304" customFormat="false" ht="29.25" hidden="false" customHeight="true" outlineLevel="0" collapsed="false">
      <c r="A2304" s="4" t="n">
        <v>2303</v>
      </c>
      <c r="B2304" s="6" t="s">
        <v>1787</v>
      </c>
      <c r="C2304" s="6" t="s">
        <v>8156</v>
      </c>
      <c r="D2304" s="6" t="s">
        <v>8157</v>
      </c>
      <c r="E2304" s="7" t="s">
        <v>21</v>
      </c>
      <c r="F2304" s="6" t="s">
        <v>8231</v>
      </c>
      <c r="G2304" s="6" t="s">
        <v>8232</v>
      </c>
      <c r="H2304" s="6" t="s">
        <v>8233</v>
      </c>
      <c r="I2304" s="6" t="s">
        <v>8234</v>
      </c>
      <c r="J2304" s="6" t="s">
        <v>78</v>
      </c>
      <c r="K2304" s="5"/>
      <c r="L2304" s="4" t="s">
        <v>44</v>
      </c>
      <c r="M2304" s="8" t="s">
        <v>79</v>
      </c>
      <c r="N2304" s="9" t="s">
        <v>8167</v>
      </c>
      <c r="O2304" s="5"/>
      <c r="P2304" s="5"/>
      <c r="Q2304" s="6" t="s">
        <v>30</v>
      </c>
      <c r="R2304" s="4" t="s">
        <v>31</v>
      </c>
      <c r="S2304" s="7" t="s">
        <v>32</v>
      </c>
      <c r="T2304" s="5"/>
    </row>
    <row r="2305" customFormat="false" ht="29.25" hidden="false" customHeight="true" outlineLevel="0" collapsed="false">
      <c r="A2305" s="4" t="n">
        <v>2304</v>
      </c>
      <c r="B2305" s="6" t="s">
        <v>1787</v>
      </c>
      <c r="C2305" s="6" t="s">
        <v>8156</v>
      </c>
      <c r="D2305" s="6" t="s">
        <v>8157</v>
      </c>
      <c r="E2305" s="7" t="s">
        <v>21</v>
      </c>
      <c r="F2305" s="6" t="s">
        <v>8235</v>
      </c>
      <c r="G2305" s="6" t="s">
        <v>8236</v>
      </c>
      <c r="H2305" s="6" t="s">
        <v>8237</v>
      </c>
      <c r="I2305" s="6" t="s">
        <v>8238</v>
      </c>
      <c r="J2305" s="6" t="s">
        <v>78</v>
      </c>
      <c r="K2305" s="5"/>
      <c r="L2305" s="4" t="s">
        <v>44</v>
      </c>
      <c r="M2305" s="8" t="s">
        <v>79</v>
      </c>
      <c r="N2305" s="9" t="s">
        <v>8167</v>
      </c>
      <c r="O2305" s="5"/>
      <c r="P2305" s="5"/>
      <c r="Q2305" s="6" t="s">
        <v>30</v>
      </c>
      <c r="R2305" s="4" t="s">
        <v>31</v>
      </c>
      <c r="S2305" s="7" t="s">
        <v>32</v>
      </c>
      <c r="T2305" s="5"/>
    </row>
    <row r="2306" customFormat="false" ht="29.25" hidden="false" customHeight="true" outlineLevel="0" collapsed="false">
      <c r="A2306" s="4" t="n">
        <v>2305</v>
      </c>
      <c r="B2306" s="6" t="s">
        <v>1787</v>
      </c>
      <c r="C2306" s="6" t="s">
        <v>8156</v>
      </c>
      <c r="D2306" s="6" t="s">
        <v>8157</v>
      </c>
      <c r="E2306" s="7" t="s">
        <v>21</v>
      </c>
      <c r="F2306" s="6" t="s">
        <v>8239</v>
      </c>
      <c r="G2306" s="6" t="s">
        <v>8240</v>
      </c>
      <c r="H2306" s="6" t="s">
        <v>8241</v>
      </c>
      <c r="I2306" s="6" t="s">
        <v>8242</v>
      </c>
      <c r="J2306" s="6" t="s">
        <v>78</v>
      </c>
      <c r="K2306" s="5"/>
      <c r="L2306" s="4" t="s">
        <v>44</v>
      </c>
      <c r="M2306" s="8" t="s">
        <v>79</v>
      </c>
      <c r="N2306" s="9" t="s">
        <v>8167</v>
      </c>
      <c r="O2306" s="5"/>
      <c r="P2306" s="5"/>
      <c r="Q2306" s="6" t="s">
        <v>30</v>
      </c>
      <c r="R2306" s="4" t="s">
        <v>31</v>
      </c>
      <c r="S2306" s="7" t="s">
        <v>32</v>
      </c>
      <c r="T2306" s="5"/>
    </row>
    <row r="2307" customFormat="false" ht="57.75" hidden="false" customHeight="true" outlineLevel="0" collapsed="false">
      <c r="A2307" s="4" t="n">
        <v>2306</v>
      </c>
      <c r="B2307" s="6" t="s">
        <v>1787</v>
      </c>
      <c r="C2307" s="6" t="s">
        <v>8156</v>
      </c>
      <c r="D2307" s="6" t="s">
        <v>8157</v>
      </c>
      <c r="E2307" s="7" t="s">
        <v>21</v>
      </c>
      <c r="F2307" s="6" t="s">
        <v>8243</v>
      </c>
      <c r="G2307" s="6" t="s">
        <v>8244</v>
      </c>
      <c r="H2307" s="6" t="s">
        <v>8245</v>
      </c>
      <c r="I2307" s="6" t="s">
        <v>8246</v>
      </c>
      <c r="J2307" s="6" t="s">
        <v>78</v>
      </c>
      <c r="K2307" s="5"/>
      <c r="L2307" s="4" t="s">
        <v>44</v>
      </c>
      <c r="M2307" s="8" t="s">
        <v>28</v>
      </c>
      <c r="N2307" s="9" t="s">
        <v>8167</v>
      </c>
      <c r="O2307" s="5"/>
      <c r="P2307" s="5"/>
      <c r="Q2307" s="6" t="s">
        <v>30</v>
      </c>
      <c r="R2307" s="4" t="s">
        <v>31</v>
      </c>
      <c r="S2307" s="7" t="s">
        <v>32</v>
      </c>
      <c r="T2307" s="5"/>
    </row>
    <row r="2308" customFormat="false" ht="29.25" hidden="false" customHeight="true" outlineLevel="0" collapsed="false">
      <c r="A2308" s="4" t="n">
        <v>2307</v>
      </c>
      <c r="B2308" s="6" t="s">
        <v>1787</v>
      </c>
      <c r="C2308" s="6" t="s">
        <v>8156</v>
      </c>
      <c r="D2308" s="6" t="s">
        <v>8157</v>
      </c>
      <c r="E2308" s="7" t="s">
        <v>21</v>
      </c>
      <c r="F2308" s="6" t="s">
        <v>8247</v>
      </c>
      <c r="G2308" s="6" t="s">
        <v>8225</v>
      </c>
      <c r="H2308" s="6" t="s">
        <v>8248</v>
      </c>
      <c r="I2308" s="6" t="s">
        <v>8227</v>
      </c>
      <c r="J2308" s="6" t="s">
        <v>8226</v>
      </c>
      <c r="K2308" s="5"/>
      <c r="L2308" s="4" t="s">
        <v>62</v>
      </c>
      <c r="M2308" s="8" t="s">
        <v>79</v>
      </c>
      <c r="N2308" s="9" t="s">
        <v>8167</v>
      </c>
      <c r="O2308" s="5"/>
      <c r="P2308" s="5"/>
      <c r="Q2308" s="6" t="s">
        <v>30</v>
      </c>
      <c r="R2308" s="4" t="s">
        <v>31</v>
      </c>
      <c r="S2308" s="7" t="s">
        <v>32</v>
      </c>
      <c r="T2308" s="5"/>
    </row>
    <row r="2309" customFormat="false" ht="43.5" hidden="false" customHeight="true" outlineLevel="0" collapsed="false">
      <c r="A2309" s="4" t="n">
        <v>2308</v>
      </c>
      <c r="B2309" s="6" t="s">
        <v>1787</v>
      </c>
      <c r="C2309" s="6" t="s">
        <v>8156</v>
      </c>
      <c r="D2309" s="6" t="s">
        <v>8157</v>
      </c>
      <c r="E2309" s="7" t="s">
        <v>21</v>
      </c>
      <c r="F2309" s="6" t="s">
        <v>8249</v>
      </c>
      <c r="G2309" s="6" t="s">
        <v>8250</v>
      </c>
      <c r="H2309" s="6" t="s">
        <v>8251</v>
      </c>
      <c r="I2309" s="6" t="s">
        <v>8252</v>
      </c>
      <c r="J2309" s="6" t="s">
        <v>8253</v>
      </c>
      <c r="K2309" s="5"/>
      <c r="L2309" s="4" t="s">
        <v>51</v>
      </c>
      <c r="M2309" s="8" t="s">
        <v>79</v>
      </c>
      <c r="N2309" s="9" t="s">
        <v>8167</v>
      </c>
      <c r="O2309" s="5"/>
      <c r="P2309" s="5"/>
      <c r="Q2309" s="6" t="s">
        <v>30</v>
      </c>
      <c r="R2309" s="4" t="s">
        <v>31</v>
      </c>
      <c r="S2309" s="7" t="s">
        <v>32</v>
      </c>
      <c r="T2309" s="5"/>
    </row>
    <row r="2310" customFormat="false" ht="43.5" hidden="false" customHeight="true" outlineLevel="0" collapsed="false">
      <c r="A2310" s="4" t="n">
        <v>2309</v>
      </c>
      <c r="B2310" s="6" t="s">
        <v>1787</v>
      </c>
      <c r="C2310" s="6" t="s">
        <v>8156</v>
      </c>
      <c r="D2310" s="6" t="s">
        <v>8157</v>
      </c>
      <c r="E2310" s="7" t="s">
        <v>21</v>
      </c>
      <c r="F2310" s="6" t="s">
        <v>8254</v>
      </c>
      <c r="G2310" s="6" t="s">
        <v>2456</v>
      </c>
      <c r="H2310" s="6" t="s">
        <v>8255</v>
      </c>
      <c r="I2310" s="6" t="s">
        <v>8256</v>
      </c>
      <c r="J2310" s="6" t="s">
        <v>78</v>
      </c>
      <c r="K2310" s="5"/>
      <c r="L2310" s="4" t="s">
        <v>44</v>
      </c>
      <c r="M2310" s="8" t="s">
        <v>28</v>
      </c>
      <c r="N2310" s="9" t="s">
        <v>8167</v>
      </c>
      <c r="O2310" s="5"/>
      <c r="P2310" s="5"/>
      <c r="Q2310" s="6" t="s">
        <v>30</v>
      </c>
      <c r="R2310" s="4" t="s">
        <v>31</v>
      </c>
      <c r="S2310" s="7" t="s">
        <v>32</v>
      </c>
      <c r="T2310" s="5"/>
    </row>
    <row r="2311" customFormat="false" ht="29.25" hidden="false" customHeight="true" outlineLevel="0" collapsed="false">
      <c r="A2311" s="4" t="n">
        <v>2310</v>
      </c>
      <c r="B2311" s="6" t="s">
        <v>1787</v>
      </c>
      <c r="C2311" s="6" t="s">
        <v>8156</v>
      </c>
      <c r="D2311" s="6" t="s">
        <v>8157</v>
      </c>
      <c r="E2311" s="7" t="s">
        <v>21</v>
      </c>
      <c r="F2311" s="6" t="s">
        <v>8257</v>
      </c>
      <c r="G2311" s="6" t="s">
        <v>8258</v>
      </c>
      <c r="H2311" s="6" t="s">
        <v>8259</v>
      </c>
      <c r="I2311" s="6" t="s">
        <v>8260</v>
      </c>
      <c r="J2311" s="6" t="s">
        <v>150</v>
      </c>
      <c r="K2311" s="5"/>
      <c r="L2311" s="4" t="s">
        <v>62</v>
      </c>
      <c r="M2311" s="8" t="s">
        <v>79</v>
      </c>
      <c r="N2311" s="9" t="s">
        <v>8167</v>
      </c>
      <c r="O2311" s="5"/>
      <c r="P2311" s="5"/>
      <c r="Q2311" s="6" t="s">
        <v>30</v>
      </c>
      <c r="R2311" s="4" t="s">
        <v>31</v>
      </c>
      <c r="S2311" s="7" t="s">
        <v>32</v>
      </c>
      <c r="T2311" s="5"/>
    </row>
    <row r="2312" customFormat="false" ht="29.25" hidden="false" customHeight="true" outlineLevel="0" collapsed="false">
      <c r="A2312" s="4" t="n">
        <v>2311</v>
      </c>
      <c r="B2312" s="6" t="s">
        <v>1787</v>
      </c>
      <c r="C2312" s="6" t="s">
        <v>8156</v>
      </c>
      <c r="D2312" s="6" t="s">
        <v>8157</v>
      </c>
      <c r="E2312" s="7" t="s">
        <v>21</v>
      </c>
      <c r="F2312" s="6" t="s">
        <v>8261</v>
      </c>
      <c r="G2312" s="6" t="s">
        <v>8258</v>
      </c>
      <c r="H2312" s="6" t="s">
        <v>8259</v>
      </c>
      <c r="I2312" s="6" t="s">
        <v>8262</v>
      </c>
      <c r="J2312" s="6" t="s">
        <v>150</v>
      </c>
      <c r="K2312" s="5"/>
      <c r="L2312" s="4" t="s">
        <v>51</v>
      </c>
      <c r="M2312" s="8" t="s">
        <v>79</v>
      </c>
      <c r="N2312" s="9" t="s">
        <v>8167</v>
      </c>
      <c r="O2312" s="5"/>
      <c r="P2312" s="5"/>
      <c r="Q2312" s="6" t="s">
        <v>30</v>
      </c>
      <c r="R2312" s="4" t="s">
        <v>31</v>
      </c>
      <c r="S2312" s="7" t="s">
        <v>32</v>
      </c>
      <c r="T2312" s="5"/>
    </row>
    <row r="2313" customFormat="false" ht="29.25" hidden="false" customHeight="true" outlineLevel="0" collapsed="false">
      <c r="A2313" s="4" t="n">
        <v>2312</v>
      </c>
      <c r="B2313" s="6" t="s">
        <v>1787</v>
      </c>
      <c r="C2313" s="6" t="s">
        <v>8156</v>
      </c>
      <c r="D2313" s="6" t="s">
        <v>8157</v>
      </c>
      <c r="E2313" s="7" t="s">
        <v>21</v>
      </c>
      <c r="F2313" s="6" t="s">
        <v>8263</v>
      </c>
      <c r="G2313" s="6" t="s">
        <v>8264</v>
      </c>
      <c r="H2313" s="6" t="s">
        <v>8265</v>
      </c>
      <c r="I2313" s="6" t="s">
        <v>8266</v>
      </c>
      <c r="J2313" s="6" t="s">
        <v>8267</v>
      </c>
      <c r="K2313" s="5"/>
      <c r="L2313" s="4" t="s">
        <v>51</v>
      </c>
      <c r="M2313" s="8" t="s">
        <v>129</v>
      </c>
      <c r="N2313" s="9" t="s">
        <v>8167</v>
      </c>
      <c r="O2313" s="5"/>
      <c r="P2313" s="5"/>
      <c r="Q2313" s="6" t="s">
        <v>30</v>
      </c>
      <c r="R2313" s="4" t="s">
        <v>31</v>
      </c>
      <c r="S2313" s="7" t="s">
        <v>32</v>
      </c>
      <c r="T2313" s="5"/>
    </row>
    <row r="2314" customFormat="false" ht="29.25" hidden="false" customHeight="true" outlineLevel="0" collapsed="false">
      <c r="A2314" s="4" t="n">
        <v>2313</v>
      </c>
      <c r="B2314" s="6" t="s">
        <v>1787</v>
      </c>
      <c r="C2314" s="6" t="s">
        <v>8156</v>
      </c>
      <c r="D2314" s="6" t="s">
        <v>8157</v>
      </c>
      <c r="E2314" s="7" t="s">
        <v>21</v>
      </c>
      <c r="F2314" s="6" t="s">
        <v>8263</v>
      </c>
      <c r="G2314" s="6" t="s">
        <v>8266</v>
      </c>
      <c r="H2314" s="6" t="s">
        <v>8265</v>
      </c>
      <c r="I2314" s="6" t="s">
        <v>8268</v>
      </c>
      <c r="J2314" s="6" t="s">
        <v>8267</v>
      </c>
      <c r="K2314" s="5"/>
      <c r="L2314" s="4" t="s">
        <v>27</v>
      </c>
      <c r="M2314" s="8" t="s">
        <v>129</v>
      </c>
      <c r="N2314" s="9" t="s">
        <v>8167</v>
      </c>
      <c r="O2314" s="5"/>
      <c r="P2314" s="5"/>
      <c r="Q2314" s="6" t="s">
        <v>30</v>
      </c>
      <c r="R2314" s="4" t="s">
        <v>31</v>
      </c>
      <c r="S2314" s="7" t="s">
        <v>32</v>
      </c>
      <c r="T2314" s="5"/>
    </row>
    <row r="2315" customFormat="false" ht="29.25" hidden="false" customHeight="true" outlineLevel="0" collapsed="false">
      <c r="A2315" s="4" t="n">
        <v>2314</v>
      </c>
      <c r="B2315" s="6" t="s">
        <v>1787</v>
      </c>
      <c r="C2315" s="6" t="s">
        <v>8156</v>
      </c>
      <c r="D2315" s="6" t="s">
        <v>8157</v>
      </c>
      <c r="E2315" s="7" t="s">
        <v>21</v>
      </c>
      <c r="F2315" s="6" t="s">
        <v>8269</v>
      </c>
      <c r="G2315" s="6" t="s">
        <v>8266</v>
      </c>
      <c r="H2315" s="6" t="s">
        <v>8270</v>
      </c>
      <c r="I2315" s="6" t="s">
        <v>8267</v>
      </c>
      <c r="J2315" s="6" t="s">
        <v>8265</v>
      </c>
      <c r="K2315" s="5"/>
      <c r="L2315" s="4" t="s">
        <v>62</v>
      </c>
      <c r="M2315" s="8" t="s">
        <v>129</v>
      </c>
      <c r="N2315" s="9" t="s">
        <v>8167</v>
      </c>
      <c r="O2315" s="5"/>
      <c r="P2315" s="5"/>
      <c r="Q2315" s="6" t="s">
        <v>30</v>
      </c>
      <c r="R2315" s="4" t="s">
        <v>31</v>
      </c>
      <c r="S2315" s="7" t="s">
        <v>32</v>
      </c>
      <c r="T2315" s="5"/>
    </row>
    <row r="2316" customFormat="false" ht="29.25" hidden="false" customHeight="true" outlineLevel="0" collapsed="false">
      <c r="A2316" s="4" t="n">
        <v>2315</v>
      </c>
      <c r="B2316" s="6" t="s">
        <v>1787</v>
      </c>
      <c r="C2316" s="6" t="s">
        <v>8156</v>
      </c>
      <c r="D2316" s="6" t="s">
        <v>8157</v>
      </c>
      <c r="E2316" s="7" t="s">
        <v>21</v>
      </c>
      <c r="F2316" s="6" t="s">
        <v>8263</v>
      </c>
      <c r="G2316" s="6" t="s">
        <v>8266</v>
      </c>
      <c r="H2316" s="6" t="s">
        <v>1880</v>
      </c>
      <c r="I2316" s="6" t="s">
        <v>8267</v>
      </c>
      <c r="J2316" s="6" t="s">
        <v>8265</v>
      </c>
      <c r="K2316" s="5"/>
      <c r="L2316" s="4" t="s">
        <v>62</v>
      </c>
      <c r="M2316" s="8" t="s">
        <v>129</v>
      </c>
      <c r="N2316" s="9" t="s">
        <v>8167</v>
      </c>
      <c r="O2316" s="5"/>
      <c r="P2316" s="5"/>
      <c r="Q2316" s="6" t="s">
        <v>30</v>
      </c>
      <c r="R2316" s="4" t="s">
        <v>31</v>
      </c>
      <c r="S2316" s="7" t="s">
        <v>32</v>
      </c>
      <c r="T2316" s="5"/>
    </row>
    <row r="2317" customFormat="false" ht="29.25" hidden="false" customHeight="true" outlineLevel="0" collapsed="false">
      <c r="A2317" s="4" t="n">
        <v>2316</v>
      </c>
      <c r="B2317" s="6" t="s">
        <v>1787</v>
      </c>
      <c r="C2317" s="6" t="s">
        <v>8156</v>
      </c>
      <c r="D2317" s="6" t="s">
        <v>8157</v>
      </c>
      <c r="E2317" s="7" t="s">
        <v>21</v>
      </c>
      <c r="F2317" s="6" t="s">
        <v>8263</v>
      </c>
      <c r="G2317" s="6" t="s">
        <v>8271</v>
      </c>
      <c r="H2317" s="6" t="s">
        <v>8266</v>
      </c>
      <c r="I2317" s="6" t="s">
        <v>8267</v>
      </c>
      <c r="J2317" s="6" t="s">
        <v>8265</v>
      </c>
      <c r="K2317" s="5"/>
      <c r="L2317" s="4" t="s">
        <v>51</v>
      </c>
      <c r="M2317" s="8" t="s">
        <v>129</v>
      </c>
      <c r="N2317" s="9" t="s">
        <v>8167</v>
      </c>
      <c r="O2317" s="5"/>
      <c r="P2317" s="5"/>
      <c r="Q2317" s="6" t="s">
        <v>30</v>
      </c>
      <c r="R2317" s="4" t="s">
        <v>31</v>
      </c>
      <c r="S2317" s="7" t="s">
        <v>32</v>
      </c>
      <c r="T2317" s="5"/>
    </row>
    <row r="2318" customFormat="false" ht="29.25" hidden="false" customHeight="true" outlineLevel="0" collapsed="false">
      <c r="A2318" s="4" t="n">
        <v>2317</v>
      </c>
      <c r="B2318" s="6" t="s">
        <v>1787</v>
      </c>
      <c r="C2318" s="6" t="s">
        <v>8156</v>
      </c>
      <c r="D2318" s="6" t="s">
        <v>8157</v>
      </c>
      <c r="E2318" s="7" t="s">
        <v>21</v>
      </c>
      <c r="F2318" s="6" t="s">
        <v>8263</v>
      </c>
      <c r="G2318" s="6" t="s">
        <v>8272</v>
      </c>
      <c r="H2318" s="6" t="s">
        <v>8266</v>
      </c>
      <c r="I2318" s="6" t="s">
        <v>8267</v>
      </c>
      <c r="J2318" s="6" t="s">
        <v>8265</v>
      </c>
      <c r="K2318" s="5"/>
      <c r="L2318" s="4" t="s">
        <v>51</v>
      </c>
      <c r="M2318" s="8" t="s">
        <v>129</v>
      </c>
      <c r="N2318" s="9" t="s">
        <v>8167</v>
      </c>
      <c r="O2318" s="5"/>
      <c r="P2318" s="5"/>
      <c r="Q2318" s="6" t="s">
        <v>30</v>
      </c>
      <c r="R2318" s="4" t="s">
        <v>31</v>
      </c>
      <c r="S2318" s="7" t="s">
        <v>32</v>
      </c>
      <c r="T2318" s="5"/>
    </row>
    <row r="2319" customFormat="false" ht="29.25" hidden="false" customHeight="true" outlineLevel="0" collapsed="false">
      <c r="A2319" s="4" t="n">
        <v>2318</v>
      </c>
      <c r="B2319" s="6" t="s">
        <v>1787</v>
      </c>
      <c r="C2319" s="6" t="s">
        <v>8156</v>
      </c>
      <c r="D2319" s="6" t="s">
        <v>8157</v>
      </c>
      <c r="E2319" s="7" t="s">
        <v>21</v>
      </c>
      <c r="F2319" s="6" t="s">
        <v>8273</v>
      </c>
      <c r="G2319" s="6" t="s">
        <v>8274</v>
      </c>
      <c r="H2319" s="6" t="s">
        <v>8218</v>
      </c>
      <c r="I2319" s="6" t="s">
        <v>8275</v>
      </c>
      <c r="J2319" s="6" t="s">
        <v>8276</v>
      </c>
      <c r="K2319" s="5"/>
      <c r="L2319" s="4" t="s">
        <v>44</v>
      </c>
      <c r="M2319" s="8" t="s">
        <v>129</v>
      </c>
      <c r="N2319" s="9" t="s">
        <v>8167</v>
      </c>
      <c r="O2319" s="5"/>
      <c r="P2319" s="5"/>
      <c r="Q2319" s="6" t="s">
        <v>30</v>
      </c>
      <c r="R2319" s="4" t="s">
        <v>31</v>
      </c>
      <c r="S2319" s="7" t="s">
        <v>32</v>
      </c>
      <c r="T2319" s="5"/>
    </row>
    <row r="2320" customFormat="false" ht="29.25" hidden="false" customHeight="true" outlineLevel="0" collapsed="false">
      <c r="A2320" s="4" t="n">
        <v>2319</v>
      </c>
      <c r="B2320" s="6" t="s">
        <v>1787</v>
      </c>
      <c r="C2320" s="6" t="s">
        <v>8156</v>
      </c>
      <c r="D2320" s="6" t="s">
        <v>8157</v>
      </c>
      <c r="E2320" s="7" t="s">
        <v>21</v>
      </c>
      <c r="F2320" s="6" t="s">
        <v>8277</v>
      </c>
      <c r="G2320" s="6" t="s">
        <v>8274</v>
      </c>
      <c r="H2320" s="6" t="s">
        <v>8218</v>
      </c>
      <c r="I2320" s="6" t="s">
        <v>8275</v>
      </c>
      <c r="J2320" s="6" t="s">
        <v>8276</v>
      </c>
      <c r="K2320" s="5"/>
      <c r="L2320" s="4" t="s">
        <v>62</v>
      </c>
      <c r="M2320" s="8" t="s">
        <v>129</v>
      </c>
      <c r="N2320" s="9" t="s">
        <v>8167</v>
      </c>
      <c r="O2320" s="5"/>
      <c r="P2320" s="5"/>
      <c r="Q2320" s="6" t="s">
        <v>30</v>
      </c>
      <c r="R2320" s="4" t="s">
        <v>31</v>
      </c>
      <c r="S2320" s="7" t="s">
        <v>32</v>
      </c>
      <c r="T2320" s="5"/>
    </row>
    <row r="2321" customFormat="false" ht="29.25" hidden="false" customHeight="true" outlineLevel="0" collapsed="false">
      <c r="A2321" s="4" t="n">
        <v>2320</v>
      </c>
      <c r="B2321" s="6" t="s">
        <v>1787</v>
      </c>
      <c r="C2321" s="6" t="s">
        <v>8156</v>
      </c>
      <c r="D2321" s="6" t="s">
        <v>8157</v>
      </c>
      <c r="E2321" s="7" t="s">
        <v>21</v>
      </c>
      <c r="F2321" s="6" t="s">
        <v>8278</v>
      </c>
      <c r="G2321" s="6" t="s">
        <v>8279</v>
      </c>
      <c r="H2321" s="6" t="s">
        <v>8218</v>
      </c>
      <c r="I2321" s="6" t="s">
        <v>8274</v>
      </c>
      <c r="J2321" s="6" t="s">
        <v>8276</v>
      </c>
      <c r="K2321" s="5"/>
      <c r="L2321" s="4" t="s">
        <v>27</v>
      </c>
      <c r="M2321" s="8" t="s">
        <v>79</v>
      </c>
      <c r="N2321" s="9" t="s">
        <v>8167</v>
      </c>
      <c r="O2321" s="5"/>
      <c r="P2321" s="5"/>
      <c r="Q2321" s="6" t="s">
        <v>30</v>
      </c>
      <c r="R2321" s="4" t="s">
        <v>31</v>
      </c>
      <c r="S2321" s="7" t="s">
        <v>32</v>
      </c>
      <c r="T2321" s="5"/>
    </row>
    <row r="2322" customFormat="false" ht="29.25" hidden="false" customHeight="true" outlineLevel="0" collapsed="false">
      <c r="A2322" s="4" t="n">
        <v>2321</v>
      </c>
      <c r="B2322" s="6" t="s">
        <v>1787</v>
      </c>
      <c r="C2322" s="6" t="s">
        <v>8156</v>
      </c>
      <c r="D2322" s="6" t="s">
        <v>8157</v>
      </c>
      <c r="E2322" s="7" t="s">
        <v>21</v>
      </c>
      <c r="F2322" s="6" t="s">
        <v>8280</v>
      </c>
      <c r="G2322" s="6" t="s">
        <v>8279</v>
      </c>
      <c r="H2322" s="6" t="s">
        <v>8218</v>
      </c>
      <c r="I2322" s="6" t="s">
        <v>8281</v>
      </c>
      <c r="J2322" s="6" t="s">
        <v>8282</v>
      </c>
      <c r="K2322" s="5"/>
      <c r="L2322" s="4" t="s">
        <v>44</v>
      </c>
      <c r="M2322" s="8" t="s">
        <v>129</v>
      </c>
      <c r="N2322" s="9" t="s">
        <v>8167</v>
      </c>
      <c r="O2322" s="5"/>
      <c r="P2322" s="5"/>
      <c r="Q2322" s="6" t="s">
        <v>30</v>
      </c>
      <c r="R2322" s="4" t="s">
        <v>31</v>
      </c>
      <c r="S2322" s="7" t="s">
        <v>32</v>
      </c>
      <c r="T2322" s="5"/>
    </row>
    <row r="2323" customFormat="false" ht="29.25" hidden="false" customHeight="true" outlineLevel="0" collapsed="false">
      <c r="A2323" s="4" t="n">
        <v>2322</v>
      </c>
      <c r="B2323" s="6" t="s">
        <v>1787</v>
      </c>
      <c r="C2323" s="6" t="s">
        <v>8156</v>
      </c>
      <c r="D2323" s="6" t="s">
        <v>8157</v>
      </c>
      <c r="E2323" s="7" t="s">
        <v>21</v>
      </c>
      <c r="F2323" s="6" t="s">
        <v>8283</v>
      </c>
      <c r="G2323" s="6" t="s">
        <v>8276</v>
      </c>
      <c r="H2323" s="6" t="s">
        <v>8218</v>
      </c>
      <c r="I2323" s="6" t="s">
        <v>8274</v>
      </c>
      <c r="J2323" s="6" t="s">
        <v>8282</v>
      </c>
      <c r="K2323" s="5"/>
      <c r="L2323" s="4" t="s">
        <v>51</v>
      </c>
      <c r="M2323" s="8" t="s">
        <v>129</v>
      </c>
      <c r="N2323" s="9" t="s">
        <v>8167</v>
      </c>
      <c r="O2323" s="5"/>
      <c r="P2323" s="5"/>
      <c r="Q2323" s="6" t="s">
        <v>30</v>
      </c>
      <c r="R2323" s="4" t="s">
        <v>31</v>
      </c>
      <c r="S2323" s="7" t="s">
        <v>32</v>
      </c>
      <c r="T2323" s="5"/>
    </row>
    <row r="2324" customFormat="false" ht="29.25" hidden="false" customHeight="true" outlineLevel="0" collapsed="false">
      <c r="A2324" s="4" t="n">
        <v>2323</v>
      </c>
      <c r="B2324" s="6" t="s">
        <v>1787</v>
      </c>
      <c r="C2324" s="6" t="s">
        <v>8156</v>
      </c>
      <c r="D2324" s="6" t="s">
        <v>8157</v>
      </c>
      <c r="E2324" s="7" t="s">
        <v>21</v>
      </c>
      <c r="F2324" s="6" t="s">
        <v>8284</v>
      </c>
      <c r="G2324" s="6" t="s">
        <v>8279</v>
      </c>
      <c r="H2324" s="6" t="s">
        <v>8218</v>
      </c>
      <c r="I2324" s="6" t="s">
        <v>8274</v>
      </c>
      <c r="J2324" s="6" t="s">
        <v>8282</v>
      </c>
      <c r="K2324" s="5"/>
      <c r="L2324" s="4" t="s">
        <v>51</v>
      </c>
      <c r="M2324" s="8" t="s">
        <v>129</v>
      </c>
      <c r="N2324" s="9" t="s">
        <v>8167</v>
      </c>
      <c r="O2324" s="5"/>
      <c r="P2324" s="5"/>
      <c r="Q2324" s="6" t="s">
        <v>30</v>
      </c>
      <c r="R2324" s="4" t="s">
        <v>31</v>
      </c>
      <c r="S2324" s="7" t="s">
        <v>32</v>
      </c>
      <c r="T2324" s="5"/>
    </row>
    <row r="2325" customFormat="false" ht="29.25" hidden="false" customHeight="true" outlineLevel="0" collapsed="false">
      <c r="A2325" s="4" t="n">
        <v>2324</v>
      </c>
      <c r="B2325" s="6" t="s">
        <v>1787</v>
      </c>
      <c r="C2325" s="6" t="s">
        <v>8156</v>
      </c>
      <c r="D2325" s="6" t="s">
        <v>8157</v>
      </c>
      <c r="E2325" s="7" t="s">
        <v>21</v>
      </c>
      <c r="F2325" s="6" t="s">
        <v>8285</v>
      </c>
      <c r="G2325" s="6" t="s">
        <v>1880</v>
      </c>
      <c r="H2325" s="6" t="s">
        <v>8271</v>
      </c>
      <c r="I2325" s="6" t="s">
        <v>8268</v>
      </c>
      <c r="J2325" s="6" t="s">
        <v>8281</v>
      </c>
      <c r="K2325" s="5"/>
      <c r="L2325" s="4" t="s">
        <v>27</v>
      </c>
      <c r="M2325" s="8" t="s">
        <v>79</v>
      </c>
      <c r="N2325" s="9" t="s">
        <v>8167</v>
      </c>
      <c r="O2325" s="5"/>
      <c r="P2325" s="5"/>
      <c r="Q2325" s="6" t="s">
        <v>30</v>
      </c>
      <c r="R2325" s="4" t="s">
        <v>31</v>
      </c>
      <c r="S2325" s="7" t="s">
        <v>32</v>
      </c>
      <c r="T2325" s="5"/>
    </row>
    <row r="2326" customFormat="false" ht="29.25" hidden="false" customHeight="true" outlineLevel="0" collapsed="false">
      <c r="A2326" s="4" t="n">
        <v>2325</v>
      </c>
      <c r="B2326" s="6" t="s">
        <v>1787</v>
      </c>
      <c r="C2326" s="6" t="s">
        <v>8156</v>
      </c>
      <c r="D2326" s="6" t="s">
        <v>8157</v>
      </c>
      <c r="E2326" s="7" t="s">
        <v>21</v>
      </c>
      <c r="F2326" s="6" t="s">
        <v>8286</v>
      </c>
      <c r="G2326" s="6" t="s">
        <v>8266</v>
      </c>
      <c r="H2326" s="6" t="s">
        <v>8268</v>
      </c>
      <c r="I2326" s="6" t="s">
        <v>8271</v>
      </c>
      <c r="J2326" s="6" t="s">
        <v>1880</v>
      </c>
      <c r="K2326" s="5"/>
      <c r="L2326" s="4" t="s">
        <v>44</v>
      </c>
      <c r="M2326" s="8" t="s">
        <v>79</v>
      </c>
      <c r="N2326" s="9" t="s">
        <v>8167</v>
      </c>
      <c r="O2326" s="5"/>
      <c r="P2326" s="5"/>
      <c r="Q2326" s="6" t="s">
        <v>30</v>
      </c>
      <c r="R2326" s="4" t="s">
        <v>31</v>
      </c>
      <c r="S2326" s="7" t="s">
        <v>32</v>
      </c>
      <c r="T2326" s="5"/>
    </row>
    <row r="2327" customFormat="false" ht="29.25" hidden="false" customHeight="true" outlineLevel="0" collapsed="false">
      <c r="A2327" s="4" t="n">
        <v>2326</v>
      </c>
      <c r="B2327" s="6" t="s">
        <v>1787</v>
      </c>
      <c r="C2327" s="6" t="s">
        <v>8156</v>
      </c>
      <c r="D2327" s="6" t="s">
        <v>8157</v>
      </c>
      <c r="E2327" s="7" t="s">
        <v>21</v>
      </c>
      <c r="F2327" s="6" t="s">
        <v>8287</v>
      </c>
      <c r="G2327" s="6" t="s">
        <v>1880</v>
      </c>
      <c r="H2327" s="6" t="s">
        <v>8264</v>
      </c>
      <c r="I2327" s="6" t="s">
        <v>8268</v>
      </c>
      <c r="J2327" s="6" t="s">
        <v>8281</v>
      </c>
      <c r="K2327" s="5"/>
      <c r="L2327" s="4" t="s">
        <v>62</v>
      </c>
      <c r="M2327" s="8" t="s">
        <v>79</v>
      </c>
      <c r="N2327" s="9" t="s">
        <v>8167</v>
      </c>
      <c r="O2327" s="5"/>
      <c r="P2327" s="5"/>
      <c r="Q2327" s="6" t="s">
        <v>30</v>
      </c>
      <c r="R2327" s="4" t="s">
        <v>31</v>
      </c>
      <c r="S2327" s="7" t="s">
        <v>32</v>
      </c>
      <c r="T2327" s="5"/>
    </row>
    <row r="2328" customFormat="false" ht="29.25" hidden="false" customHeight="true" outlineLevel="0" collapsed="false">
      <c r="A2328" s="4" t="n">
        <v>2327</v>
      </c>
      <c r="B2328" s="6" t="s">
        <v>1787</v>
      </c>
      <c r="C2328" s="6" t="s">
        <v>8156</v>
      </c>
      <c r="D2328" s="6" t="s">
        <v>8157</v>
      </c>
      <c r="E2328" s="7" t="s">
        <v>21</v>
      </c>
      <c r="F2328" s="6" t="s">
        <v>8288</v>
      </c>
      <c r="G2328" s="6" t="s">
        <v>8289</v>
      </c>
      <c r="H2328" s="6" t="s">
        <v>8271</v>
      </c>
      <c r="I2328" s="6" t="s">
        <v>8268</v>
      </c>
      <c r="J2328" s="6" t="s">
        <v>8281</v>
      </c>
      <c r="K2328" s="5"/>
      <c r="L2328" s="4" t="s">
        <v>62</v>
      </c>
      <c r="M2328" s="8" t="s">
        <v>79</v>
      </c>
      <c r="N2328" s="9" t="s">
        <v>8167</v>
      </c>
      <c r="O2328" s="5"/>
      <c r="P2328" s="5"/>
      <c r="Q2328" s="6" t="s">
        <v>30</v>
      </c>
      <c r="R2328" s="4" t="s">
        <v>31</v>
      </c>
      <c r="S2328" s="7" t="s">
        <v>32</v>
      </c>
      <c r="T2328" s="5"/>
    </row>
    <row r="2329" customFormat="false" ht="29.25" hidden="false" customHeight="true" outlineLevel="0" collapsed="false">
      <c r="A2329" s="4" t="n">
        <v>2328</v>
      </c>
      <c r="B2329" s="6" t="s">
        <v>1787</v>
      </c>
      <c r="C2329" s="6" t="s">
        <v>8156</v>
      </c>
      <c r="D2329" s="6" t="s">
        <v>8157</v>
      </c>
      <c r="E2329" s="7" t="s">
        <v>21</v>
      </c>
      <c r="F2329" s="6" t="s">
        <v>8290</v>
      </c>
      <c r="G2329" s="6" t="s">
        <v>8264</v>
      </c>
      <c r="H2329" s="6" t="s">
        <v>8271</v>
      </c>
      <c r="I2329" s="6" t="s">
        <v>8266</v>
      </c>
      <c r="J2329" s="6" t="s">
        <v>1880</v>
      </c>
      <c r="K2329" s="5"/>
      <c r="L2329" s="4" t="s">
        <v>27</v>
      </c>
      <c r="M2329" s="8" t="s">
        <v>129</v>
      </c>
      <c r="N2329" s="9" t="s">
        <v>8167</v>
      </c>
      <c r="O2329" s="5"/>
      <c r="P2329" s="5"/>
      <c r="Q2329" s="6" t="s">
        <v>30</v>
      </c>
      <c r="R2329" s="4" t="s">
        <v>31</v>
      </c>
      <c r="S2329" s="7" t="s">
        <v>32</v>
      </c>
      <c r="T2329" s="5"/>
    </row>
    <row r="2330" customFormat="false" ht="29.25" hidden="false" customHeight="true" outlineLevel="0" collapsed="false">
      <c r="A2330" s="4" t="n">
        <v>2329</v>
      </c>
      <c r="B2330" s="6" t="s">
        <v>1787</v>
      </c>
      <c r="C2330" s="6" t="s">
        <v>8156</v>
      </c>
      <c r="D2330" s="6" t="s">
        <v>8157</v>
      </c>
      <c r="E2330" s="7" t="s">
        <v>21</v>
      </c>
      <c r="F2330" s="6" t="s">
        <v>8291</v>
      </c>
      <c r="G2330" s="6" t="s">
        <v>8268</v>
      </c>
      <c r="H2330" s="6" t="s">
        <v>8267</v>
      </c>
      <c r="I2330" s="6" t="s">
        <v>8271</v>
      </c>
      <c r="J2330" s="6" t="s">
        <v>1880</v>
      </c>
      <c r="K2330" s="5"/>
      <c r="L2330" s="4" t="s">
        <v>62</v>
      </c>
      <c r="M2330" s="8" t="s">
        <v>129</v>
      </c>
      <c r="N2330" s="9" t="s">
        <v>8167</v>
      </c>
      <c r="O2330" s="5"/>
      <c r="P2330" s="5"/>
      <c r="Q2330" s="6" t="s">
        <v>30</v>
      </c>
      <c r="R2330" s="4" t="s">
        <v>31</v>
      </c>
      <c r="S2330" s="7" t="s">
        <v>32</v>
      </c>
      <c r="T2330" s="5"/>
    </row>
    <row r="2331" customFormat="false" ht="29.25" hidden="false" customHeight="true" outlineLevel="0" collapsed="false">
      <c r="A2331" s="4" t="n">
        <v>2330</v>
      </c>
      <c r="B2331" s="6" t="s">
        <v>1787</v>
      </c>
      <c r="C2331" s="6" t="s">
        <v>8156</v>
      </c>
      <c r="D2331" s="6" t="s">
        <v>8157</v>
      </c>
      <c r="E2331" s="7" t="s">
        <v>21</v>
      </c>
      <c r="F2331" s="6" t="s">
        <v>8291</v>
      </c>
      <c r="G2331" s="6" t="s">
        <v>8268</v>
      </c>
      <c r="H2331" s="6" t="s">
        <v>8292</v>
      </c>
      <c r="I2331" s="6" t="s">
        <v>8293</v>
      </c>
      <c r="J2331" s="6" t="s">
        <v>1880</v>
      </c>
      <c r="K2331" s="5"/>
      <c r="L2331" s="4" t="s">
        <v>62</v>
      </c>
      <c r="M2331" s="8" t="s">
        <v>129</v>
      </c>
      <c r="N2331" s="9" t="s">
        <v>8167</v>
      </c>
      <c r="O2331" s="5"/>
      <c r="P2331" s="5"/>
      <c r="Q2331" s="6" t="s">
        <v>30</v>
      </c>
      <c r="R2331" s="4" t="s">
        <v>31</v>
      </c>
      <c r="S2331" s="7" t="s">
        <v>32</v>
      </c>
      <c r="T2331" s="5"/>
    </row>
    <row r="2332" customFormat="false" ht="29.25" hidden="false" customHeight="true" outlineLevel="0" collapsed="false">
      <c r="A2332" s="4" t="n">
        <v>2331</v>
      </c>
      <c r="B2332" s="6" t="s">
        <v>1787</v>
      </c>
      <c r="C2332" s="6" t="s">
        <v>8156</v>
      </c>
      <c r="D2332" s="6" t="s">
        <v>8157</v>
      </c>
      <c r="E2332" s="7" t="s">
        <v>21</v>
      </c>
      <c r="F2332" s="6" t="s">
        <v>8291</v>
      </c>
      <c r="G2332" s="6" t="s">
        <v>8268</v>
      </c>
      <c r="H2332" s="6" t="s">
        <v>8294</v>
      </c>
      <c r="I2332" s="6" t="s">
        <v>8271</v>
      </c>
      <c r="J2332" s="6" t="s">
        <v>1880</v>
      </c>
      <c r="K2332" s="5"/>
      <c r="L2332" s="4" t="s">
        <v>62</v>
      </c>
      <c r="M2332" s="8" t="s">
        <v>129</v>
      </c>
      <c r="N2332" s="9" t="s">
        <v>8167</v>
      </c>
      <c r="O2332" s="5"/>
      <c r="P2332" s="5"/>
      <c r="Q2332" s="6" t="s">
        <v>30</v>
      </c>
      <c r="R2332" s="4" t="s">
        <v>31</v>
      </c>
      <c r="S2332" s="7" t="s">
        <v>32</v>
      </c>
      <c r="T2332" s="5"/>
    </row>
    <row r="2333" customFormat="false" ht="29.25" hidden="false" customHeight="true" outlineLevel="0" collapsed="false">
      <c r="A2333" s="4" t="n">
        <v>2332</v>
      </c>
      <c r="B2333" s="6" t="s">
        <v>1787</v>
      </c>
      <c r="C2333" s="6" t="s">
        <v>8156</v>
      </c>
      <c r="D2333" s="6" t="s">
        <v>8157</v>
      </c>
      <c r="E2333" s="7" t="s">
        <v>21</v>
      </c>
      <c r="F2333" s="6" t="s">
        <v>8291</v>
      </c>
      <c r="G2333" s="6" t="s">
        <v>8268</v>
      </c>
      <c r="H2333" s="6" t="s">
        <v>8295</v>
      </c>
      <c r="I2333" s="6" t="s">
        <v>8271</v>
      </c>
      <c r="J2333" s="6" t="s">
        <v>1880</v>
      </c>
      <c r="K2333" s="5"/>
      <c r="L2333" s="4" t="s">
        <v>62</v>
      </c>
      <c r="M2333" s="8" t="s">
        <v>129</v>
      </c>
      <c r="N2333" s="9" t="s">
        <v>8167</v>
      </c>
      <c r="O2333" s="5"/>
      <c r="P2333" s="5"/>
      <c r="Q2333" s="6" t="s">
        <v>30</v>
      </c>
      <c r="R2333" s="4" t="s">
        <v>31</v>
      </c>
      <c r="S2333" s="7" t="s">
        <v>32</v>
      </c>
      <c r="T2333" s="5"/>
    </row>
    <row r="2334" customFormat="false" ht="29.25" hidden="false" customHeight="true" outlineLevel="0" collapsed="false">
      <c r="A2334" s="4" t="n">
        <v>2333</v>
      </c>
      <c r="B2334" s="6" t="s">
        <v>1787</v>
      </c>
      <c r="C2334" s="6" t="s">
        <v>8156</v>
      </c>
      <c r="D2334" s="6" t="s">
        <v>8157</v>
      </c>
      <c r="E2334" s="7" t="s">
        <v>21</v>
      </c>
      <c r="F2334" s="6" t="s">
        <v>8291</v>
      </c>
      <c r="G2334" s="6" t="s">
        <v>8268</v>
      </c>
      <c r="H2334" s="6" t="s">
        <v>8266</v>
      </c>
      <c r="I2334" s="6" t="s">
        <v>8271</v>
      </c>
      <c r="J2334" s="6" t="s">
        <v>1880</v>
      </c>
      <c r="K2334" s="5"/>
      <c r="L2334" s="4" t="s">
        <v>62</v>
      </c>
      <c r="M2334" s="8" t="s">
        <v>129</v>
      </c>
      <c r="N2334" s="9" t="s">
        <v>8167</v>
      </c>
      <c r="O2334" s="5"/>
      <c r="P2334" s="5"/>
      <c r="Q2334" s="6" t="s">
        <v>30</v>
      </c>
      <c r="R2334" s="4" t="s">
        <v>31</v>
      </c>
      <c r="S2334" s="7" t="s">
        <v>32</v>
      </c>
      <c r="T2334" s="5"/>
    </row>
    <row r="2335" customFormat="false" ht="29.25" hidden="false" customHeight="true" outlineLevel="0" collapsed="false">
      <c r="A2335" s="4" t="n">
        <v>2334</v>
      </c>
      <c r="B2335" s="6" t="s">
        <v>1787</v>
      </c>
      <c r="C2335" s="6" t="s">
        <v>8156</v>
      </c>
      <c r="D2335" s="6" t="s">
        <v>8157</v>
      </c>
      <c r="E2335" s="7" t="s">
        <v>21</v>
      </c>
      <c r="F2335" s="6" t="s">
        <v>8291</v>
      </c>
      <c r="G2335" s="6" t="s">
        <v>8268</v>
      </c>
      <c r="H2335" s="6" t="s">
        <v>8265</v>
      </c>
      <c r="I2335" s="6" t="s">
        <v>8271</v>
      </c>
      <c r="J2335" s="6" t="s">
        <v>1880</v>
      </c>
      <c r="K2335" s="5"/>
      <c r="L2335" s="4" t="s">
        <v>62</v>
      </c>
      <c r="M2335" s="8" t="s">
        <v>129</v>
      </c>
      <c r="N2335" s="9" t="s">
        <v>8167</v>
      </c>
      <c r="O2335" s="5"/>
      <c r="P2335" s="5"/>
      <c r="Q2335" s="6" t="s">
        <v>30</v>
      </c>
      <c r="R2335" s="4" t="s">
        <v>31</v>
      </c>
      <c r="S2335" s="7" t="s">
        <v>32</v>
      </c>
      <c r="T2335" s="5"/>
    </row>
    <row r="2336" customFormat="false" ht="29.25" hidden="false" customHeight="true" outlineLevel="0" collapsed="false">
      <c r="A2336" s="4" t="n">
        <v>2335</v>
      </c>
      <c r="B2336" s="6" t="s">
        <v>1787</v>
      </c>
      <c r="C2336" s="6" t="s">
        <v>8156</v>
      </c>
      <c r="D2336" s="6" t="s">
        <v>8157</v>
      </c>
      <c r="E2336" s="7" t="s">
        <v>21</v>
      </c>
      <c r="F2336" s="6" t="s">
        <v>8296</v>
      </c>
      <c r="G2336" s="6" t="s">
        <v>8275</v>
      </c>
      <c r="H2336" s="6" t="s">
        <v>8218</v>
      </c>
      <c r="I2336" s="6" t="s">
        <v>8282</v>
      </c>
      <c r="J2336" s="6" t="s">
        <v>8281</v>
      </c>
      <c r="K2336" s="5"/>
      <c r="L2336" s="4" t="s">
        <v>44</v>
      </c>
      <c r="M2336" s="8" t="s">
        <v>129</v>
      </c>
      <c r="N2336" s="9" t="s">
        <v>8167</v>
      </c>
      <c r="O2336" s="5"/>
      <c r="P2336" s="5"/>
      <c r="Q2336" s="6" t="s">
        <v>30</v>
      </c>
      <c r="R2336" s="4" t="s">
        <v>31</v>
      </c>
      <c r="S2336" s="7" t="s">
        <v>32</v>
      </c>
      <c r="T2336" s="5"/>
    </row>
    <row r="2337" customFormat="false" ht="29.25" hidden="false" customHeight="true" outlineLevel="0" collapsed="false">
      <c r="A2337" s="4" t="n">
        <v>2336</v>
      </c>
      <c r="B2337" s="6" t="s">
        <v>1787</v>
      </c>
      <c r="C2337" s="6" t="s">
        <v>8156</v>
      </c>
      <c r="D2337" s="6" t="s">
        <v>8157</v>
      </c>
      <c r="E2337" s="7" t="s">
        <v>21</v>
      </c>
      <c r="F2337" s="6" t="s">
        <v>8297</v>
      </c>
      <c r="G2337" s="6" t="s">
        <v>8282</v>
      </c>
      <c r="H2337" s="6" t="s">
        <v>8218</v>
      </c>
      <c r="I2337" s="6" t="s">
        <v>8298</v>
      </c>
      <c r="J2337" s="6" t="s">
        <v>8281</v>
      </c>
      <c r="K2337" s="5"/>
      <c r="L2337" s="4" t="s">
        <v>27</v>
      </c>
      <c r="M2337" s="8" t="s">
        <v>129</v>
      </c>
      <c r="N2337" s="9" t="s">
        <v>8167</v>
      </c>
      <c r="O2337" s="5"/>
      <c r="P2337" s="5"/>
      <c r="Q2337" s="6" t="s">
        <v>30</v>
      </c>
      <c r="R2337" s="4" t="s">
        <v>31</v>
      </c>
      <c r="S2337" s="7" t="s">
        <v>32</v>
      </c>
      <c r="T2337" s="5"/>
    </row>
    <row r="2338" customFormat="false" ht="29.25" hidden="false" customHeight="true" outlineLevel="0" collapsed="false">
      <c r="A2338" s="4" t="n">
        <v>2337</v>
      </c>
      <c r="B2338" s="6" t="s">
        <v>1787</v>
      </c>
      <c r="C2338" s="6" t="s">
        <v>8156</v>
      </c>
      <c r="D2338" s="6" t="s">
        <v>8157</v>
      </c>
      <c r="E2338" s="7" t="s">
        <v>21</v>
      </c>
      <c r="F2338" s="6" t="s">
        <v>8299</v>
      </c>
      <c r="G2338" s="6" t="s">
        <v>8282</v>
      </c>
      <c r="H2338" s="6" t="s">
        <v>8218</v>
      </c>
      <c r="I2338" s="6" t="s">
        <v>8298</v>
      </c>
      <c r="J2338" s="6" t="s">
        <v>8281</v>
      </c>
      <c r="K2338" s="5"/>
      <c r="L2338" s="4" t="s">
        <v>51</v>
      </c>
      <c r="M2338" s="8" t="s">
        <v>129</v>
      </c>
      <c r="N2338" s="9" t="s">
        <v>8167</v>
      </c>
      <c r="O2338" s="5"/>
      <c r="P2338" s="5"/>
      <c r="Q2338" s="6" t="s">
        <v>30</v>
      </c>
      <c r="R2338" s="4" t="s">
        <v>31</v>
      </c>
      <c r="S2338" s="7" t="s">
        <v>32</v>
      </c>
      <c r="T2338" s="5"/>
    </row>
    <row r="2339" customFormat="false" ht="29.25" hidden="false" customHeight="true" outlineLevel="0" collapsed="false">
      <c r="A2339" s="4" t="n">
        <v>2338</v>
      </c>
      <c r="B2339" s="6" t="s">
        <v>1787</v>
      </c>
      <c r="C2339" s="6" t="s">
        <v>8156</v>
      </c>
      <c r="D2339" s="6" t="s">
        <v>8157</v>
      </c>
      <c r="E2339" s="7" t="s">
        <v>21</v>
      </c>
      <c r="F2339" s="6" t="s">
        <v>8300</v>
      </c>
      <c r="G2339" s="6" t="s">
        <v>8282</v>
      </c>
      <c r="H2339" s="6" t="s">
        <v>8218</v>
      </c>
      <c r="I2339" s="6" t="s">
        <v>8275</v>
      </c>
      <c r="J2339" s="6" t="s">
        <v>8281</v>
      </c>
      <c r="K2339" s="5"/>
      <c r="L2339" s="4" t="s">
        <v>27</v>
      </c>
      <c r="M2339" s="8" t="s">
        <v>129</v>
      </c>
      <c r="N2339" s="9" t="s">
        <v>8167</v>
      </c>
      <c r="O2339" s="5"/>
      <c r="P2339" s="5"/>
      <c r="Q2339" s="6" t="s">
        <v>30</v>
      </c>
      <c r="R2339" s="4" t="s">
        <v>31</v>
      </c>
      <c r="S2339" s="7" t="s">
        <v>32</v>
      </c>
      <c r="T2339" s="5"/>
    </row>
    <row r="2340" customFormat="false" ht="29.25" hidden="false" customHeight="true" outlineLevel="0" collapsed="false">
      <c r="A2340" s="4" t="n">
        <v>2339</v>
      </c>
      <c r="B2340" s="6" t="s">
        <v>1787</v>
      </c>
      <c r="C2340" s="6" t="s">
        <v>8156</v>
      </c>
      <c r="D2340" s="6" t="s">
        <v>8157</v>
      </c>
      <c r="E2340" s="7" t="s">
        <v>21</v>
      </c>
      <c r="F2340" s="6" t="s">
        <v>8301</v>
      </c>
      <c r="G2340" s="6" t="s">
        <v>8294</v>
      </c>
      <c r="H2340" s="6" t="s">
        <v>8268</v>
      </c>
      <c r="I2340" s="6" t="s">
        <v>8266</v>
      </c>
      <c r="J2340" s="6" t="s">
        <v>8292</v>
      </c>
      <c r="K2340" s="5"/>
      <c r="L2340" s="4" t="s">
        <v>44</v>
      </c>
      <c r="M2340" s="8" t="s">
        <v>79</v>
      </c>
      <c r="N2340" s="9" t="s">
        <v>8167</v>
      </c>
      <c r="O2340" s="5"/>
      <c r="P2340" s="5"/>
      <c r="Q2340" s="6" t="s">
        <v>30</v>
      </c>
      <c r="R2340" s="4" t="s">
        <v>31</v>
      </c>
      <c r="S2340" s="7" t="s">
        <v>32</v>
      </c>
      <c r="T2340" s="5"/>
    </row>
    <row r="2341" customFormat="false" ht="29.25" hidden="false" customHeight="true" outlineLevel="0" collapsed="false">
      <c r="A2341" s="4" t="n">
        <v>2340</v>
      </c>
      <c r="B2341" s="6" t="s">
        <v>1787</v>
      </c>
      <c r="C2341" s="6" t="s">
        <v>8156</v>
      </c>
      <c r="D2341" s="6" t="s">
        <v>8157</v>
      </c>
      <c r="E2341" s="7" t="s">
        <v>21</v>
      </c>
      <c r="F2341" s="6" t="s">
        <v>8302</v>
      </c>
      <c r="G2341" s="6" t="s">
        <v>8294</v>
      </c>
      <c r="H2341" s="6" t="s">
        <v>8268</v>
      </c>
      <c r="I2341" s="6" t="s">
        <v>8266</v>
      </c>
      <c r="J2341" s="6" t="s">
        <v>8292</v>
      </c>
      <c r="K2341" s="5"/>
      <c r="L2341" s="4" t="s">
        <v>51</v>
      </c>
      <c r="M2341" s="8" t="s">
        <v>79</v>
      </c>
      <c r="N2341" s="9" t="s">
        <v>8167</v>
      </c>
      <c r="O2341" s="5"/>
      <c r="P2341" s="5"/>
      <c r="Q2341" s="6" t="s">
        <v>30</v>
      </c>
      <c r="R2341" s="4" t="s">
        <v>31</v>
      </c>
      <c r="S2341" s="7" t="s">
        <v>32</v>
      </c>
      <c r="T2341" s="5"/>
    </row>
    <row r="2342" customFormat="false" ht="29.25" hidden="false" customHeight="true" outlineLevel="0" collapsed="false">
      <c r="A2342" s="4" t="n">
        <v>2341</v>
      </c>
      <c r="B2342" s="6" t="s">
        <v>1787</v>
      </c>
      <c r="C2342" s="6" t="s">
        <v>8156</v>
      </c>
      <c r="D2342" s="6" t="s">
        <v>8157</v>
      </c>
      <c r="E2342" s="7" t="s">
        <v>21</v>
      </c>
      <c r="F2342" s="6" t="s">
        <v>8303</v>
      </c>
      <c r="G2342" s="6" t="s">
        <v>8294</v>
      </c>
      <c r="H2342" s="6" t="s">
        <v>8295</v>
      </c>
      <c r="I2342" s="6" t="s">
        <v>8266</v>
      </c>
      <c r="J2342" s="6" t="s">
        <v>8292</v>
      </c>
      <c r="K2342" s="5"/>
      <c r="L2342" s="4" t="s">
        <v>62</v>
      </c>
      <c r="M2342" s="8" t="s">
        <v>79</v>
      </c>
      <c r="N2342" s="9" t="s">
        <v>8167</v>
      </c>
      <c r="O2342" s="5"/>
      <c r="P2342" s="5"/>
      <c r="Q2342" s="6" t="s">
        <v>30</v>
      </c>
      <c r="R2342" s="4" t="s">
        <v>31</v>
      </c>
      <c r="S2342" s="7" t="s">
        <v>32</v>
      </c>
      <c r="T2342" s="5"/>
    </row>
    <row r="2343" customFormat="false" ht="29.25" hidden="false" customHeight="true" outlineLevel="0" collapsed="false">
      <c r="A2343" s="4" t="n">
        <v>2342</v>
      </c>
      <c r="B2343" s="6" t="s">
        <v>1787</v>
      </c>
      <c r="C2343" s="6" t="s">
        <v>8156</v>
      </c>
      <c r="D2343" s="6" t="s">
        <v>8157</v>
      </c>
      <c r="E2343" s="7" t="s">
        <v>21</v>
      </c>
      <c r="F2343" s="6" t="s">
        <v>8304</v>
      </c>
      <c r="G2343" s="6" t="s">
        <v>8294</v>
      </c>
      <c r="H2343" s="6" t="s">
        <v>8295</v>
      </c>
      <c r="I2343" s="6" t="s">
        <v>8266</v>
      </c>
      <c r="J2343" s="6" t="s">
        <v>8292</v>
      </c>
      <c r="K2343" s="5"/>
      <c r="L2343" s="4" t="s">
        <v>27</v>
      </c>
      <c r="M2343" s="8" t="s">
        <v>79</v>
      </c>
      <c r="N2343" s="9" t="s">
        <v>8167</v>
      </c>
      <c r="O2343" s="5"/>
      <c r="P2343" s="5"/>
      <c r="Q2343" s="6" t="s">
        <v>30</v>
      </c>
      <c r="R2343" s="4" t="s">
        <v>31</v>
      </c>
      <c r="S2343" s="7" t="s">
        <v>32</v>
      </c>
      <c r="T2343" s="5"/>
    </row>
    <row r="2344" customFormat="false" ht="29.25" hidden="false" customHeight="true" outlineLevel="0" collapsed="false">
      <c r="A2344" s="4" t="n">
        <v>2343</v>
      </c>
      <c r="B2344" s="6" t="s">
        <v>1787</v>
      </c>
      <c r="C2344" s="6" t="s">
        <v>8156</v>
      </c>
      <c r="D2344" s="6" t="s">
        <v>8157</v>
      </c>
      <c r="E2344" s="7" t="s">
        <v>21</v>
      </c>
      <c r="F2344" s="6" t="s">
        <v>8305</v>
      </c>
      <c r="G2344" s="6" t="s">
        <v>8294</v>
      </c>
      <c r="H2344" s="6" t="s">
        <v>8295</v>
      </c>
      <c r="I2344" s="6" t="s">
        <v>8266</v>
      </c>
      <c r="J2344" s="6" t="s">
        <v>8265</v>
      </c>
      <c r="K2344" s="5"/>
      <c r="L2344" s="4" t="s">
        <v>44</v>
      </c>
      <c r="M2344" s="8" t="s">
        <v>129</v>
      </c>
      <c r="N2344" s="9" t="s">
        <v>8167</v>
      </c>
      <c r="O2344" s="5"/>
      <c r="P2344" s="5"/>
      <c r="Q2344" s="6" t="s">
        <v>30</v>
      </c>
      <c r="R2344" s="4" t="s">
        <v>31</v>
      </c>
      <c r="S2344" s="7" t="s">
        <v>32</v>
      </c>
      <c r="T2344" s="5"/>
    </row>
    <row r="2345" customFormat="false" ht="29.25" hidden="false" customHeight="true" outlineLevel="0" collapsed="false">
      <c r="A2345" s="4" t="n">
        <v>2344</v>
      </c>
      <c r="B2345" s="6" t="s">
        <v>1787</v>
      </c>
      <c r="C2345" s="6" t="s">
        <v>8156</v>
      </c>
      <c r="D2345" s="6" t="s">
        <v>8157</v>
      </c>
      <c r="E2345" s="7" t="s">
        <v>21</v>
      </c>
      <c r="F2345" s="6" t="s">
        <v>8306</v>
      </c>
      <c r="G2345" s="6" t="s">
        <v>8307</v>
      </c>
      <c r="H2345" s="6" t="s">
        <v>8308</v>
      </c>
      <c r="I2345" s="6" t="s">
        <v>8309</v>
      </c>
      <c r="J2345" s="6" t="s">
        <v>150</v>
      </c>
      <c r="K2345" s="5"/>
      <c r="L2345" s="4" t="s">
        <v>51</v>
      </c>
      <c r="M2345" s="8" t="s">
        <v>79</v>
      </c>
      <c r="N2345" s="9" t="s">
        <v>8167</v>
      </c>
      <c r="O2345" s="5"/>
      <c r="P2345" s="5"/>
      <c r="Q2345" s="6" t="s">
        <v>30</v>
      </c>
      <c r="R2345" s="4" t="s">
        <v>31</v>
      </c>
      <c r="S2345" s="7" t="s">
        <v>32</v>
      </c>
      <c r="T2345" s="5"/>
    </row>
    <row r="2346" customFormat="false" ht="29.25" hidden="false" customHeight="true" outlineLevel="0" collapsed="false">
      <c r="A2346" s="4" t="n">
        <v>2345</v>
      </c>
      <c r="B2346" s="6" t="s">
        <v>1787</v>
      </c>
      <c r="C2346" s="6" t="s">
        <v>8156</v>
      </c>
      <c r="D2346" s="6" t="s">
        <v>8157</v>
      </c>
      <c r="E2346" s="7" t="s">
        <v>21</v>
      </c>
      <c r="F2346" s="6" t="s">
        <v>8310</v>
      </c>
      <c r="G2346" s="6" t="s">
        <v>8307</v>
      </c>
      <c r="H2346" s="6" t="s">
        <v>8308</v>
      </c>
      <c r="I2346" s="6" t="s">
        <v>8266</v>
      </c>
      <c r="J2346" s="6" t="s">
        <v>8265</v>
      </c>
      <c r="K2346" s="5"/>
      <c r="L2346" s="4" t="s">
        <v>62</v>
      </c>
      <c r="M2346" s="8" t="s">
        <v>129</v>
      </c>
      <c r="N2346" s="9" t="s">
        <v>8167</v>
      </c>
      <c r="O2346" s="5"/>
      <c r="P2346" s="5"/>
      <c r="Q2346" s="6" t="s">
        <v>30</v>
      </c>
      <c r="R2346" s="4" t="s">
        <v>31</v>
      </c>
      <c r="S2346" s="7" t="s">
        <v>32</v>
      </c>
      <c r="T2346" s="5"/>
    </row>
    <row r="2347" customFormat="false" ht="29.25" hidden="false" customHeight="true" outlineLevel="0" collapsed="false">
      <c r="A2347" s="4" t="n">
        <v>2346</v>
      </c>
      <c r="B2347" s="6" t="s">
        <v>1787</v>
      </c>
      <c r="C2347" s="6" t="s">
        <v>8156</v>
      </c>
      <c r="D2347" s="6" t="s">
        <v>8157</v>
      </c>
      <c r="E2347" s="7" t="s">
        <v>21</v>
      </c>
      <c r="F2347" s="6" t="s">
        <v>8311</v>
      </c>
      <c r="G2347" s="5" t="s">
        <v>7849</v>
      </c>
      <c r="H2347" s="5" t="s">
        <v>7850</v>
      </c>
      <c r="I2347" s="5" t="s">
        <v>8312</v>
      </c>
      <c r="J2347" s="5" t="s">
        <v>8313</v>
      </c>
      <c r="K2347" s="5"/>
      <c r="L2347" s="4" t="s">
        <v>27</v>
      </c>
      <c r="M2347" s="8" t="s">
        <v>129</v>
      </c>
      <c r="N2347" s="9" t="s">
        <v>8167</v>
      </c>
      <c r="O2347" s="5"/>
      <c r="P2347" s="5"/>
      <c r="Q2347" s="6" t="s">
        <v>30</v>
      </c>
      <c r="R2347" s="4" t="s">
        <v>31</v>
      </c>
      <c r="S2347" s="7" t="s">
        <v>32</v>
      </c>
      <c r="T2347" s="5"/>
    </row>
    <row r="2348" customFormat="false" ht="29.25" hidden="false" customHeight="true" outlineLevel="0" collapsed="false">
      <c r="A2348" s="4" t="n">
        <v>2347</v>
      </c>
      <c r="B2348" s="6" t="s">
        <v>1787</v>
      </c>
      <c r="C2348" s="6" t="s">
        <v>8156</v>
      </c>
      <c r="D2348" s="6" t="s">
        <v>8157</v>
      </c>
      <c r="E2348" s="7" t="s">
        <v>21</v>
      </c>
      <c r="F2348" s="6" t="s">
        <v>8314</v>
      </c>
      <c r="G2348" s="6" t="s">
        <v>8315</v>
      </c>
      <c r="H2348" s="6" t="s">
        <v>8316</v>
      </c>
      <c r="I2348" s="6" t="s">
        <v>8317</v>
      </c>
      <c r="J2348" s="6" t="s">
        <v>8318</v>
      </c>
      <c r="K2348" s="5"/>
      <c r="L2348" s="4" t="s">
        <v>51</v>
      </c>
      <c r="M2348" s="8" t="s">
        <v>28</v>
      </c>
      <c r="N2348" s="9" t="s">
        <v>8167</v>
      </c>
      <c r="O2348" s="5"/>
      <c r="P2348" s="5"/>
      <c r="Q2348" s="6" t="s">
        <v>30</v>
      </c>
      <c r="R2348" s="4" t="s">
        <v>31</v>
      </c>
      <c r="S2348" s="7" t="s">
        <v>32</v>
      </c>
      <c r="T2348" s="5"/>
    </row>
    <row r="2349" customFormat="false" ht="29.25" hidden="false" customHeight="true" outlineLevel="0" collapsed="false">
      <c r="A2349" s="4" t="n">
        <v>2348</v>
      </c>
      <c r="B2349" s="6" t="s">
        <v>1787</v>
      </c>
      <c r="C2349" s="6" t="s">
        <v>8156</v>
      </c>
      <c r="D2349" s="6" t="s">
        <v>8157</v>
      </c>
      <c r="E2349" s="7" t="s">
        <v>21</v>
      </c>
      <c r="F2349" s="6" t="s">
        <v>8319</v>
      </c>
      <c r="G2349" s="6" t="s">
        <v>8315</v>
      </c>
      <c r="H2349" s="6" t="s">
        <v>8316</v>
      </c>
      <c r="I2349" s="6" t="s">
        <v>8317</v>
      </c>
      <c r="J2349" s="6" t="s">
        <v>8318</v>
      </c>
      <c r="K2349" s="5"/>
      <c r="L2349" s="4" t="s">
        <v>62</v>
      </c>
      <c r="M2349" s="8" t="s">
        <v>28</v>
      </c>
      <c r="N2349" s="9" t="s">
        <v>8167</v>
      </c>
      <c r="O2349" s="5"/>
      <c r="P2349" s="5"/>
      <c r="Q2349" s="6" t="s">
        <v>30</v>
      </c>
      <c r="R2349" s="4" t="s">
        <v>31</v>
      </c>
      <c r="S2349" s="7" t="s">
        <v>32</v>
      </c>
      <c r="T2349" s="5"/>
    </row>
    <row r="2350" customFormat="false" ht="29.25" hidden="false" customHeight="true" outlineLevel="0" collapsed="false">
      <c r="A2350" s="4" t="n">
        <v>2349</v>
      </c>
      <c r="B2350" s="6" t="s">
        <v>1787</v>
      </c>
      <c r="C2350" s="6" t="s">
        <v>8156</v>
      </c>
      <c r="D2350" s="6" t="s">
        <v>8157</v>
      </c>
      <c r="E2350" s="7" t="s">
        <v>21</v>
      </c>
      <c r="F2350" s="6" t="s">
        <v>8320</v>
      </c>
      <c r="G2350" s="6" t="s">
        <v>8315</v>
      </c>
      <c r="H2350" s="6" t="s">
        <v>8316</v>
      </c>
      <c r="I2350" s="6" t="s">
        <v>8317</v>
      </c>
      <c r="J2350" s="6" t="s">
        <v>8318</v>
      </c>
      <c r="K2350" s="5"/>
      <c r="L2350" s="4" t="s">
        <v>27</v>
      </c>
      <c r="M2350" s="8" t="s">
        <v>28</v>
      </c>
      <c r="N2350" s="9" t="s">
        <v>8167</v>
      </c>
      <c r="O2350" s="5"/>
      <c r="P2350" s="5"/>
      <c r="Q2350" s="6" t="s">
        <v>30</v>
      </c>
      <c r="R2350" s="4" t="s">
        <v>31</v>
      </c>
      <c r="S2350" s="7" t="s">
        <v>32</v>
      </c>
      <c r="T2350" s="5"/>
    </row>
    <row r="2351" customFormat="false" ht="29.25" hidden="false" customHeight="true" outlineLevel="0" collapsed="false">
      <c r="A2351" s="4" t="n">
        <v>2350</v>
      </c>
      <c r="B2351" s="6" t="s">
        <v>1787</v>
      </c>
      <c r="C2351" s="6" t="s">
        <v>8156</v>
      </c>
      <c r="D2351" s="6" t="s">
        <v>8157</v>
      </c>
      <c r="E2351" s="7" t="s">
        <v>21</v>
      </c>
      <c r="F2351" s="6" t="s">
        <v>8321</v>
      </c>
      <c r="G2351" s="6" t="s">
        <v>8315</v>
      </c>
      <c r="H2351" s="6" t="s">
        <v>8316</v>
      </c>
      <c r="I2351" s="6" t="s">
        <v>8317</v>
      </c>
      <c r="J2351" s="6" t="s">
        <v>8318</v>
      </c>
      <c r="K2351" s="5"/>
      <c r="L2351" s="4" t="s">
        <v>44</v>
      </c>
      <c r="M2351" s="8" t="s">
        <v>28</v>
      </c>
      <c r="N2351" s="9" t="s">
        <v>8167</v>
      </c>
      <c r="O2351" s="5"/>
      <c r="P2351" s="5"/>
      <c r="Q2351" s="6" t="s">
        <v>30</v>
      </c>
      <c r="R2351" s="4" t="s">
        <v>31</v>
      </c>
      <c r="S2351" s="7" t="s">
        <v>32</v>
      </c>
      <c r="T2351" s="5"/>
    </row>
    <row r="2352" customFormat="false" ht="29.25" hidden="false" customHeight="true" outlineLevel="0" collapsed="false">
      <c r="A2352" s="4" t="n">
        <v>2351</v>
      </c>
      <c r="B2352" s="6" t="s">
        <v>1787</v>
      </c>
      <c r="C2352" s="6" t="s">
        <v>8156</v>
      </c>
      <c r="D2352" s="6" t="s">
        <v>8157</v>
      </c>
      <c r="E2352" s="7" t="s">
        <v>21</v>
      </c>
      <c r="F2352" s="6" t="s">
        <v>8322</v>
      </c>
      <c r="G2352" s="6" t="s">
        <v>8323</v>
      </c>
      <c r="H2352" s="6" t="s">
        <v>8316</v>
      </c>
      <c r="I2352" s="6" t="s">
        <v>8317</v>
      </c>
      <c r="J2352" s="6" t="s">
        <v>8318</v>
      </c>
      <c r="K2352" s="5"/>
      <c r="L2352" s="4" t="s">
        <v>51</v>
      </c>
      <c r="M2352" s="8" t="s">
        <v>28</v>
      </c>
      <c r="N2352" s="9" t="s">
        <v>8167</v>
      </c>
      <c r="O2352" s="5"/>
      <c r="P2352" s="5"/>
      <c r="Q2352" s="6" t="s">
        <v>30</v>
      </c>
      <c r="R2352" s="4" t="s">
        <v>31</v>
      </c>
      <c r="S2352" s="7" t="s">
        <v>32</v>
      </c>
      <c r="T2352" s="5"/>
    </row>
    <row r="2353" customFormat="false" ht="29.25" hidden="false" customHeight="true" outlineLevel="0" collapsed="false">
      <c r="A2353" s="4" t="n">
        <v>2352</v>
      </c>
      <c r="B2353" s="6" t="s">
        <v>1787</v>
      </c>
      <c r="C2353" s="6" t="s">
        <v>8156</v>
      </c>
      <c r="D2353" s="6" t="s">
        <v>8157</v>
      </c>
      <c r="E2353" s="7" t="s">
        <v>21</v>
      </c>
      <c r="F2353" s="6" t="s">
        <v>8324</v>
      </c>
      <c r="G2353" s="5" t="s">
        <v>8325</v>
      </c>
      <c r="H2353" s="5" t="s">
        <v>769</v>
      </c>
      <c r="I2353" s="5" t="s">
        <v>1333</v>
      </c>
      <c r="J2353" s="6" t="s">
        <v>150</v>
      </c>
      <c r="K2353" s="5"/>
      <c r="L2353" s="4" t="s">
        <v>51</v>
      </c>
      <c r="M2353" s="8" t="s">
        <v>28</v>
      </c>
      <c r="N2353" s="9" t="s">
        <v>8167</v>
      </c>
      <c r="O2353" s="5"/>
      <c r="P2353" s="5"/>
      <c r="Q2353" s="6" t="s">
        <v>30</v>
      </c>
      <c r="R2353" s="4" t="s">
        <v>31</v>
      </c>
      <c r="S2353" s="7" t="s">
        <v>32</v>
      </c>
      <c r="T2353" s="5"/>
    </row>
    <row r="2354" customFormat="false" ht="43.5" hidden="false" customHeight="true" outlineLevel="0" collapsed="false">
      <c r="A2354" s="4" t="n">
        <v>2353</v>
      </c>
      <c r="B2354" s="6" t="s">
        <v>1787</v>
      </c>
      <c r="C2354" s="6" t="s">
        <v>8156</v>
      </c>
      <c r="D2354" s="6" t="s">
        <v>8157</v>
      </c>
      <c r="E2354" s="7" t="s">
        <v>21</v>
      </c>
      <c r="F2354" s="6" t="s">
        <v>8326</v>
      </c>
      <c r="G2354" s="5" t="s">
        <v>703</v>
      </c>
      <c r="H2354" s="5" t="s">
        <v>8327</v>
      </c>
      <c r="I2354" s="5" t="s">
        <v>8328</v>
      </c>
      <c r="J2354" s="6" t="s">
        <v>150</v>
      </c>
      <c r="K2354" s="5"/>
      <c r="L2354" s="4" t="s">
        <v>62</v>
      </c>
      <c r="M2354" s="8" t="s">
        <v>28</v>
      </c>
      <c r="N2354" s="9" t="s">
        <v>8329</v>
      </c>
      <c r="O2354" s="5"/>
      <c r="P2354" s="5"/>
      <c r="Q2354" s="6" t="s">
        <v>30</v>
      </c>
      <c r="R2354" s="4" t="s">
        <v>31</v>
      </c>
      <c r="S2354" s="7" t="s">
        <v>32</v>
      </c>
      <c r="T2354" s="5"/>
    </row>
    <row r="2355" customFormat="false" ht="29.25" hidden="false" customHeight="true" outlineLevel="0" collapsed="false">
      <c r="A2355" s="4" t="n">
        <v>2354</v>
      </c>
      <c r="B2355" s="6" t="s">
        <v>1787</v>
      </c>
      <c r="C2355" s="6" t="s">
        <v>8156</v>
      </c>
      <c r="D2355" s="6" t="s">
        <v>8157</v>
      </c>
      <c r="E2355" s="7" t="s">
        <v>21</v>
      </c>
      <c r="F2355" s="6" t="s">
        <v>8330</v>
      </c>
      <c r="G2355" s="6" t="s">
        <v>8331</v>
      </c>
      <c r="H2355" s="6" t="s">
        <v>8332</v>
      </c>
      <c r="I2355" s="6" t="s">
        <v>8333</v>
      </c>
      <c r="J2355" s="6" t="s">
        <v>78</v>
      </c>
      <c r="K2355" s="5"/>
      <c r="L2355" s="4" t="s">
        <v>44</v>
      </c>
      <c r="M2355" s="8" t="s">
        <v>28</v>
      </c>
      <c r="N2355" s="9" t="s">
        <v>8167</v>
      </c>
      <c r="O2355" s="5"/>
      <c r="P2355" s="5"/>
      <c r="Q2355" s="6" t="s">
        <v>30</v>
      </c>
      <c r="R2355" s="4" t="s">
        <v>31</v>
      </c>
      <c r="S2355" s="7" t="s">
        <v>32</v>
      </c>
      <c r="T2355" s="5"/>
    </row>
    <row r="2356" customFormat="false" ht="29.25" hidden="false" customHeight="true" outlineLevel="0" collapsed="false">
      <c r="A2356" s="4" t="n">
        <v>2355</v>
      </c>
      <c r="B2356" s="6" t="s">
        <v>1787</v>
      </c>
      <c r="C2356" s="6" t="s">
        <v>8156</v>
      </c>
      <c r="D2356" s="6" t="s">
        <v>8157</v>
      </c>
      <c r="E2356" s="7" t="s">
        <v>21</v>
      </c>
      <c r="F2356" s="6" t="s">
        <v>8334</v>
      </c>
      <c r="G2356" s="6" t="s">
        <v>8335</v>
      </c>
      <c r="H2356" s="6" t="s">
        <v>8336</v>
      </c>
      <c r="I2356" s="6" t="s">
        <v>8337</v>
      </c>
      <c r="J2356" s="6" t="s">
        <v>150</v>
      </c>
      <c r="K2356" s="5"/>
      <c r="L2356" s="4" t="s">
        <v>51</v>
      </c>
      <c r="M2356" s="8" t="s">
        <v>28</v>
      </c>
      <c r="N2356" s="9" t="s">
        <v>8167</v>
      </c>
      <c r="O2356" s="5"/>
      <c r="P2356" s="5"/>
      <c r="Q2356" s="6" t="s">
        <v>30</v>
      </c>
      <c r="R2356" s="4" t="s">
        <v>31</v>
      </c>
      <c r="S2356" s="7" t="s">
        <v>32</v>
      </c>
      <c r="T2356" s="5"/>
    </row>
    <row r="2357" customFormat="false" ht="43.5" hidden="false" customHeight="true" outlineLevel="0" collapsed="false">
      <c r="A2357" s="4" t="n">
        <v>2356</v>
      </c>
      <c r="B2357" s="6" t="s">
        <v>1787</v>
      </c>
      <c r="C2357" s="6" t="s">
        <v>8156</v>
      </c>
      <c r="D2357" s="6" t="s">
        <v>8157</v>
      </c>
      <c r="E2357" s="7" t="s">
        <v>21</v>
      </c>
      <c r="F2357" s="6" t="s">
        <v>8338</v>
      </c>
      <c r="G2357" s="6" t="s">
        <v>8339</v>
      </c>
      <c r="H2357" s="6" t="s">
        <v>8340</v>
      </c>
      <c r="I2357" s="6" t="s">
        <v>8341</v>
      </c>
      <c r="J2357" s="6" t="s">
        <v>150</v>
      </c>
      <c r="K2357" s="5"/>
      <c r="L2357" s="4" t="s">
        <v>62</v>
      </c>
      <c r="M2357" s="8" t="s">
        <v>28</v>
      </c>
      <c r="N2357" s="9" t="s">
        <v>8167</v>
      </c>
      <c r="O2357" s="5"/>
      <c r="P2357" s="5"/>
      <c r="Q2357" s="6" t="s">
        <v>30</v>
      </c>
      <c r="R2357" s="4" t="s">
        <v>31</v>
      </c>
      <c r="S2357" s="7" t="s">
        <v>32</v>
      </c>
      <c r="T2357" s="5"/>
    </row>
    <row r="2358" customFormat="false" ht="29.25" hidden="false" customHeight="true" outlineLevel="0" collapsed="false">
      <c r="A2358" s="4" t="n">
        <v>2357</v>
      </c>
      <c r="B2358" s="6" t="s">
        <v>1787</v>
      </c>
      <c r="C2358" s="6" t="s">
        <v>8156</v>
      </c>
      <c r="D2358" s="6" t="s">
        <v>8157</v>
      </c>
      <c r="E2358" s="7" t="s">
        <v>21</v>
      </c>
      <c r="F2358" s="6" t="s">
        <v>8342</v>
      </c>
      <c r="G2358" s="6" t="s">
        <v>8343</v>
      </c>
      <c r="H2358" s="6" t="s">
        <v>8344</v>
      </c>
      <c r="I2358" s="6" t="s">
        <v>2469</v>
      </c>
      <c r="J2358" s="6" t="s">
        <v>78</v>
      </c>
      <c r="K2358" s="5"/>
      <c r="L2358" s="4" t="s">
        <v>62</v>
      </c>
      <c r="M2358" s="8" t="s">
        <v>79</v>
      </c>
      <c r="N2358" s="9" t="s">
        <v>8167</v>
      </c>
      <c r="O2358" s="5"/>
      <c r="P2358" s="5"/>
      <c r="Q2358" s="6" t="s">
        <v>30</v>
      </c>
      <c r="R2358" s="4" t="s">
        <v>31</v>
      </c>
      <c r="S2358" s="7" t="s">
        <v>32</v>
      </c>
      <c r="T2358" s="5"/>
    </row>
    <row r="2359" customFormat="false" ht="29.25" hidden="false" customHeight="true" outlineLevel="0" collapsed="false">
      <c r="A2359" s="4" t="n">
        <v>2358</v>
      </c>
      <c r="B2359" s="6" t="s">
        <v>1787</v>
      </c>
      <c r="C2359" s="6" t="s">
        <v>8156</v>
      </c>
      <c r="D2359" s="6" t="s">
        <v>8157</v>
      </c>
      <c r="E2359" s="7" t="s">
        <v>21</v>
      </c>
      <c r="F2359" s="6" t="s">
        <v>8345</v>
      </c>
      <c r="G2359" s="6" t="s">
        <v>8343</v>
      </c>
      <c r="H2359" s="6" t="s">
        <v>8344</v>
      </c>
      <c r="I2359" s="6" t="s">
        <v>2469</v>
      </c>
      <c r="J2359" s="6" t="s">
        <v>78</v>
      </c>
      <c r="K2359" s="5"/>
      <c r="L2359" s="4" t="s">
        <v>62</v>
      </c>
      <c r="M2359" s="8" t="s">
        <v>79</v>
      </c>
      <c r="N2359" s="9" t="s">
        <v>8167</v>
      </c>
      <c r="O2359" s="5"/>
      <c r="P2359" s="5"/>
      <c r="Q2359" s="6" t="s">
        <v>30</v>
      </c>
      <c r="R2359" s="4" t="s">
        <v>31</v>
      </c>
      <c r="S2359" s="7" t="s">
        <v>32</v>
      </c>
      <c r="T2359" s="5"/>
    </row>
    <row r="2360" customFormat="false" ht="29.25" hidden="false" customHeight="true" outlineLevel="0" collapsed="false">
      <c r="A2360" s="4" t="n">
        <v>2359</v>
      </c>
      <c r="B2360" s="6" t="s">
        <v>1787</v>
      </c>
      <c r="C2360" s="6" t="s">
        <v>8156</v>
      </c>
      <c r="D2360" s="6" t="s">
        <v>8157</v>
      </c>
      <c r="E2360" s="7" t="s">
        <v>21</v>
      </c>
      <c r="F2360" s="6" t="s">
        <v>8346</v>
      </c>
      <c r="G2360" s="5" t="s">
        <v>1253</v>
      </c>
      <c r="H2360" s="5" t="s">
        <v>1255</v>
      </c>
      <c r="I2360" s="5" t="s">
        <v>1902</v>
      </c>
      <c r="J2360" s="5" t="s">
        <v>8347</v>
      </c>
      <c r="K2360" s="5"/>
      <c r="L2360" s="4" t="s">
        <v>44</v>
      </c>
      <c r="M2360" s="8" t="s">
        <v>28</v>
      </c>
      <c r="N2360" s="9" t="s">
        <v>8167</v>
      </c>
      <c r="O2360" s="5"/>
      <c r="P2360" s="5"/>
      <c r="Q2360" s="6" t="s">
        <v>30</v>
      </c>
      <c r="R2360" s="4" t="s">
        <v>31</v>
      </c>
      <c r="S2360" s="7" t="s">
        <v>32</v>
      </c>
      <c r="T2360" s="5"/>
    </row>
    <row r="2361" customFormat="false" ht="29.25" hidden="false" customHeight="true" outlineLevel="0" collapsed="false">
      <c r="A2361" s="4" t="n">
        <v>2360</v>
      </c>
      <c r="B2361" s="6" t="s">
        <v>1787</v>
      </c>
      <c r="C2361" s="6" t="s">
        <v>8156</v>
      </c>
      <c r="D2361" s="6" t="s">
        <v>8157</v>
      </c>
      <c r="E2361" s="7" t="s">
        <v>21</v>
      </c>
      <c r="F2361" s="6" t="s">
        <v>8348</v>
      </c>
      <c r="G2361" s="5" t="s">
        <v>1253</v>
      </c>
      <c r="H2361" s="5" t="s">
        <v>1255</v>
      </c>
      <c r="I2361" s="5" t="s">
        <v>1902</v>
      </c>
      <c r="J2361" s="5" t="s">
        <v>8347</v>
      </c>
      <c r="K2361" s="5"/>
      <c r="L2361" s="4" t="s">
        <v>44</v>
      </c>
      <c r="M2361" s="8" t="s">
        <v>79</v>
      </c>
      <c r="N2361" s="9" t="s">
        <v>8167</v>
      </c>
      <c r="O2361" s="5"/>
      <c r="P2361" s="5"/>
      <c r="Q2361" s="6" t="s">
        <v>30</v>
      </c>
      <c r="R2361" s="4" t="s">
        <v>31</v>
      </c>
      <c r="S2361" s="7" t="s">
        <v>32</v>
      </c>
      <c r="T2361" s="5"/>
    </row>
    <row r="2362" customFormat="false" ht="29.25" hidden="false" customHeight="true" outlineLevel="0" collapsed="false">
      <c r="A2362" s="4" t="n">
        <v>2361</v>
      </c>
      <c r="B2362" s="6" t="s">
        <v>1787</v>
      </c>
      <c r="C2362" s="6" t="s">
        <v>8156</v>
      </c>
      <c r="D2362" s="6" t="s">
        <v>8157</v>
      </c>
      <c r="E2362" s="7" t="s">
        <v>21</v>
      </c>
      <c r="F2362" s="6" t="s">
        <v>8349</v>
      </c>
      <c r="G2362" s="6" t="s">
        <v>8350</v>
      </c>
      <c r="H2362" s="6" t="s">
        <v>1382</v>
      </c>
      <c r="I2362" s="6" t="s">
        <v>8351</v>
      </c>
      <c r="J2362" s="6" t="s">
        <v>150</v>
      </c>
      <c r="K2362" s="5"/>
      <c r="L2362" s="4" t="s">
        <v>62</v>
      </c>
      <c r="M2362" s="8" t="s">
        <v>79</v>
      </c>
      <c r="N2362" s="9" t="s">
        <v>8167</v>
      </c>
      <c r="O2362" s="5"/>
      <c r="P2362" s="5"/>
      <c r="Q2362" s="6" t="s">
        <v>30</v>
      </c>
      <c r="R2362" s="4" t="s">
        <v>31</v>
      </c>
      <c r="S2362" s="7" t="s">
        <v>32</v>
      </c>
      <c r="T2362" s="5"/>
    </row>
    <row r="2363" customFormat="false" ht="29.25" hidden="false" customHeight="true" outlineLevel="0" collapsed="false">
      <c r="A2363" s="4" t="n">
        <v>2362</v>
      </c>
      <c r="B2363" s="6" t="s">
        <v>1787</v>
      </c>
      <c r="C2363" s="6" t="s">
        <v>8156</v>
      </c>
      <c r="D2363" s="6" t="s">
        <v>8157</v>
      </c>
      <c r="E2363" s="7" t="s">
        <v>21</v>
      </c>
      <c r="F2363" s="6" t="s">
        <v>8352</v>
      </c>
      <c r="G2363" s="6" t="s">
        <v>8353</v>
      </c>
      <c r="H2363" s="6" t="s">
        <v>8354</v>
      </c>
      <c r="I2363" s="6" t="s">
        <v>8355</v>
      </c>
      <c r="J2363" s="6" t="s">
        <v>150</v>
      </c>
      <c r="K2363" s="5"/>
      <c r="L2363" s="4" t="s">
        <v>27</v>
      </c>
      <c r="M2363" s="8" t="s">
        <v>79</v>
      </c>
      <c r="N2363" s="9" t="s">
        <v>8167</v>
      </c>
      <c r="O2363" s="5"/>
      <c r="P2363" s="5"/>
      <c r="Q2363" s="6" t="s">
        <v>30</v>
      </c>
      <c r="R2363" s="4" t="s">
        <v>31</v>
      </c>
      <c r="S2363" s="7" t="s">
        <v>32</v>
      </c>
      <c r="T2363" s="5"/>
    </row>
    <row r="2364" customFormat="false" ht="29.25" hidden="false" customHeight="true" outlineLevel="0" collapsed="false">
      <c r="A2364" s="4" t="n">
        <v>2363</v>
      </c>
      <c r="B2364" s="6" t="s">
        <v>1787</v>
      </c>
      <c r="C2364" s="6" t="s">
        <v>8156</v>
      </c>
      <c r="D2364" s="6" t="s">
        <v>8157</v>
      </c>
      <c r="E2364" s="7" t="s">
        <v>21</v>
      </c>
      <c r="F2364" s="6" t="s">
        <v>8356</v>
      </c>
      <c r="G2364" s="6" t="s">
        <v>8350</v>
      </c>
      <c r="H2364" s="6" t="s">
        <v>1382</v>
      </c>
      <c r="I2364" s="6" t="s">
        <v>8351</v>
      </c>
      <c r="J2364" s="6" t="s">
        <v>150</v>
      </c>
      <c r="K2364" s="5"/>
      <c r="L2364" s="4" t="s">
        <v>62</v>
      </c>
      <c r="M2364" s="8" t="s">
        <v>79</v>
      </c>
      <c r="N2364" s="9" t="s">
        <v>8167</v>
      </c>
      <c r="O2364" s="5"/>
      <c r="P2364" s="5"/>
      <c r="Q2364" s="6" t="s">
        <v>30</v>
      </c>
      <c r="R2364" s="4" t="s">
        <v>31</v>
      </c>
      <c r="S2364" s="7" t="s">
        <v>32</v>
      </c>
      <c r="T2364" s="5"/>
    </row>
    <row r="2365" customFormat="false" ht="29.25" hidden="false" customHeight="true" outlineLevel="0" collapsed="false">
      <c r="A2365" s="4" t="n">
        <v>2364</v>
      </c>
      <c r="B2365" s="6" t="s">
        <v>1787</v>
      </c>
      <c r="C2365" s="6" t="s">
        <v>8156</v>
      </c>
      <c r="D2365" s="6" t="s">
        <v>8157</v>
      </c>
      <c r="E2365" s="7" t="s">
        <v>21</v>
      </c>
      <c r="F2365" s="6" t="s">
        <v>8357</v>
      </c>
      <c r="G2365" s="6" t="s">
        <v>8350</v>
      </c>
      <c r="H2365" s="6" t="s">
        <v>1382</v>
      </c>
      <c r="I2365" s="6" t="s">
        <v>8351</v>
      </c>
      <c r="J2365" s="6" t="s">
        <v>150</v>
      </c>
      <c r="K2365" s="5"/>
      <c r="L2365" s="4" t="s">
        <v>62</v>
      </c>
      <c r="M2365" s="8" t="s">
        <v>79</v>
      </c>
      <c r="N2365" s="9" t="s">
        <v>8167</v>
      </c>
      <c r="O2365" s="5"/>
      <c r="P2365" s="5"/>
      <c r="Q2365" s="6" t="s">
        <v>30</v>
      </c>
      <c r="R2365" s="4" t="s">
        <v>31</v>
      </c>
      <c r="S2365" s="7" t="s">
        <v>32</v>
      </c>
      <c r="T2365" s="5"/>
    </row>
    <row r="2366" customFormat="false" ht="29.25" hidden="false" customHeight="true" outlineLevel="0" collapsed="false">
      <c r="A2366" s="4" t="n">
        <v>2365</v>
      </c>
      <c r="B2366" s="6" t="s">
        <v>1787</v>
      </c>
      <c r="C2366" s="6" t="s">
        <v>8156</v>
      </c>
      <c r="D2366" s="6" t="s">
        <v>8157</v>
      </c>
      <c r="E2366" s="7" t="s">
        <v>21</v>
      </c>
      <c r="F2366" s="6" t="s">
        <v>8358</v>
      </c>
      <c r="G2366" s="6" t="s">
        <v>8359</v>
      </c>
      <c r="H2366" s="6" t="s">
        <v>8360</v>
      </c>
      <c r="I2366" s="6" t="s">
        <v>8351</v>
      </c>
      <c r="J2366" s="6" t="s">
        <v>150</v>
      </c>
      <c r="K2366" s="5"/>
      <c r="L2366" s="4" t="s">
        <v>51</v>
      </c>
      <c r="M2366" s="8" t="s">
        <v>79</v>
      </c>
      <c r="N2366" s="9" t="s">
        <v>8167</v>
      </c>
      <c r="O2366" s="5"/>
      <c r="P2366" s="5"/>
      <c r="Q2366" s="6" t="s">
        <v>30</v>
      </c>
      <c r="R2366" s="4" t="s">
        <v>31</v>
      </c>
      <c r="S2366" s="7" t="s">
        <v>32</v>
      </c>
      <c r="T2366" s="5"/>
    </row>
    <row r="2367" customFormat="false" ht="29.25" hidden="false" customHeight="true" outlineLevel="0" collapsed="false">
      <c r="A2367" s="4" t="n">
        <v>2366</v>
      </c>
      <c r="B2367" s="6" t="s">
        <v>1787</v>
      </c>
      <c r="C2367" s="6" t="s">
        <v>8156</v>
      </c>
      <c r="D2367" s="6" t="s">
        <v>8157</v>
      </c>
      <c r="E2367" s="7" t="s">
        <v>21</v>
      </c>
      <c r="F2367" s="6" t="s">
        <v>8361</v>
      </c>
      <c r="G2367" s="5" t="s">
        <v>6046</v>
      </c>
      <c r="H2367" s="5" t="s">
        <v>6044</v>
      </c>
      <c r="I2367" s="5" t="s">
        <v>6042</v>
      </c>
      <c r="J2367" s="5" t="s">
        <v>6041</v>
      </c>
      <c r="K2367" s="5"/>
      <c r="L2367" s="4" t="s">
        <v>51</v>
      </c>
      <c r="M2367" s="8" t="s">
        <v>79</v>
      </c>
      <c r="N2367" s="9" t="s">
        <v>8167</v>
      </c>
      <c r="O2367" s="5"/>
      <c r="P2367" s="5"/>
      <c r="Q2367" s="6" t="s">
        <v>30</v>
      </c>
      <c r="R2367" s="4" t="s">
        <v>31</v>
      </c>
      <c r="S2367" s="7" t="s">
        <v>32</v>
      </c>
      <c r="T2367" s="5"/>
    </row>
    <row r="2368" customFormat="false" ht="29.25" hidden="false" customHeight="true" outlineLevel="0" collapsed="false">
      <c r="A2368" s="4" t="n">
        <v>2367</v>
      </c>
      <c r="B2368" s="6" t="s">
        <v>1787</v>
      </c>
      <c r="C2368" s="6" t="s">
        <v>8156</v>
      </c>
      <c r="D2368" s="6" t="s">
        <v>8157</v>
      </c>
      <c r="E2368" s="7" t="s">
        <v>21</v>
      </c>
      <c r="F2368" s="6" t="s">
        <v>8362</v>
      </c>
      <c r="G2368" s="5" t="s">
        <v>8363</v>
      </c>
      <c r="H2368" s="5" t="s">
        <v>1256</v>
      </c>
      <c r="I2368" s="5" t="s">
        <v>8364</v>
      </c>
      <c r="J2368" s="5" t="s">
        <v>8365</v>
      </c>
      <c r="K2368" s="5"/>
      <c r="L2368" s="4" t="s">
        <v>51</v>
      </c>
      <c r="M2368" s="8" t="s">
        <v>129</v>
      </c>
      <c r="N2368" s="9" t="s">
        <v>8167</v>
      </c>
      <c r="O2368" s="5"/>
      <c r="P2368" s="5"/>
      <c r="Q2368" s="6" t="s">
        <v>30</v>
      </c>
      <c r="R2368" s="4" t="s">
        <v>31</v>
      </c>
      <c r="S2368" s="7" t="s">
        <v>32</v>
      </c>
      <c r="T2368" s="5"/>
    </row>
    <row r="2369" customFormat="false" ht="29.25" hidden="false" customHeight="true" outlineLevel="0" collapsed="false">
      <c r="A2369" s="4" t="n">
        <v>2368</v>
      </c>
      <c r="B2369" s="6" t="s">
        <v>1787</v>
      </c>
      <c r="C2369" s="6" t="s">
        <v>8156</v>
      </c>
      <c r="D2369" s="6" t="s">
        <v>8157</v>
      </c>
      <c r="E2369" s="7" t="s">
        <v>21</v>
      </c>
      <c r="F2369" s="6" t="s">
        <v>8366</v>
      </c>
      <c r="G2369" s="5" t="s">
        <v>8367</v>
      </c>
      <c r="H2369" s="5" t="s">
        <v>8368</v>
      </c>
      <c r="I2369" s="5" t="s">
        <v>8369</v>
      </c>
      <c r="J2369" s="5" t="s">
        <v>8370</v>
      </c>
      <c r="K2369" s="5"/>
      <c r="L2369" s="4" t="s">
        <v>44</v>
      </c>
      <c r="M2369" s="8" t="s">
        <v>79</v>
      </c>
      <c r="N2369" s="9" t="s">
        <v>8167</v>
      </c>
      <c r="O2369" s="5"/>
      <c r="P2369" s="5"/>
      <c r="Q2369" s="6" t="s">
        <v>30</v>
      </c>
      <c r="R2369" s="4" t="s">
        <v>31</v>
      </c>
      <c r="S2369" s="7" t="s">
        <v>32</v>
      </c>
      <c r="T2369" s="5"/>
    </row>
    <row r="2370" customFormat="false" ht="29.25" hidden="false" customHeight="true" outlineLevel="0" collapsed="false">
      <c r="A2370" s="4" t="n">
        <v>2369</v>
      </c>
      <c r="B2370" s="6" t="s">
        <v>1787</v>
      </c>
      <c r="C2370" s="6" t="s">
        <v>8156</v>
      </c>
      <c r="D2370" s="6" t="s">
        <v>8157</v>
      </c>
      <c r="E2370" s="7" t="s">
        <v>21</v>
      </c>
      <c r="F2370" s="6" t="s">
        <v>8371</v>
      </c>
      <c r="G2370" s="5" t="s">
        <v>8372</v>
      </c>
      <c r="H2370" s="5" t="s">
        <v>8373</v>
      </c>
      <c r="I2370" s="5" t="s">
        <v>8374</v>
      </c>
      <c r="J2370" s="5" t="s">
        <v>6014</v>
      </c>
      <c r="K2370" s="5"/>
      <c r="L2370" s="4" t="s">
        <v>27</v>
      </c>
      <c r="M2370" s="8" t="s">
        <v>79</v>
      </c>
      <c r="N2370" s="9" t="s">
        <v>8167</v>
      </c>
      <c r="O2370" s="5"/>
      <c r="P2370" s="5"/>
      <c r="Q2370" s="6" t="s">
        <v>30</v>
      </c>
      <c r="R2370" s="4" t="s">
        <v>31</v>
      </c>
      <c r="S2370" s="7" t="s">
        <v>32</v>
      </c>
      <c r="T2370" s="5"/>
    </row>
    <row r="2371" customFormat="false" ht="29.25" hidden="false" customHeight="true" outlineLevel="0" collapsed="false">
      <c r="A2371" s="4" t="n">
        <v>2370</v>
      </c>
      <c r="B2371" s="6" t="s">
        <v>1787</v>
      </c>
      <c r="C2371" s="6" t="s">
        <v>8156</v>
      </c>
      <c r="D2371" s="6" t="s">
        <v>8157</v>
      </c>
      <c r="E2371" s="7" t="s">
        <v>21</v>
      </c>
      <c r="F2371" s="6" t="s">
        <v>8375</v>
      </c>
      <c r="G2371" s="5" t="s">
        <v>8376</v>
      </c>
      <c r="H2371" s="5" t="s">
        <v>8377</v>
      </c>
      <c r="I2371" s="5" t="s">
        <v>7368</v>
      </c>
      <c r="J2371" s="5" t="s">
        <v>6753</v>
      </c>
      <c r="K2371" s="5"/>
      <c r="L2371" s="4" t="s">
        <v>51</v>
      </c>
      <c r="M2371" s="8" t="s">
        <v>129</v>
      </c>
      <c r="N2371" s="9" t="s">
        <v>8167</v>
      </c>
      <c r="O2371" s="5"/>
      <c r="P2371" s="5"/>
      <c r="Q2371" s="6" t="s">
        <v>30</v>
      </c>
      <c r="R2371" s="4" t="s">
        <v>31</v>
      </c>
      <c r="S2371" s="7" t="s">
        <v>32</v>
      </c>
      <c r="T2371" s="5"/>
    </row>
    <row r="2372" customFormat="false" ht="29.25" hidden="false" customHeight="true" outlineLevel="0" collapsed="false">
      <c r="A2372" s="4" t="n">
        <v>2371</v>
      </c>
      <c r="B2372" s="6" t="s">
        <v>1787</v>
      </c>
      <c r="C2372" s="6" t="s">
        <v>8156</v>
      </c>
      <c r="D2372" s="6" t="s">
        <v>8157</v>
      </c>
      <c r="E2372" s="7" t="s">
        <v>21</v>
      </c>
      <c r="F2372" s="6" t="s">
        <v>8378</v>
      </c>
      <c r="G2372" s="5" t="s">
        <v>7368</v>
      </c>
      <c r="H2372" s="5" t="s">
        <v>8379</v>
      </c>
      <c r="I2372" s="5" t="s">
        <v>6753</v>
      </c>
      <c r="J2372" s="5" t="s">
        <v>8380</v>
      </c>
      <c r="K2372" s="5"/>
      <c r="L2372" s="4" t="s">
        <v>44</v>
      </c>
      <c r="M2372" s="8" t="s">
        <v>129</v>
      </c>
      <c r="N2372" s="9" t="s">
        <v>8167</v>
      </c>
      <c r="O2372" s="5"/>
      <c r="P2372" s="5"/>
      <c r="Q2372" s="6" t="s">
        <v>30</v>
      </c>
      <c r="R2372" s="4" t="s">
        <v>31</v>
      </c>
      <c r="S2372" s="7" t="s">
        <v>32</v>
      </c>
      <c r="T2372" s="5"/>
    </row>
    <row r="2373" customFormat="false" ht="29.25" hidden="false" customHeight="true" outlineLevel="0" collapsed="false">
      <c r="A2373" s="4" t="n">
        <v>2372</v>
      </c>
      <c r="B2373" s="6" t="s">
        <v>1787</v>
      </c>
      <c r="C2373" s="6" t="s">
        <v>8156</v>
      </c>
      <c r="D2373" s="6" t="s">
        <v>8157</v>
      </c>
      <c r="E2373" s="7" t="s">
        <v>21</v>
      </c>
      <c r="F2373" s="6" t="s">
        <v>8381</v>
      </c>
      <c r="G2373" s="6" t="s">
        <v>8382</v>
      </c>
      <c r="H2373" s="6" t="s">
        <v>8383</v>
      </c>
      <c r="I2373" s="6" t="s">
        <v>8384</v>
      </c>
      <c r="J2373" s="6" t="s">
        <v>150</v>
      </c>
      <c r="K2373" s="5"/>
      <c r="L2373" s="4" t="s">
        <v>51</v>
      </c>
      <c r="M2373" s="8" t="s">
        <v>79</v>
      </c>
      <c r="N2373" s="9" t="s">
        <v>8167</v>
      </c>
      <c r="O2373" s="5"/>
      <c r="P2373" s="5"/>
      <c r="Q2373" s="6" t="s">
        <v>30</v>
      </c>
      <c r="R2373" s="4" t="s">
        <v>31</v>
      </c>
      <c r="S2373" s="7" t="s">
        <v>32</v>
      </c>
      <c r="T2373" s="5"/>
    </row>
    <row r="2374" customFormat="false" ht="29.25" hidden="false" customHeight="true" outlineLevel="0" collapsed="false">
      <c r="A2374" s="4" t="n">
        <v>2373</v>
      </c>
      <c r="B2374" s="6" t="s">
        <v>1787</v>
      </c>
      <c r="C2374" s="6" t="s">
        <v>8156</v>
      </c>
      <c r="D2374" s="6" t="s">
        <v>8157</v>
      </c>
      <c r="E2374" s="7" t="s">
        <v>21</v>
      </c>
      <c r="F2374" s="6" t="s">
        <v>8385</v>
      </c>
      <c r="G2374" s="6" t="s">
        <v>8386</v>
      </c>
      <c r="H2374" s="6" t="s">
        <v>8387</v>
      </c>
      <c r="I2374" s="6" t="s">
        <v>8351</v>
      </c>
      <c r="J2374" s="6" t="s">
        <v>150</v>
      </c>
      <c r="K2374" s="5"/>
      <c r="L2374" s="4" t="s">
        <v>62</v>
      </c>
      <c r="M2374" s="8" t="s">
        <v>79</v>
      </c>
      <c r="N2374" s="9" t="s">
        <v>8167</v>
      </c>
      <c r="O2374" s="5"/>
      <c r="P2374" s="5"/>
      <c r="Q2374" s="6" t="s">
        <v>30</v>
      </c>
      <c r="R2374" s="4" t="s">
        <v>31</v>
      </c>
      <c r="S2374" s="7" t="s">
        <v>32</v>
      </c>
      <c r="T2374" s="5"/>
    </row>
    <row r="2375" customFormat="false" ht="29.25" hidden="false" customHeight="true" outlineLevel="0" collapsed="false">
      <c r="A2375" s="4" t="n">
        <v>2374</v>
      </c>
      <c r="B2375" s="6" t="s">
        <v>1787</v>
      </c>
      <c r="C2375" s="6" t="s">
        <v>8156</v>
      </c>
      <c r="D2375" s="6" t="s">
        <v>8157</v>
      </c>
      <c r="E2375" s="7" t="s">
        <v>21</v>
      </c>
      <c r="F2375" s="6" t="s">
        <v>8388</v>
      </c>
      <c r="G2375" s="6" t="s">
        <v>1381</v>
      </c>
      <c r="H2375" s="6" t="s">
        <v>8389</v>
      </c>
      <c r="I2375" s="6" t="s">
        <v>8351</v>
      </c>
      <c r="J2375" s="6" t="s">
        <v>150</v>
      </c>
      <c r="K2375" s="5"/>
      <c r="L2375" s="4" t="s">
        <v>62</v>
      </c>
      <c r="M2375" s="8" t="s">
        <v>79</v>
      </c>
      <c r="N2375" s="9" t="s">
        <v>8167</v>
      </c>
      <c r="O2375" s="5"/>
      <c r="P2375" s="5"/>
      <c r="Q2375" s="6" t="s">
        <v>30</v>
      </c>
      <c r="R2375" s="4" t="s">
        <v>31</v>
      </c>
      <c r="S2375" s="7" t="s">
        <v>32</v>
      </c>
      <c r="T2375" s="5"/>
    </row>
    <row r="2376" customFormat="false" ht="29.25" hidden="false" customHeight="true" outlineLevel="0" collapsed="false">
      <c r="A2376" s="4" t="n">
        <v>2375</v>
      </c>
      <c r="B2376" s="6" t="s">
        <v>1787</v>
      </c>
      <c r="C2376" s="6" t="s">
        <v>8156</v>
      </c>
      <c r="D2376" s="6" t="s">
        <v>8157</v>
      </c>
      <c r="E2376" s="7" t="s">
        <v>21</v>
      </c>
      <c r="F2376" s="6" t="s">
        <v>8390</v>
      </c>
      <c r="G2376" s="5" t="s">
        <v>7902</v>
      </c>
      <c r="H2376" s="5" t="s">
        <v>8391</v>
      </c>
      <c r="I2376" s="5" t="s">
        <v>8392</v>
      </c>
      <c r="J2376" s="5" t="s">
        <v>8393</v>
      </c>
      <c r="K2376" s="5"/>
      <c r="L2376" s="4" t="s">
        <v>27</v>
      </c>
      <c r="M2376" s="8" t="s">
        <v>79</v>
      </c>
      <c r="N2376" s="9" t="s">
        <v>8167</v>
      </c>
      <c r="O2376" s="5"/>
      <c r="P2376" s="5"/>
      <c r="Q2376" s="6" t="s">
        <v>30</v>
      </c>
      <c r="R2376" s="4" t="s">
        <v>31</v>
      </c>
      <c r="S2376" s="7" t="s">
        <v>32</v>
      </c>
      <c r="T2376" s="5"/>
    </row>
    <row r="2377" customFormat="false" ht="29.25" hidden="false" customHeight="true" outlineLevel="0" collapsed="false">
      <c r="A2377" s="4" t="n">
        <v>2376</v>
      </c>
      <c r="B2377" s="6" t="s">
        <v>1787</v>
      </c>
      <c r="C2377" s="6" t="s">
        <v>8156</v>
      </c>
      <c r="D2377" s="6" t="s">
        <v>8157</v>
      </c>
      <c r="E2377" s="7" t="s">
        <v>21</v>
      </c>
      <c r="F2377" s="6" t="s">
        <v>8394</v>
      </c>
      <c r="G2377" s="5" t="s">
        <v>7902</v>
      </c>
      <c r="H2377" s="5" t="s">
        <v>8391</v>
      </c>
      <c r="I2377" s="5" t="s">
        <v>8392</v>
      </c>
      <c r="J2377" s="5" t="s">
        <v>8395</v>
      </c>
      <c r="K2377" s="5"/>
      <c r="L2377" s="4" t="s">
        <v>44</v>
      </c>
      <c r="M2377" s="8" t="s">
        <v>79</v>
      </c>
      <c r="N2377" s="9" t="s">
        <v>8167</v>
      </c>
      <c r="O2377" s="5"/>
      <c r="P2377" s="5"/>
      <c r="Q2377" s="6" t="s">
        <v>30</v>
      </c>
      <c r="R2377" s="4" t="s">
        <v>31</v>
      </c>
      <c r="S2377" s="7" t="s">
        <v>32</v>
      </c>
      <c r="T2377" s="5"/>
    </row>
    <row r="2378" customFormat="false" ht="29.25" hidden="false" customHeight="true" outlineLevel="0" collapsed="false">
      <c r="A2378" s="4" t="n">
        <v>2377</v>
      </c>
      <c r="B2378" s="6" t="s">
        <v>1787</v>
      </c>
      <c r="C2378" s="6" t="s">
        <v>8156</v>
      </c>
      <c r="D2378" s="6" t="s">
        <v>8157</v>
      </c>
      <c r="E2378" s="7" t="s">
        <v>21</v>
      </c>
      <c r="F2378" s="6" t="s">
        <v>8396</v>
      </c>
      <c r="G2378" s="5" t="s">
        <v>8397</v>
      </c>
      <c r="H2378" s="5" t="s">
        <v>6642</v>
      </c>
      <c r="I2378" s="5" t="s">
        <v>7323</v>
      </c>
      <c r="J2378" s="6" t="s">
        <v>150</v>
      </c>
      <c r="K2378" s="5"/>
      <c r="L2378" s="4" t="s">
        <v>51</v>
      </c>
      <c r="M2378" s="8" t="s">
        <v>79</v>
      </c>
      <c r="N2378" s="9" t="s">
        <v>8162</v>
      </c>
      <c r="O2378" s="5"/>
      <c r="P2378" s="5"/>
      <c r="Q2378" s="6" t="s">
        <v>30</v>
      </c>
      <c r="R2378" s="4" t="s">
        <v>31</v>
      </c>
      <c r="S2378" s="7" t="s">
        <v>32</v>
      </c>
      <c r="T2378" s="5"/>
    </row>
    <row r="2379" customFormat="false" ht="29.25" hidden="false" customHeight="true" outlineLevel="0" collapsed="false">
      <c r="A2379" s="4" t="n">
        <v>2378</v>
      </c>
      <c r="B2379" s="6" t="s">
        <v>1787</v>
      </c>
      <c r="C2379" s="6" t="s">
        <v>8156</v>
      </c>
      <c r="D2379" s="6" t="s">
        <v>8157</v>
      </c>
      <c r="E2379" s="7" t="s">
        <v>21</v>
      </c>
      <c r="F2379" s="6" t="s">
        <v>8398</v>
      </c>
      <c r="G2379" s="6" t="s">
        <v>8399</v>
      </c>
      <c r="H2379" s="6" t="s">
        <v>8400</v>
      </c>
      <c r="I2379" s="6" t="s">
        <v>8401</v>
      </c>
      <c r="J2379" s="6" t="s">
        <v>78</v>
      </c>
      <c r="K2379" s="5"/>
      <c r="L2379" s="4" t="s">
        <v>44</v>
      </c>
      <c r="M2379" s="8" t="s">
        <v>79</v>
      </c>
      <c r="N2379" s="9" t="s">
        <v>8167</v>
      </c>
      <c r="O2379" s="5"/>
      <c r="P2379" s="5"/>
      <c r="Q2379" s="6" t="s">
        <v>30</v>
      </c>
      <c r="R2379" s="4" t="s">
        <v>31</v>
      </c>
      <c r="S2379" s="7" t="s">
        <v>32</v>
      </c>
      <c r="T2379" s="5"/>
    </row>
    <row r="2380" customFormat="false" ht="29.25" hidden="false" customHeight="true" outlineLevel="0" collapsed="false">
      <c r="A2380" s="4" t="n">
        <v>2379</v>
      </c>
      <c r="B2380" s="6" t="s">
        <v>1787</v>
      </c>
      <c r="C2380" s="6" t="s">
        <v>8156</v>
      </c>
      <c r="D2380" s="6" t="s">
        <v>8157</v>
      </c>
      <c r="E2380" s="7" t="s">
        <v>21</v>
      </c>
      <c r="F2380" s="6" t="s">
        <v>8402</v>
      </c>
      <c r="G2380" s="6" t="s">
        <v>8403</v>
      </c>
      <c r="H2380" s="6" t="s">
        <v>8404</v>
      </c>
      <c r="I2380" s="5" t="s">
        <v>8405</v>
      </c>
      <c r="J2380" s="6" t="s">
        <v>78</v>
      </c>
      <c r="K2380" s="5"/>
      <c r="L2380" s="4" t="s">
        <v>44</v>
      </c>
      <c r="M2380" s="8" t="s">
        <v>79</v>
      </c>
      <c r="N2380" s="9" t="s">
        <v>8167</v>
      </c>
      <c r="O2380" s="5"/>
      <c r="P2380" s="5"/>
      <c r="Q2380" s="6" t="s">
        <v>30</v>
      </c>
      <c r="R2380" s="4" t="s">
        <v>31</v>
      </c>
      <c r="S2380" s="7" t="s">
        <v>32</v>
      </c>
      <c r="T2380" s="5"/>
    </row>
    <row r="2381" customFormat="false" ht="29.25" hidden="false" customHeight="true" outlineLevel="0" collapsed="false">
      <c r="A2381" s="4" t="n">
        <v>2380</v>
      </c>
      <c r="B2381" s="6" t="s">
        <v>1787</v>
      </c>
      <c r="C2381" s="6" t="s">
        <v>8156</v>
      </c>
      <c r="D2381" s="6" t="s">
        <v>8157</v>
      </c>
      <c r="E2381" s="7" t="s">
        <v>21</v>
      </c>
      <c r="F2381" s="6" t="s">
        <v>8406</v>
      </c>
      <c r="G2381" s="5" t="s">
        <v>8374</v>
      </c>
      <c r="H2381" s="5" t="s">
        <v>8407</v>
      </c>
      <c r="I2381" s="5" t="s">
        <v>6014</v>
      </c>
      <c r="J2381" s="5" t="s">
        <v>6845</v>
      </c>
      <c r="K2381" s="5"/>
      <c r="L2381" s="4" t="s">
        <v>51</v>
      </c>
      <c r="M2381" s="8" t="s">
        <v>129</v>
      </c>
      <c r="N2381" s="9" t="s">
        <v>8167</v>
      </c>
      <c r="O2381" s="5"/>
      <c r="P2381" s="5"/>
      <c r="Q2381" s="6" t="s">
        <v>30</v>
      </c>
      <c r="R2381" s="4" t="s">
        <v>31</v>
      </c>
      <c r="S2381" s="7" t="s">
        <v>32</v>
      </c>
      <c r="T2381" s="5"/>
    </row>
    <row r="2382" customFormat="false" ht="29.25" hidden="false" customHeight="true" outlineLevel="0" collapsed="false">
      <c r="A2382" s="4" t="n">
        <v>2381</v>
      </c>
      <c r="B2382" s="6" t="s">
        <v>1787</v>
      </c>
      <c r="C2382" s="6" t="s">
        <v>8156</v>
      </c>
      <c r="D2382" s="6" t="s">
        <v>8157</v>
      </c>
      <c r="E2382" s="7" t="s">
        <v>21</v>
      </c>
      <c r="F2382" s="6" t="s">
        <v>8408</v>
      </c>
      <c r="G2382" s="6" t="s">
        <v>8409</v>
      </c>
      <c r="H2382" s="6" t="s">
        <v>8410</v>
      </c>
      <c r="I2382" s="6" t="s">
        <v>8411</v>
      </c>
      <c r="J2382" s="6" t="s">
        <v>8412</v>
      </c>
      <c r="K2382" s="5"/>
      <c r="L2382" s="4" t="s">
        <v>51</v>
      </c>
      <c r="M2382" s="8" t="s">
        <v>28</v>
      </c>
      <c r="N2382" s="9" t="s">
        <v>8167</v>
      </c>
      <c r="O2382" s="5"/>
      <c r="P2382" s="5"/>
      <c r="Q2382" s="6" t="s">
        <v>30</v>
      </c>
      <c r="R2382" s="4" t="s">
        <v>31</v>
      </c>
      <c r="S2382" s="7" t="s">
        <v>32</v>
      </c>
      <c r="T2382" s="5"/>
    </row>
    <row r="2383" customFormat="false" ht="29.25" hidden="false" customHeight="true" outlineLevel="0" collapsed="false">
      <c r="A2383" s="4" t="n">
        <v>2382</v>
      </c>
      <c r="B2383" s="6" t="s">
        <v>1787</v>
      </c>
      <c r="C2383" s="6" t="s">
        <v>8156</v>
      </c>
      <c r="D2383" s="6" t="s">
        <v>8157</v>
      </c>
      <c r="E2383" s="7" t="s">
        <v>21</v>
      </c>
      <c r="F2383" s="6" t="s">
        <v>8413</v>
      </c>
      <c r="G2383" s="5" t="s">
        <v>8414</v>
      </c>
      <c r="H2383" s="5" t="s">
        <v>8415</v>
      </c>
      <c r="I2383" s="5" t="s">
        <v>8416</v>
      </c>
      <c r="J2383" s="5" t="s">
        <v>6807</v>
      </c>
      <c r="K2383" s="5"/>
      <c r="L2383" s="4" t="s">
        <v>27</v>
      </c>
      <c r="M2383" s="8" t="s">
        <v>79</v>
      </c>
      <c r="N2383" s="9" t="s">
        <v>8167</v>
      </c>
      <c r="O2383" s="5"/>
      <c r="P2383" s="5"/>
      <c r="Q2383" s="6" t="s">
        <v>30</v>
      </c>
      <c r="R2383" s="4" t="s">
        <v>31</v>
      </c>
      <c r="S2383" s="7" t="s">
        <v>32</v>
      </c>
      <c r="T2383" s="5"/>
    </row>
    <row r="2384" customFormat="false" ht="29.25" hidden="false" customHeight="true" outlineLevel="0" collapsed="false">
      <c r="A2384" s="4" t="n">
        <v>2383</v>
      </c>
      <c r="B2384" s="6" t="s">
        <v>1787</v>
      </c>
      <c r="C2384" s="6" t="s">
        <v>8156</v>
      </c>
      <c r="D2384" s="6" t="s">
        <v>8157</v>
      </c>
      <c r="E2384" s="7" t="s">
        <v>21</v>
      </c>
      <c r="F2384" s="6" t="s">
        <v>8417</v>
      </c>
      <c r="G2384" s="6" t="s">
        <v>8418</v>
      </c>
      <c r="H2384" s="6" t="s">
        <v>8419</v>
      </c>
      <c r="I2384" s="6" t="s">
        <v>8420</v>
      </c>
      <c r="J2384" s="6" t="s">
        <v>78</v>
      </c>
      <c r="K2384" s="5"/>
      <c r="L2384" s="4" t="s">
        <v>44</v>
      </c>
      <c r="M2384" s="8" t="s">
        <v>79</v>
      </c>
      <c r="N2384" s="9" t="s">
        <v>8167</v>
      </c>
      <c r="O2384" s="5"/>
      <c r="P2384" s="5"/>
      <c r="Q2384" s="6" t="s">
        <v>30</v>
      </c>
      <c r="R2384" s="4" t="s">
        <v>31</v>
      </c>
      <c r="S2384" s="7" t="s">
        <v>32</v>
      </c>
      <c r="T2384" s="5"/>
    </row>
    <row r="2385" customFormat="false" ht="29.25" hidden="false" customHeight="true" outlineLevel="0" collapsed="false">
      <c r="A2385" s="4" t="n">
        <v>2384</v>
      </c>
      <c r="B2385" s="6" t="s">
        <v>1787</v>
      </c>
      <c r="C2385" s="6" t="s">
        <v>8156</v>
      </c>
      <c r="D2385" s="6" t="s">
        <v>8157</v>
      </c>
      <c r="E2385" s="7" t="s">
        <v>21</v>
      </c>
      <c r="F2385" s="6" t="s">
        <v>8421</v>
      </c>
      <c r="G2385" s="6" t="s">
        <v>8422</v>
      </c>
      <c r="H2385" s="6" t="s">
        <v>8423</v>
      </c>
      <c r="I2385" s="6" t="s">
        <v>8424</v>
      </c>
      <c r="J2385" s="6" t="s">
        <v>78</v>
      </c>
      <c r="K2385" s="5"/>
      <c r="L2385" s="4" t="s">
        <v>44</v>
      </c>
      <c r="M2385" s="8" t="s">
        <v>79</v>
      </c>
      <c r="N2385" s="9" t="s">
        <v>8167</v>
      </c>
      <c r="O2385" s="5"/>
      <c r="P2385" s="5"/>
      <c r="Q2385" s="6" t="s">
        <v>30</v>
      </c>
      <c r="R2385" s="4" t="s">
        <v>31</v>
      </c>
      <c r="S2385" s="7" t="s">
        <v>32</v>
      </c>
      <c r="T2385" s="5"/>
    </row>
    <row r="2386" customFormat="false" ht="29.25" hidden="false" customHeight="true" outlineLevel="0" collapsed="false">
      <c r="A2386" s="4" t="n">
        <v>2385</v>
      </c>
      <c r="B2386" s="6" t="s">
        <v>1787</v>
      </c>
      <c r="C2386" s="6" t="s">
        <v>8156</v>
      </c>
      <c r="D2386" s="6" t="s">
        <v>8157</v>
      </c>
      <c r="E2386" s="7" t="s">
        <v>21</v>
      </c>
      <c r="F2386" s="6" t="s">
        <v>8425</v>
      </c>
      <c r="G2386" s="6" t="s">
        <v>8426</v>
      </c>
      <c r="H2386" s="6" t="s">
        <v>8427</v>
      </c>
      <c r="I2386" s="6" t="s">
        <v>8428</v>
      </c>
      <c r="J2386" s="6" t="s">
        <v>78</v>
      </c>
      <c r="K2386" s="5"/>
      <c r="L2386" s="4" t="s">
        <v>44</v>
      </c>
      <c r="M2386" s="8" t="s">
        <v>28</v>
      </c>
      <c r="N2386" s="9" t="s">
        <v>8167</v>
      </c>
      <c r="O2386" s="5"/>
      <c r="P2386" s="5"/>
      <c r="Q2386" s="6" t="s">
        <v>30</v>
      </c>
      <c r="R2386" s="4" t="s">
        <v>31</v>
      </c>
      <c r="S2386" s="7" t="s">
        <v>32</v>
      </c>
      <c r="T2386" s="5"/>
    </row>
    <row r="2387" customFormat="false" ht="29.25" hidden="false" customHeight="true" outlineLevel="0" collapsed="false">
      <c r="A2387" s="4" t="n">
        <v>2386</v>
      </c>
      <c r="B2387" s="6" t="s">
        <v>1787</v>
      </c>
      <c r="C2387" s="6" t="s">
        <v>8156</v>
      </c>
      <c r="D2387" s="6" t="s">
        <v>8157</v>
      </c>
      <c r="E2387" s="7" t="s">
        <v>21</v>
      </c>
      <c r="F2387" s="6" t="s">
        <v>8429</v>
      </c>
      <c r="G2387" s="5" t="s">
        <v>8430</v>
      </c>
      <c r="H2387" s="5" t="s">
        <v>8363</v>
      </c>
      <c r="I2387" s="5" t="s">
        <v>1256</v>
      </c>
      <c r="J2387" s="5" t="s">
        <v>8431</v>
      </c>
      <c r="K2387" s="5"/>
      <c r="L2387" s="4" t="s">
        <v>51</v>
      </c>
      <c r="M2387" s="8" t="s">
        <v>79</v>
      </c>
      <c r="N2387" s="9" t="s">
        <v>8167</v>
      </c>
      <c r="O2387" s="5"/>
      <c r="P2387" s="5"/>
      <c r="Q2387" s="6" t="s">
        <v>30</v>
      </c>
      <c r="R2387" s="4" t="s">
        <v>31</v>
      </c>
      <c r="S2387" s="7" t="s">
        <v>32</v>
      </c>
      <c r="T2387" s="5"/>
    </row>
    <row r="2388" customFormat="false" ht="29.25" hidden="false" customHeight="true" outlineLevel="0" collapsed="false">
      <c r="A2388" s="4" t="n">
        <v>2387</v>
      </c>
      <c r="B2388" s="6" t="s">
        <v>1787</v>
      </c>
      <c r="C2388" s="6" t="s">
        <v>8156</v>
      </c>
      <c r="D2388" s="6" t="s">
        <v>8157</v>
      </c>
      <c r="E2388" s="7" t="s">
        <v>21</v>
      </c>
      <c r="F2388" s="6" t="s">
        <v>8432</v>
      </c>
      <c r="G2388" s="6" t="s">
        <v>8433</v>
      </c>
      <c r="H2388" s="6" t="s">
        <v>8434</v>
      </c>
      <c r="I2388" s="6" t="s">
        <v>8435</v>
      </c>
      <c r="J2388" s="6" t="s">
        <v>78</v>
      </c>
      <c r="K2388" s="5"/>
      <c r="L2388" s="4" t="s">
        <v>44</v>
      </c>
      <c r="M2388" s="8" t="s">
        <v>79</v>
      </c>
      <c r="N2388" s="9" t="s">
        <v>8167</v>
      </c>
      <c r="O2388" s="5"/>
      <c r="P2388" s="5"/>
      <c r="Q2388" s="6" t="s">
        <v>30</v>
      </c>
      <c r="R2388" s="4" t="s">
        <v>31</v>
      </c>
      <c r="S2388" s="7" t="s">
        <v>32</v>
      </c>
      <c r="T2388" s="5"/>
    </row>
    <row r="2389" customFormat="false" ht="29.25" hidden="false" customHeight="true" outlineLevel="0" collapsed="false">
      <c r="A2389" s="4" t="n">
        <v>2388</v>
      </c>
      <c r="B2389" s="6" t="s">
        <v>1787</v>
      </c>
      <c r="C2389" s="6" t="s">
        <v>8156</v>
      </c>
      <c r="D2389" s="6" t="s">
        <v>8157</v>
      </c>
      <c r="E2389" s="7" t="s">
        <v>21</v>
      </c>
      <c r="F2389" s="6" t="s">
        <v>8432</v>
      </c>
      <c r="G2389" s="6" t="s">
        <v>8433</v>
      </c>
      <c r="H2389" s="6" t="s">
        <v>8436</v>
      </c>
      <c r="I2389" s="6" t="s">
        <v>8437</v>
      </c>
      <c r="J2389" s="6" t="s">
        <v>78</v>
      </c>
      <c r="K2389" s="5"/>
      <c r="L2389" s="4" t="s">
        <v>44</v>
      </c>
      <c r="M2389" s="8" t="s">
        <v>79</v>
      </c>
      <c r="N2389" s="9" t="s">
        <v>8167</v>
      </c>
      <c r="O2389" s="5"/>
      <c r="P2389" s="5"/>
      <c r="Q2389" s="6" t="s">
        <v>30</v>
      </c>
      <c r="R2389" s="4" t="s">
        <v>31</v>
      </c>
      <c r="S2389" s="7" t="s">
        <v>32</v>
      </c>
      <c r="T2389" s="5"/>
    </row>
    <row r="2390" customFormat="false" ht="29.25" hidden="false" customHeight="true" outlineLevel="0" collapsed="false">
      <c r="A2390" s="4" t="n">
        <v>2389</v>
      </c>
      <c r="B2390" s="6" t="s">
        <v>1787</v>
      </c>
      <c r="C2390" s="6" t="s">
        <v>8156</v>
      </c>
      <c r="D2390" s="6" t="s">
        <v>8157</v>
      </c>
      <c r="E2390" s="7" t="s">
        <v>21</v>
      </c>
      <c r="F2390" s="6" t="s">
        <v>8438</v>
      </c>
      <c r="G2390" s="6" t="s">
        <v>8433</v>
      </c>
      <c r="H2390" s="6" t="s">
        <v>8436</v>
      </c>
      <c r="I2390" s="6" t="s">
        <v>8439</v>
      </c>
      <c r="J2390" s="6" t="s">
        <v>8435</v>
      </c>
      <c r="K2390" s="5"/>
      <c r="L2390" s="4" t="s">
        <v>27</v>
      </c>
      <c r="M2390" s="8" t="s">
        <v>129</v>
      </c>
      <c r="N2390" s="9" t="s">
        <v>8167</v>
      </c>
      <c r="O2390" s="5"/>
      <c r="P2390" s="5"/>
      <c r="Q2390" s="6" t="s">
        <v>30</v>
      </c>
      <c r="R2390" s="4" t="s">
        <v>31</v>
      </c>
      <c r="S2390" s="7" t="s">
        <v>32</v>
      </c>
      <c r="T2390" s="5"/>
    </row>
    <row r="2391" customFormat="false" ht="29.25" hidden="false" customHeight="true" outlineLevel="0" collapsed="false">
      <c r="A2391" s="4" t="n">
        <v>2390</v>
      </c>
      <c r="B2391" s="6" t="s">
        <v>1787</v>
      </c>
      <c r="C2391" s="6" t="s">
        <v>8156</v>
      </c>
      <c r="D2391" s="6" t="s">
        <v>8157</v>
      </c>
      <c r="E2391" s="7" t="s">
        <v>21</v>
      </c>
      <c r="F2391" s="6" t="s">
        <v>8440</v>
      </c>
      <c r="G2391" s="6" t="s">
        <v>8433</v>
      </c>
      <c r="H2391" s="6" t="s">
        <v>8441</v>
      </c>
      <c r="I2391" s="6" t="s">
        <v>8435</v>
      </c>
      <c r="J2391" s="6" t="s">
        <v>8436</v>
      </c>
      <c r="K2391" s="5"/>
      <c r="L2391" s="4" t="s">
        <v>62</v>
      </c>
      <c r="M2391" s="8" t="s">
        <v>28</v>
      </c>
      <c r="N2391" s="9" t="s">
        <v>8167</v>
      </c>
      <c r="O2391" s="5"/>
      <c r="P2391" s="5"/>
      <c r="Q2391" s="6" t="s">
        <v>30</v>
      </c>
      <c r="R2391" s="4" t="s">
        <v>31</v>
      </c>
      <c r="S2391" s="7" t="s">
        <v>32</v>
      </c>
      <c r="T2391" s="5"/>
    </row>
    <row r="2392" customFormat="false" ht="29.25" hidden="false" customHeight="true" outlineLevel="0" collapsed="false">
      <c r="A2392" s="4" t="n">
        <v>2391</v>
      </c>
      <c r="B2392" s="6" t="s">
        <v>1787</v>
      </c>
      <c r="C2392" s="6" t="s">
        <v>8156</v>
      </c>
      <c r="D2392" s="6" t="s">
        <v>8157</v>
      </c>
      <c r="E2392" s="7" t="s">
        <v>21</v>
      </c>
      <c r="F2392" s="6" t="s">
        <v>8442</v>
      </c>
      <c r="G2392" s="5" t="s">
        <v>8443</v>
      </c>
      <c r="H2392" s="5" t="s">
        <v>769</v>
      </c>
      <c r="I2392" s="5" t="s">
        <v>8444</v>
      </c>
      <c r="J2392" s="6" t="s">
        <v>78</v>
      </c>
      <c r="K2392" s="5"/>
      <c r="L2392" s="4" t="s">
        <v>44</v>
      </c>
      <c r="M2392" s="8" t="s">
        <v>79</v>
      </c>
      <c r="N2392" s="9" t="s">
        <v>8167</v>
      </c>
      <c r="O2392" s="5"/>
      <c r="P2392" s="5"/>
      <c r="Q2392" s="6" t="s">
        <v>30</v>
      </c>
      <c r="R2392" s="4" t="s">
        <v>31</v>
      </c>
      <c r="S2392" s="7" t="s">
        <v>32</v>
      </c>
      <c r="T2392" s="5"/>
    </row>
    <row r="2393" customFormat="false" ht="29.25" hidden="false" customHeight="true" outlineLevel="0" collapsed="false">
      <c r="A2393" s="4" t="n">
        <v>2392</v>
      </c>
      <c r="B2393" s="6" t="s">
        <v>1787</v>
      </c>
      <c r="C2393" s="6" t="s">
        <v>8156</v>
      </c>
      <c r="D2393" s="6" t="s">
        <v>8157</v>
      </c>
      <c r="E2393" s="7" t="s">
        <v>21</v>
      </c>
      <c r="F2393" s="6" t="s">
        <v>8442</v>
      </c>
      <c r="G2393" s="5" t="s">
        <v>769</v>
      </c>
      <c r="H2393" s="5" t="s">
        <v>8445</v>
      </c>
      <c r="I2393" s="5" t="s">
        <v>8446</v>
      </c>
      <c r="J2393" s="6" t="s">
        <v>78</v>
      </c>
      <c r="K2393" s="5"/>
      <c r="L2393" s="4" t="s">
        <v>44</v>
      </c>
      <c r="M2393" s="8" t="s">
        <v>79</v>
      </c>
      <c r="N2393" s="9" t="s">
        <v>8167</v>
      </c>
      <c r="O2393" s="5"/>
      <c r="P2393" s="5"/>
      <c r="Q2393" s="6" t="s">
        <v>30</v>
      </c>
      <c r="R2393" s="4" t="s">
        <v>31</v>
      </c>
      <c r="S2393" s="7" t="s">
        <v>32</v>
      </c>
      <c r="T2393" s="5"/>
    </row>
    <row r="2394" customFormat="false" ht="29.25" hidden="false" customHeight="true" outlineLevel="0" collapsed="false">
      <c r="A2394" s="4" t="n">
        <v>2393</v>
      </c>
      <c r="B2394" s="6" t="s">
        <v>1787</v>
      </c>
      <c r="C2394" s="6" t="s">
        <v>8156</v>
      </c>
      <c r="D2394" s="6" t="s">
        <v>8157</v>
      </c>
      <c r="E2394" s="7" t="s">
        <v>21</v>
      </c>
      <c r="F2394" s="6" t="s">
        <v>8447</v>
      </c>
      <c r="G2394" s="5" t="s">
        <v>8443</v>
      </c>
      <c r="H2394" s="5" t="s">
        <v>769</v>
      </c>
      <c r="I2394" s="5" t="s">
        <v>8444</v>
      </c>
      <c r="J2394" s="5" t="s">
        <v>8448</v>
      </c>
      <c r="K2394" s="5"/>
      <c r="L2394" s="4" t="s">
        <v>44</v>
      </c>
      <c r="M2394" s="8" t="s">
        <v>129</v>
      </c>
      <c r="N2394" s="9" t="s">
        <v>8167</v>
      </c>
      <c r="O2394" s="5"/>
      <c r="P2394" s="5"/>
      <c r="Q2394" s="6" t="s">
        <v>30</v>
      </c>
      <c r="R2394" s="4" t="s">
        <v>31</v>
      </c>
      <c r="S2394" s="7" t="s">
        <v>32</v>
      </c>
      <c r="T2394" s="5"/>
    </row>
    <row r="2395" customFormat="false" ht="29.25" hidden="false" customHeight="true" outlineLevel="0" collapsed="false">
      <c r="A2395" s="4" t="n">
        <v>2394</v>
      </c>
      <c r="B2395" s="6" t="s">
        <v>1787</v>
      </c>
      <c r="C2395" s="6" t="s">
        <v>8156</v>
      </c>
      <c r="D2395" s="6" t="s">
        <v>8157</v>
      </c>
      <c r="E2395" s="7" t="s">
        <v>21</v>
      </c>
      <c r="F2395" s="6" t="s">
        <v>8449</v>
      </c>
      <c r="G2395" s="5" t="s">
        <v>8446</v>
      </c>
      <c r="H2395" s="5" t="s">
        <v>8450</v>
      </c>
      <c r="I2395" s="5" t="s">
        <v>8451</v>
      </c>
      <c r="J2395" s="5" t="s">
        <v>8452</v>
      </c>
      <c r="K2395" s="5"/>
      <c r="L2395" s="4" t="s">
        <v>51</v>
      </c>
      <c r="M2395" s="8" t="s">
        <v>129</v>
      </c>
      <c r="N2395" s="9" t="s">
        <v>8167</v>
      </c>
      <c r="O2395" s="5"/>
      <c r="P2395" s="5"/>
      <c r="Q2395" s="6" t="s">
        <v>30</v>
      </c>
      <c r="R2395" s="4" t="s">
        <v>31</v>
      </c>
      <c r="S2395" s="7" t="s">
        <v>32</v>
      </c>
      <c r="T2395" s="5"/>
    </row>
    <row r="2396" customFormat="false" ht="29.25" hidden="false" customHeight="true" outlineLevel="0" collapsed="false">
      <c r="A2396" s="4" t="n">
        <v>2395</v>
      </c>
      <c r="B2396" s="6" t="s">
        <v>1787</v>
      </c>
      <c r="C2396" s="6" t="s">
        <v>8156</v>
      </c>
      <c r="D2396" s="6" t="s">
        <v>8157</v>
      </c>
      <c r="E2396" s="7" t="s">
        <v>21</v>
      </c>
      <c r="F2396" s="6" t="s">
        <v>8453</v>
      </c>
      <c r="G2396" s="5" t="s">
        <v>7992</v>
      </c>
      <c r="H2396" s="5" t="s">
        <v>7993</v>
      </c>
      <c r="I2396" s="5" t="s">
        <v>8108</v>
      </c>
      <c r="J2396" s="5" t="s">
        <v>8454</v>
      </c>
      <c r="K2396" s="5"/>
      <c r="L2396" s="4" t="s">
        <v>51</v>
      </c>
      <c r="M2396" s="8" t="s">
        <v>129</v>
      </c>
      <c r="N2396" s="9" t="s">
        <v>8167</v>
      </c>
      <c r="O2396" s="5"/>
      <c r="P2396" s="5"/>
      <c r="Q2396" s="6" t="s">
        <v>30</v>
      </c>
      <c r="R2396" s="4" t="s">
        <v>31</v>
      </c>
      <c r="S2396" s="7" t="s">
        <v>32</v>
      </c>
      <c r="T2396" s="5"/>
    </row>
    <row r="2397" customFormat="false" ht="29.25" hidden="false" customHeight="true" outlineLevel="0" collapsed="false">
      <c r="A2397" s="4" t="n">
        <v>2396</v>
      </c>
      <c r="B2397" s="6" t="s">
        <v>1787</v>
      </c>
      <c r="C2397" s="6" t="s">
        <v>8156</v>
      </c>
      <c r="D2397" s="6" t="s">
        <v>8157</v>
      </c>
      <c r="E2397" s="7" t="s">
        <v>21</v>
      </c>
      <c r="F2397" s="6" t="s">
        <v>8455</v>
      </c>
      <c r="G2397" s="6" t="s">
        <v>8456</v>
      </c>
      <c r="H2397" s="6" t="s">
        <v>8457</v>
      </c>
      <c r="I2397" s="6" t="s">
        <v>8458</v>
      </c>
      <c r="J2397" s="6" t="s">
        <v>78</v>
      </c>
      <c r="K2397" s="5"/>
      <c r="L2397" s="4" t="s">
        <v>44</v>
      </c>
      <c r="M2397" s="8" t="s">
        <v>79</v>
      </c>
      <c r="N2397" s="9" t="s">
        <v>8167</v>
      </c>
      <c r="O2397" s="5"/>
      <c r="P2397" s="5"/>
      <c r="Q2397" s="6" t="s">
        <v>30</v>
      </c>
      <c r="R2397" s="4" t="s">
        <v>31</v>
      </c>
      <c r="S2397" s="7" t="s">
        <v>32</v>
      </c>
      <c r="T2397" s="5"/>
    </row>
    <row r="2398" customFormat="false" ht="29.25" hidden="false" customHeight="true" outlineLevel="0" collapsed="false">
      <c r="A2398" s="4" t="n">
        <v>2397</v>
      </c>
      <c r="B2398" s="6" t="s">
        <v>1787</v>
      </c>
      <c r="C2398" s="6" t="s">
        <v>8156</v>
      </c>
      <c r="D2398" s="6" t="s">
        <v>8157</v>
      </c>
      <c r="E2398" s="7" t="s">
        <v>21</v>
      </c>
      <c r="F2398" s="6" t="s">
        <v>8459</v>
      </c>
      <c r="G2398" s="5" t="s">
        <v>8460</v>
      </c>
      <c r="H2398" s="5" t="s">
        <v>8461</v>
      </c>
      <c r="I2398" s="5" t="s">
        <v>8462</v>
      </c>
      <c r="J2398" s="5" t="s">
        <v>8463</v>
      </c>
      <c r="K2398" s="5"/>
      <c r="L2398" s="4" t="s">
        <v>51</v>
      </c>
      <c r="M2398" s="8" t="s">
        <v>28</v>
      </c>
      <c r="N2398" s="9" t="s">
        <v>8464</v>
      </c>
      <c r="O2398" s="5"/>
      <c r="P2398" s="5"/>
      <c r="Q2398" s="6" t="s">
        <v>30</v>
      </c>
      <c r="R2398" s="4" t="s">
        <v>31</v>
      </c>
      <c r="S2398" s="7" t="s">
        <v>32</v>
      </c>
      <c r="T2398" s="5"/>
    </row>
    <row r="2399" customFormat="false" ht="29.25" hidden="false" customHeight="true" outlineLevel="0" collapsed="false">
      <c r="A2399" s="4" t="n">
        <v>2398</v>
      </c>
      <c r="B2399" s="6" t="s">
        <v>1787</v>
      </c>
      <c r="C2399" s="6" t="s">
        <v>8156</v>
      </c>
      <c r="D2399" s="6" t="s">
        <v>8157</v>
      </c>
      <c r="E2399" s="7" t="s">
        <v>21</v>
      </c>
      <c r="F2399" s="6" t="s">
        <v>8465</v>
      </c>
      <c r="G2399" s="5" t="s">
        <v>8466</v>
      </c>
      <c r="H2399" s="5" t="s">
        <v>8460</v>
      </c>
      <c r="I2399" s="5" t="s">
        <v>8467</v>
      </c>
      <c r="J2399" s="5" t="s">
        <v>8461</v>
      </c>
      <c r="K2399" s="5"/>
      <c r="L2399" s="4" t="s">
        <v>51</v>
      </c>
      <c r="M2399" s="8" t="s">
        <v>79</v>
      </c>
      <c r="N2399" s="9" t="s">
        <v>8464</v>
      </c>
      <c r="O2399" s="5"/>
      <c r="P2399" s="5"/>
      <c r="Q2399" s="6" t="s">
        <v>30</v>
      </c>
      <c r="R2399" s="4" t="s">
        <v>31</v>
      </c>
      <c r="S2399" s="7" t="s">
        <v>32</v>
      </c>
      <c r="T2399" s="5"/>
    </row>
    <row r="2400" customFormat="false" ht="29.25" hidden="false" customHeight="true" outlineLevel="0" collapsed="false">
      <c r="A2400" s="4" t="n">
        <v>2399</v>
      </c>
      <c r="B2400" s="6" t="s">
        <v>1787</v>
      </c>
      <c r="C2400" s="6" t="s">
        <v>8156</v>
      </c>
      <c r="D2400" s="6" t="s">
        <v>8157</v>
      </c>
      <c r="E2400" s="7" t="s">
        <v>21</v>
      </c>
      <c r="F2400" s="6" t="s">
        <v>8468</v>
      </c>
      <c r="G2400" s="5" t="s">
        <v>8469</v>
      </c>
      <c r="H2400" s="5" t="s">
        <v>8460</v>
      </c>
      <c r="I2400" s="5" t="s">
        <v>8467</v>
      </c>
      <c r="J2400" s="5" t="s">
        <v>8461</v>
      </c>
      <c r="K2400" s="5"/>
      <c r="L2400" s="4" t="s">
        <v>51</v>
      </c>
      <c r="M2400" s="8" t="s">
        <v>79</v>
      </c>
      <c r="N2400" s="9" t="s">
        <v>8464</v>
      </c>
      <c r="O2400" s="5"/>
      <c r="P2400" s="5"/>
      <c r="Q2400" s="6" t="s">
        <v>30</v>
      </c>
      <c r="R2400" s="4" t="s">
        <v>31</v>
      </c>
      <c r="S2400" s="7" t="s">
        <v>32</v>
      </c>
      <c r="T2400" s="5"/>
    </row>
    <row r="2401" customFormat="false" ht="29.25" hidden="false" customHeight="true" outlineLevel="0" collapsed="false">
      <c r="A2401" s="4" t="n">
        <v>2400</v>
      </c>
      <c r="B2401" s="6" t="s">
        <v>1787</v>
      </c>
      <c r="C2401" s="6" t="s">
        <v>8156</v>
      </c>
      <c r="D2401" s="6" t="s">
        <v>8157</v>
      </c>
      <c r="E2401" s="7" t="s">
        <v>21</v>
      </c>
      <c r="F2401" s="6" t="s">
        <v>8470</v>
      </c>
      <c r="G2401" s="5" t="s">
        <v>8471</v>
      </c>
      <c r="H2401" s="5" t="s">
        <v>6046</v>
      </c>
      <c r="I2401" s="5" t="s">
        <v>6042</v>
      </c>
      <c r="J2401" s="5" t="s">
        <v>6142</v>
      </c>
      <c r="K2401" s="5"/>
      <c r="L2401" s="4" t="s">
        <v>51</v>
      </c>
      <c r="M2401" s="8" t="s">
        <v>129</v>
      </c>
      <c r="N2401" s="9" t="s">
        <v>8167</v>
      </c>
      <c r="O2401" s="5"/>
      <c r="P2401" s="5"/>
      <c r="Q2401" s="6" t="s">
        <v>30</v>
      </c>
      <c r="R2401" s="4" t="s">
        <v>31</v>
      </c>
      <c r="S2401" s="7" t="s">
        <v>32</v>
      </c>
      <c r="T2401" s="5"/>
    </row>
    <row r="2402" customFormat="false" ht="29.25" hidden="false" customHeight="true" outlineLevel="0" collapsed="false">
      <c r="A2402" s="4" t="n">
        <v>2401</v>
      </c>
      <c r="B2402" s="6" t="s">
        <v>1787</v>
      </c>
      <c r="C2402" s="6" t="s">
        <v>8156</v>
      </c>
      <c r="D2402" s="6" t="s">
        <v>8157</v>
      </c>
      <c r="E2402" s="7" t="s">
        <v>21</v>
      </c>
      <c r="F2402" s="6" t="s">
        <v>8472</v>
      </c>
      <c r="G2402" s="5" t="s">
        <v>8473</v>
      </c>
      <c r="H2402" s="5" t="s">
        <v>6046</v>
      </c>
      <c r="I2402" s="5" t="s">
        <v>6042</v>
      </c>
      <c r="J2402" s="5" t="s">
        <v>6142</v>
      </c>
      <c r="K2402" s="5"/>
      <c r="L2402" s="4" t="s">
        <v>51</v>
      </c>
      <c r="M2402" s="8" t="s">
        <v>129</v>
      </c>
      <c r="N2402" s="9" t="s">
        <v>8167</v>
      </c>
      <c r="O2402" s="5"/>
      <c r="P2402" s="5"/>
      <c r="Q2402" s="6" t="s">
        <v>30</v>
      </c>
      <c r="R2402" s="4" t="s">
        <v>31</v>
      </c>
      <c r="S2402" s="7" t="s">
        <v>32</v>
      </c>
      <c r="T2402" s="5"/>
    </row>
    <row r="2403" customFormat="false" ht="29.25" hidden="false" customHeight="true" outlineLevel="0" collapsed="false">
      <c r="A2403" s="4" t="n">
        <v>2402</v>
      </c>
      <c r="B2403" s="6" t="s">
        <v>1787</v>
      </c>
      <c r="C2403" s="6" t="s">
        <v>8156</v>
      </c>
      <c r="D2403" s="6" t="s">
        <v>8157</v>
      </c>
      <c r="E2403" s="7" t="s">
        <v>21</v>
      </c>
      <c r="F2403" s="6" t="s">
        <v>8474</v>
      </c>
      <c r="G2403" s="6" t="s">
        <v>8475</v>
      </c>
      <c r="H2403" s="6" t="s">
        <v>8476</v>
      </c>
      <c r="I2403" s="6" t="s">
        <v>8477</v>
      </c>
      <c r="J2403" s="6" t="s">
        <v>78</v>
      </c>
      <c r="K2403" s="5"/>
      <c r="L2403" s="4" t="s">
        <v>44</v>
      </c>
      <c r="M2403" s="8" t="s">
        <v>79</v>
      </c>
      <c r="N2403" s="9" t="s">
        <v>8167</v>
      </c>
      <c r="O2403" s="5"/>
      <c r="P2403" s="5"/>
      <c r="Q2403" s="6" t="s">
        <v>30</v>
      </c>
      <c r="R2403" s="4" t="s">
        <v>31</v>
      </c>
      <c r="S2403" s="7" t="s">
        <v>32</v>
      </c>
      <c r="T2403" s="5"/>
    </row>
    <row r="2404" customFormat="false" ht="29.25" hidden="false" customHeight="true" outlineLevel="0" collapsed="false">
      <c r="A2404" s="4" t="n">
        <v>2403</v>
      </c>
      <c r="B2404" s="6" t="s">
        <v>1787</v>
      </c>
      <c r="C2404" s="6" t="s">
        <v>8156</v>
      </c>
      <c r="D2404" s="6" t="s">
        <v>8157</v>
      </c>
      <c r="E2404" s="7" t="s">
        <v>21</v>
      </c>
      <c r="F2404" s="6" t="s">
        <v>8474</v>
      </c>
      <c r="G2404" s="6" t="s">
        <v>8478</v>
      </c>
      <c r="H2404" s="6" t="s">
        <v>8479</v>
      </c>
      <c r="I2404" s="6" t="s">
        <v>8480</v>
      </c>
      <c r="J2404" s="6" t="s">
        <v>78</v>
      </c>
      <c r="K2404" s="5"/>
      <c r="L2404" s="4" t="s">
        <v>44</v>
      </c>
      <c r="M2404" s="8" t="s">
        <v>79</v>
      </c>
      <c r="N2404" s="9" t="s">
        <v>8167</v>
      </c>
      <c r="O2404" s="5"/>
      <c r="P2404" s="5"/>
      <c r="Q2404" s="6" t="s">
        <v>30</v>
      </c>
      <c r="R2404" s="4" t="s">
        <v>31</v>
      </c>
      <c r="S2404" s="7" t="s">
        <v>32</v>
      </c>
      <c r="T2404" s="5"/>
    </row>
    <row r="2405" customFormat="false" ht="29.25" hidden="false" customHeight="true" outlineLevel="0" collapsed="false">
      <c r="A2405" s="4" t="n">
        <v>2404</v>
      </c>
      <c r="B2405" s="6" t="s">
        <v>1787</v>
      </c>
      <c r="C2405" s="6" t="s">
        <v>8156</v>
      </c>
      <c r="D2405" s="6" t="s">
        <v>8157</v>
      </c>
      <c r="E2405" s="7" t="s">
        <v>21</v>
      </c>
      <c r="F2405" s="6" t="s">
        <v>8481</v>
      </c>
      <c r="G2405" s="6" t="s">
        <v>8478</v>
      </c>
      <c r="H2405" s="6" t="s">
        <v>8479</v>
      </c>
      <c r="I2405" s="6" t="s">
        <v>8480</v>
      </c>
      <c r="J2405" s="6" t="s">
        <v>150</v>
      </c>
      <c r="K2405" s="5"/>
      <c r="L2405" s="4" t="s">
        <v>44</v>
      </c>
      <c r="M2405" s="8" t="s">
        <v>79</v>
      </c>
      <c r="N2405" s="9" t="s">
        <v>8167</v>
      </c>
      <c r="O2405" s="5"/>
      <c r="P2405" s="5"/>
      <c r="Q2405" s="6" t="s">
        <v>30</v>
      </c>
      <c r="R2405" s="4" t="s">
        <v>31</v>
      </c>
      <c r="S2405" s="7" t="s">
        <v>32</v>
      </c>
      <c r="T2405" s="5"/>
    </row>
    <row r="2406" customFormat="false" ht="29.25" hidden="false" customHeight="true" outlineLevel="0" collapsed="false">
      <c r="A2406" s="4" t="n">
        <v>2405</v>
      </c>
      <c r="B2406" s="6" t="s">
        <v>1787</v>
      </c>
      <c r="C2406" s="6" t="s">
        <v>8156</v>
      </c>
      <c r="D2406" s="6" t="s">
        <v>8157</v>
      </c>
      <c r="E2406" s="7" t="s">
        <v>21</v>
      </c>
      <c r="F2406" s="6" t="s">
        <v>8482</v>
      </c>
      <c r="G2406" s="6" t="s">
        <v>8478</v>
      </c>
      <c r="H2406" s="6" t="s">
        <v>8483</v>
      </c>
      <c r="I2406" s="6" t="s">
        <v>8479</v>
      </c>
      <c r="J2406" s="6" t="s">
        <v>8484</v>
      </c>
      <c r="K2406" s="5"/>
      <c r="L2406" s="4" t="s">
        <v>62</v>
      </c>
      <c r="M2406" s="8" t="s">
        <v>79</v>
      </c>
      <c r="N2406" s="9" t="s">
        <v>8167</v>
      </c>
      <c r="O2406" s="5"/>
      <c r="P2406" s="5"/>
      <c r="Q2406" s="6" t="s">
        <v>30</v>
      </c>
      <c r="R2406" s="4" t="s">
        <v>31</v>
      </c>
      <c r="S2406" s="7" t="s">
        <v>32</v>
      </c>
      <c r="T2406" s="5"/>
    </row>
    <row r="2407" customFormat="false" ht="29.25" hidden="false" customHeight="true" outlineLevel="0" collapsed="false">
      <c r="A2407" s="4" t="n">
        <v>2406</v>
      </c>
      <c r="B2407" s="6" t="s">
        <v>1787</v>
      </c>
      <c r="C2407" s="6" t="s">
        <v>8156</v>
      </c>
      <c r="D2407" s="6" t="s">
        <v>8157</v>
      </c>
      <c r="E2407" s="7" t="s">
        <v>21</v>
      </c>
      <c r="F2407" s="6" t="s">
        <v>8485</v>
      </c>
      <c r="G2407" s="6" t="s">
        <v>8486</v>
      </c>
      <c r="H2407" s="6" t="s">
        <v>8487</v>
      </c>
      <c r="I2407" s="6" t="s">
        <v>8488</v>
      </c>
      <c r="J2407" s="6" t="s">
        <v>78</v>
      </c>
      <c r="K2407" s="5"/>
      <c r="L2407" s="4" t="s">
        <v>44</v>
      </c>
      <c r="M2407" s="8" t="s">
        <v>28</v>
      </c>
      <c r="N2407" s="9" t="s">
        <v>8162</v>
      </c>
      <c r="O2407" s="5"/>
      <c r="P2407" s="5"/>
      <c r="Q2407" s="6" t="s">
        <v>30</v>
      </c>
      <c r="R2407" s="4" t="s">
        <v>31</v>
      </c>
      <c r="S2407" s="7" t="s">
        <v>32</v>
      </c>
      <c r="T2407" s="5"/>
    </row>
    <row r="2408" customFormat="false" ht="29.25" hidden="false" customHeight="true" outlineLevel="0" collapsed="false">
      <c r="A2408" s="4" t="n">
        <v>2407</v>
      </c>
      <c r="B2408" s="6" t="s">
        <v>1787</v>
      </c>
      <c r="C2408" s="6" t="s">
        <v>8156</v>
      </c>
      <c r="D2408" s="6" t="s">
        <v>8157</v>
      </c>
      <c r="E2408" s="7" t="s">
        <v>21</v>
      </c>
      <c r="F2408" s="6" t="s">
        <v>8489</v>
      </c>
      <c r="G2408" s="6" t="s">
        <v>8487</v>
      </c>
      <c r="H2408" s="6" t="s">
        <v>8490</v>
      </c>
      <c r="I2408" s="6" t="s">
        <v>8488</v>
      </c>
      <c r="J2408" s="6" t="s">
        <v>8491</v>
      </c>
      <c r="K2408" s="5"/>
      <c r="L2408" s="4" t="s">
        <v>62</v>
      </c>
      <c r="M2408" s="8" t="s">
        <v>28</v>
      </c>
      <c r="N2408" s="9" t="s">
        <v>8162</v>
      </c>
      <c r="O2408" s="5"/>
      <c r="P2408" s="5"/>
      <c r="Q2408" s="6" t="s">
        <v>30</v>
      </c>
      <c r="R2408" s="4" t="s">
        <v>31</v>
      </c>
      <c r="S2408" s="7" t="s">
        <v>32</v>
      </c>
      <c r="T2408" s="5"/>
    </row>
    <row r="2409" customFormat="false" ht="29.25" hidden="false" customHeight="true" outlineLevel="0" collapsed="false">
      <c r="A2409" s="4" t="n">
        <v>2408</v>
      </c>
      <c r="B2409" s="6" t="s">
        <v>1787</v>
      </c>
      <c r="C2409" s="6" t="s">
        <v>8156</v>
      </c>
      <c r="D2409" s="6" t="s">
        <v>8157</v>
      </c>
      <c r="E2409" s="7" t="s">
        <v>21</v>
      </c>
      <c r="F2409" s="6" t="s">
        <v>8492</v>
      </c>
      <c r="G2409" s="6" t="s">
        <v>8487</v>
      </c>
      <c r="H2409" s="6" t="s">
        <v>8490</v>
      </c>
      <c r="I2409" s="6" t="s">
        <v>8493</v>
      </c>
      <c r="J2409" s="6" t="s">
        <v>150</v>
      </c>
      <c r="K2409" s="5"/>
      <c r="L2409" s="4" t="s">
        <v>51</v>
      </c>
      <c r="M2409" s="8" t="s">
        <v>28</v>
      </c>
      <c r="N2409" s="9" t="s">
        <v>8162</v>
      </c>
      <c r="O2409" s="5"/>
      <c r="P2409" s="5"/>
      <c r="Q2409" s="6" t="s">
        <v>30</v>
      </c>
      <c r="R2409" s="4" t="s">
        <v>31</v>
      </c>
      <c r="S2409" s="7" t="s">
        <v>32</v>
      </c>
      <c r="T2409" s="5"/>
    </row>
    <row r="2410" customFormat="false" ht="29.25" hidden="false" customHeight="true" outlineLevel="0" collapsed="false">
      <c r="A2410" s="4" t="n">
        <v>2409</v>
      </c>
      <c r="B2410" s="6" t="s">
        <v>1787</v>
      </c>
      <c r="C2410" s="6" t="s">
        <v>8156</v>
      </c>
      <c r="D2410" s="6" t="s">
        <v>8157</v>
      </c>
      <c r="E2410" s="7" t="s">
        <v>21</v>
      </c>
      <c r="F2410" s="6" t="s">
        <v>8492</v>
      </c>
      <c r="G2410" s="6" t="s">
        <v>8486</v>
      </c>
      <c r="H2410" s="6" t="s">
        <v>8490</v>
      </c>
      <c r="I2410" s="6" t="s">
        <v>8493</v>
      </c>
      <c r="J2410" s="6" t="s">
        <v>150</v>
      </c>
      <c r="K2410" s="5"/>
      <c r="L2410" s="4" t="s">
        <v>51</v>
      </c>
      <c r="M2410" s="8" t="s">
        <v>79</v>
      </c>
      <c r="N2410" s="9" t="s">
        <v>8162</v>
      </c>
      <c r="O2410" s="5"/>
      <c r="P2410" s="5"/>
      <c r="Q2410" s="6" t="s">
        <v>30</v>
      </c>
      <c r="R2410" s="4" t="s">
        <v>31</v>
      </c>
      <c r="S2410" s="7" t="s">
        <v>32</v>
      </c>
      <c r="T2410" s="5"/>
    </row>
    <row r="2411" customFormat="false" ht="29.25" hidden="false" customHeight="true" outlineLevel="0" collapsed="false">
      <c r="A2411" s="4" t="n">
        <v>2410</v>
      </c>
      <c r="B2411" s="6" t="s">
        <v>1787</v>
      </c>
      <c r="C2411" s="6" t="s">
        <v>8156</v>
      </c>
      <c r="D2411" s="6" t="s">
        <v>8157</v>
      </c>
      <c r="E2411" s="7" t="s">
        <v>21</v>
      </c>
      <c r="F2411" s="6" t="s">
        <v>8492</v>
      </c>
      <c r="G2411" s="6" t="s">
        <v>8493</v>
      </c>
      <c r="H2411" s="6" t="s">
        <v>8490</v>
      </c>
      <c r="I2411" s="6" t="s">
        <v>8494</v>
      </c>
      <c r="J2411" s="6" t="s">
        <v>150</v>
      </c>
      <c r="K2411" s="5"/>
      <c r="L2411" s="4" t="s">
        <v>27</v>
      </c>
      <c r="M2411" s="8" t="s">
        <v>79</v>
      </c>
      <c r="N2411" s="9" t="s">
        <v>8162</v>
      </c>
      <c r="O2411" s="5"/>
      <c r="P2411" s="5"/>
      <c r="Q2411" s="6" t="s">
        <v>30</v>
      </c>
      <c r="R2411" s="4" t="s">
        <v>31</v>
      </c>
      <c r="S2411" s="7" t="s">
        <v>32</v>
      </c>
      <c r="T2411" s="5"/>
    </row>
    <row r="2412" customFormat="false" ht="43.5" hidden="false" customHeight="true" outlineLevel="0" collapsed="false">
      <c r="A2412" s="4" t="n">
        <v>2411</v>
      </c>
      <c r="B2412" s="6" t="s">
        <v>1787</v>
      </c>
      <c r="C2412" s="6" t="s">
        <v>8156</v>
      </c>
      <c r="D2412" s="6" t="s">
        <v>8157</v>
      </c>
      <c r="E2412" s="7" t="s">
        <v>21</v>
      </c>
      <c r="F2412" s="6" t="s">
        <v>8495</v>
      </c>
      <c r="G2412" s="5" t="s">
        <v>8496</v>
      </c>
      <c r="H2412" s="5" t="s">
        <v>8497</v>
      </c>
      <c r="I2412" s="5" t="s">
        <v>8498</v>
      </c>
      <c r="J2412" s="5" t="s">
        <v>8499</v>
      </c>
      <c r="K2412" s="5"/>
      <c r="L2412" s="4" t="s">
        <v>51</v>
      </c>
      <c r="M2412" s="8" t="s">
        <v>28</v>
      </c>
      <c r="N2412" s="9" t="s">
        <v>8162</v>
      </c>
      <c r="O2412" s="5"/>
      <c r="P2412" s="5"/>
      <c r="Q2412" s="6" t="s">
        <v>30</v>
      </c>
      <c r="R2412" s="4" t="s">
        <v>31</v>
      </c>
      <c r="S2412" s="7" t="s">
        <v>32</v>
      </c>
      <c r="T2412" s="5"/>
    </row>
    <row r="2413" customFormat="false" ht="57.75" hidden="false" customHeight="true" outlineLevel="0" collapsed="false">
      <c r="A2413" s="4" t="n">
        <v>2412</v>
      </c>
      <c r="B2413" s="6" t="s">
        <v>1787</v>
      </c>
      <c r="C2413" s="6" t="s">
        <v>8156</v>
      </c>
      <c r="D2413" s="6" t="s">
        <v>8157</v>
      </c>
      <c r="E2413" s="7" t="s">
        <v>21</v>
      </c>
      <c r="F2413" s="6" t="s">
        <v>8500</v>
      </c>
      <c r="G2413" s="5" t="s">
        <v>8501</v>
      </c>
      <c r="H2413" s="5" t="s">
        <v>8502</v>
      </c>
      <c r="I2413" s="5" t="s">
        <v>8503</v>
      </c>
      <c r="J2413" s="6" t="s">
        <v>150</v>
      </c>
      <c r="K2413" s="5"/>
      <c r="L2413" s="4" t="s">
        <v>51</v>
      </c>
      <c r="M2413" s="8" t="s">
        <v>28</v>
      </c>
      <c r="N2413" s="9" t="s">
        <v>8162</v>
      </c>
      <c r="O2413" s="5"/>
      <c r="P2413" s="5"/>
      <c r="Q2413" s="6" t="s">
        <v>30</v>
      </c>
      <c r="R2413" s="4" t="s">
        <v>31</v>
      </c>
      <c r="S2413" s="7" t="s">
        <v>32</v>
      </c>
      <c r="T2413" s="5"/>
    </row>
    <row r="2414" customFormat="false" ht="29.25" hidden="false" customHeight="true" outlineLevel="0" collapsed="false">
      <c r="A2414" s="4" t="n">
        <v>2413</v>
      </c>
      <c r="B2414" s="6" t="s">
        <v>1787</v>
      </c>
      <c r="C2414" s="6" t="s">
        <v>8156</v>
      </c>
      <c r="D2414" s="6" t="s">
        <v>8157</v>
      </c>
      <c r="E2414" s="7" t="s">
        <v>21</v>
      </c>
      <c r="F2414" s="6" t="s">
        <v>8504</v>
      </c>
      <c r="G2414" s="5" t="s">
        <v>8505</v>
      </c>
      <c r="H2414" s="5" t="s">
        <v>8506</v>
      </c>
      <c r="I2414" s="5" t="s">
        <v>8507</v>
      </c>
      <c r="J2414" s="5" t="s">
        <v>8496</v>
      </c>
      <c r="K2414" s="5"/>
      <c r="L2414" s="4" t="s">
        <v>62</v>
      </c>
      <c r="M2414" s="8" t="s">
        <v>28</v>
      </c>
      <c r="N2414" s="9" t="s">
        <v>8162</v>
      </c>
      <c r="O2414" s="5"/>
      <c r="P2414" s="5"/>
      <c r="Q2414" s="6" t="s">
        <v>30</v>
      </c>
      <c r="R2414" s="4" t="s">
        <v>31</v>
      </c>
      <c r="S2414" s="7" t="s">
        <v>32</v>
      </c>
      <c r="T2414" s="5"/>
    </row>
    <row r="2415" customFormat="false" ht="29.25" hidden="false" customHeight="true" outlineLevel="0" collapsed="false">
      <c r="A2415" s="4" t="n">
        <v>2414</v>
      </c>
      <c r="B2415" s="6" t="s">
        <v>1787</v>
      </c>
      <c r="C2415" s="6" t="s">
        <v>8156</v>
      </c>
      <c r="D2415" s="6" t="s">
        <v>8157</v>
      </c>
      <c r="E2415" s="7" t="s">
        <v>21</v>
      </c>
      <c r="F2415" s="6" t="s">
        <v>8508</v>
      </c>
      <c r="G2415" s="6" t="s">
        <v>8509</v>
      </c>
      <c r="H2415" s="6" t="s">
        <v>8510</v>
      </c>
      <c r="I2415" s="6" t="s">
        <v>8511</v>
      </c>
      <c r="J2415" s="6" t="s">
        <v>8512</v>
      </c>
      <c r="K2415" s="5"/>
      <c r="L2415" s="4" t="s">
        <v>51</v>
      </c>
      <c r="M2415" s="8" t="s">
        <v>79</v>
      </c>
      <c r="N2415" s="9" t="s">
        <v>8162</v>
      </c>
      <c r="O2415" s="5"/>
      <c r="P2415" s="5"/>
      <c r="Q2415" s="6" t="s">
        <v>30</v>
      </c>
      <c r="R2415" s="4" t="s">
        <v>31</v>
      </c>
      <c r="S2415" s="7" t="s">
        <v>32</v>
      </c>
      <c r="T2415" s="5"/>
    </row>
    <row r="2416" customFormat="false" ht="29.25" hidden="false" customHeight="true" outlineLevel="0" collapsed="false">
      <c r="A2416" s="4" t="n">
        <v>2415</v>
      </c>
      <c r="B2416" s="6" t="s">
        <v>1787</v>
      </c>
      <c r="C2416" s="6" t="s">
        <v>8156</v>
      </c>
      <c r="D2416" s="6" t="s">
        <v>8157</v>
      </c>
      <c r="E2416" s="7" t="s">
        <v>21</v>
      </c>
      <c r="F2416" s="6" t="s">
        <v>8513</v>
      </c>
      <c r="G2416" s="6" t="s">
        <v>8514</v>
      </c>
      <c r="H2416" s="6" t="s">
        <v>8515</v>
      </c>
      <c r="I2416" s="6" t="s">
        <v>8516</v>
      </c>
      <c r="J2416" s="6" t="s">
        <v>150</v>
      </c>
      <c r="K2416" s="5"/>
      <c r="L2416" s="4" t="s">
        <v>51</v>
      </c>
      <c r="M2416" s="8" t="s">
        <v>28</v>
      </c>
      <c r="N2416" s="9" t="s">
        <v>8162</v>
      </c>
      <c r="O2416" s="5"/>
      <c r="P2416" s="5"/>
      <c r="Q2416" s="6" t="s">
        <v>30</v>
      </c>
      <c r="R2416" s="4" t="s">
        <v>31</v>
      </c>
      <c r="S2416" s="7" t="s">
        <v>32</v>
      </c>
      <c r="T2416" s="5"/>
    </row>
    <row r="2417" customFormat="false" ht="29.25" hidden="false" customHeight="true" outlineLevel="0" collapsed="false">
      <c r="A2417" s="4" t="n">
        <v>2416</v>
      </c>
      <c r="B2417" s="6" t="s">
        <v>1787</v>
      </c>
      <c r="C2417" s="6" t="s">
        <v>8156</v>
      </c>
      <c r="D2417" s="6" t="s">
        <v>8157</v>
      </c>
      <c r="E2417" s="7" t="s">
        <v>21</v>
      </c>
      <c r="F2417" s="6" t="s">
        <v>8517</v>
      </c>
      <c r="G2417" s="6" t="s">
        <v>8509</v>
      </c>
      <c r="H2417" s="6" t="s">
        <v>8510</v>
      </c>
      <c r="I2417" s="6" t="s">
        <v>8511</v>
      </c>
      <c r="J2417" s="6" t="s">
        <v>8512</v>
      </c>
      <c r="K2417" s="5"/>
      <c r="L2417" s="4" t="s">
        <v>51</v>
      </c>
      <c r="M2417" s="8" t="s">
        <v>79</v>
      </c>
      <c r="N2417" s="9" t="s">
        <v>8162</v>
      </c>
      <c r="O2417" s="5"/>
      <c r="P2417" s="5"/>
      <c r="Q2417" s="6" t="s">
        <v>30</v>
      </c>
      <c r="R2417" s="4" t="s">
        <v>31</v>
      </c>
      <c r="S2417" s="7" t="s">
        <v>32</v>
      </c>
      <c r="T2417" s="5"/>
    </row>
    <row r="2418" customFormat="false" ht="29.25" hidden="false" customHeight="true" outlineLevel="0" collapsed="false">
      <c r="A2418" s="4" t="n">
        <v>2417</v>
      </c>
      <c r="B2418" s="6" t="s">
        <v>1787</v>
      </c>
      <c r="C2418" s="6" t="s">
        <v>8156</v>
      </c>
      <c r="D2418" s="6" t="s">
        <v>8157</v>
      </c>
      <c r="E2418" s="7" t="s">
        <v>21</v>
      </c>
      <c r="F2418" s="6" t="s">
        <v>8518</v>
      </c>
      <c r="G2418" s="5" t="s">
        <v>8519</v>
      </c>
      <c r="H2418" s="5" t="s">
        <v>8520</v>
      </c>
      <c r="I2418" s="5" t="s">
        <v>8521</v>
      </c>
      <c r="J2418" s="5" t="s">
        <v>8522</v>
      </c>
      <c r="K2418" s="5"/>
      <c r="L2418" s="4" t="s">
        <v>62</v>
      </c>
      <c r="M2418" s="8" t="s">
        <v>79</v>
      </c>
      <c r="N2418" s="9" t="s">
        <v>8162</v>
      </c>
      <c r="O2418" s="5"/>
      <c r="P2418" s="5"/>
      <c r="Q2418" s="6" t="s">
        <v>30</v>
      </c>
      <c r="R2418" s="4" t="s">
        <v>31</v>
      </c>
      <c r="S2418" s="7" t="s">
        <v>32</v>
      </c>
      <c r="T2418" s="5"/>
    </row>
    <row r="2419" customFormat="false" ht="29.25" hidden="false" customHeight="true" outlineLevel="0" collapsed="false">
      <c r="A2419" s="4" t="n">
        <v>2418</v>
      </c>
      <c r="B2419" s="6" t="s">
        <v>1787</v>
      </c>
      <c r="C2419" s="6" t="s">
        <v>8156</v>
      </c>
      <c r="D2419" s="6" t="s">
        <v>8157</v>
      </c>
      <c r="E2419" s="7" t="s">
        <v>21</v>
      </c>
      <c r="F2419" s="6" t="s">
        <v>8523</v>
      </c>
      <c r="G2419" s="6" t="s">
        <v>8524</v>
      </c>
      <c r="H2419" s="6" t="s">
        <v>8525</v>
      </c>
      <c r="I2419" s="6" t="s">
        <v>8526</v>
      </c>
      <c r="J2419" s="6" t="s">
        <v>78</v>
      </c>
      <c r="K2419" s="5"/>
      <c r="L2419" s="4" t="s">
        <v>44</v>
      </c>
      <c r="M2419" s="8" t="s">
        <v>28</v>
      </c>
      <c r="N2419" s="9" t="s">
        <v>8162</v>
      </c>
      <c r="O2419" s="5"/>
      <c r="P2419" s="5"/>
      <c r="Q2419" s="6" t="s">
        <v>30</v>
      </c>
      <c r="R2419" s="4" t="s">
        <v>31</v>
      </c>
      <c r="S2419" s="7" t="s">
        <v>32</v>
      </c>
      <c r="T2419" s="5"/>
    </row>
    <row r="2420" customFormat="false" ht="29.25" hidden="false" customHeight="true" outlineLevel="0" collapsed="false">
      <c r="A2420" s="4" t="n">
        <v>2419</v>
      </c>
      <c r="B2420" s="6" t="s">
        <v>1787</v>
      </c>
      <c r="C2420" s="6" t="s">
        <v>8156</v>
      </c>
      <c r="D2420" s="6" t="s">
        <v>8157</v>
      </c>
      <c r="E2420" s="7" t="s">
        <v>21</v>
      </c>
      <c r="F2420" s="6" t="s">
        <v>8523</v>
      </c>
      <c r="G2420" s="6" t="s">
        <v>8527</v>
      </c>
      <c r="H2420" s="6" t="s">
        <v>8528</v>
      </c>
      <c r="I2420" s="6" t="s">
        <v>8529</v>
      </c>
      <c r="J2420" s="6" t="s">
        <v>78</v>
      </c>
      <c r="K2420" s="5"/>
      <c r="L2420" s="4" t="s">
        <v>44</v>
      </c>
      <c r="M2420" s="8" t="s">
        <v>28</v>
      </c>
      <c r="N2420" s="9" t="s">
        <v>8162</v>
      </c>
      <c r="O2420" s="5"/>
      <c r="P2420" s="5"/>
      <c r="Q2420" s="6" t="s">
        <v>30</v>
      </c>
      <c r="R2420" s="4" t="s">
        <v>31</v>
      </c>
      <c r="S2420" s="7" t="s">
        <v>32</v>
      </c>
      <c r="T2420" s="5"/>
    </row>
    <row r="2421" customFormat="false" ht="29.25" hidden="false" customHeight="true" outlineLevel="0" collapsed="false">
      <c r="A2421" s="4" t="n">
        <v>2420</v>
      </c>
      <c r="B2421" s="6" t="s">
        <v>1787</v>
      </c>
      <c r="C2421" s="6" t="s">
        <v>8156</v>
      </c>
      <c r="D2421" s="6" t="s">
        <v>8157</v>
      </c>
      <c r="E2421" s="7" t="s">
        <v>21</v>
      </c>
      <c r="F2421" s="6" t="s">
        <v>8530</v>
      </c>
      <c r="G2421" s="6" t="s">
        <v>8524</v>
      </c>
      <c r="H2421" s="6" t="s">
        <v>8525</v>
      </c>
      <c r="I2421" s="6" t="s">
        <v>8531</v>
      </c>
      <c r="J2421" s="6" t="s">
        <v>8526</v>
      </c>
      <c r="K2421" s="5"/>
      <c r="L2421" s="4" t="s">
        <v>27</v>
      </c>
      <c r="M2421" s="8" t="s">
        <v>79</v>
      </c>
      <c r="N2421" s="9" t="s">
        <v>8162</v>
      </c>
      <c r="O2421" s="5"/>
      <c r="P2421" s="5"/>
      <c r="Q2421" s="6" t="s">
        <v>30</v>
      </c>
      <c r="R2421" s="4" t="s">
        <v>31</v>
      </c>
      <c r="S2421" s="7" t="s">
        <v>32</v>
      </c>
      <c r="T2421" s="5"/>
    </row>
    <row r="2422" customFormat="false" ht="29.25" hidden="false" customHeight="true" outlineLevel="0" collapsed="false">
      <c r="A2422" s="4" t="n">
        <v>2421</v>
      </c>
      <c r="B2422" s="6" t="s">
        <v>1787</v>
      </c>
      <c r="C2422" s="6" t="s">
        <v>8156</v>
      </c>
      <c r="D2422" s="6" t="s">
        <v>8157</v>
      </c>
      <c r="E2422" s="7" t="s">
        <v>21</v>
      </c>
      <c r="F2422" s="6" t="s">
        <v>8532</v>
      </c>
      <c r="G2422" s="6" t="s">
        <v>8533</v>
      </c>
      <c r="H2422" s="6" t="s">
        <v>8534</v>
      </c>
      <c r="I2422" s="6" t="s">
        <v>8535</v>
      </c>
      <c r="J2422" s="6" t="s">
        <v>78</v>
      </c>
      <c r="K2422" s="5"/>
      <c r="L2422" s="4" t="s">
        <v>44</v>
      </c>
      <c r="M2422" s="8" t="s">
        <v>28</v>
      </c>
      <c r="N2422" s="9" t="s">
        <v>8162</v>
      </c>
      <c r="O2422" s="5"/>
      <c r="P2422" s="5"/>
      <c r="Q2422" s="6" t="s">
        <v>30</v>
      </c>
      <c r="R2422" s="4" t="s">
        <v>31</v>
      </c>
      <c r="S2422" s="7" t="s">
        <v>32</v>
      </c>
      <c r="T2422" s="5"/>
    </row>
    <row r="2423" customFormat="false" ht="29.25" hidden="false" customHeight="true" outlineLevel="0" collapsed="false">
      <c r="A2423" s="4" t="n">
        <v>2422</v>
      </c>
      <c r="B2423" s="6" t="s">
        <v>1787</v>
      </c>
      <c r="C2423" s="6" t="s">
        <v>8156</v>
      </c>
      <c r="D2423" s="6" t="s">
        <v>8157</v>
      </c>
      <c r="E2423" s="7" t="s">
        <v>21</v>
      </c>
      <c r="F2423" s="6" t="s">
        <v>8536</v>
      </c>
      <c r="G2423" s="6" t="s">
        <v>8537</v>
      </c>
      <c r="H2423" s="6" t="s">
        <v>8538</v>
      </c>
      <c r="I2423" s="6" t="s">
        <v>8539</v>
      </c>
      <c r="J2423" s="6" t="s">
        <v>8540</v>
      </c>
      <c r="K2423" s="5"/>
      <c r="L2423" s="4" t="s">
        <v>51</v>
      </c>
      <c r="M2423" s="8" t="s">
        <v>28</v>
      </c>
      <c r="N2423" s="9" t="s">
        <v>8167</v>
      </c>
      <c r="O2423" s="5"/>
      <c r="P2423" s="5"/>
      <c r="Q2423" s="6" t="s">
        <v>30</v>
      </c>
      <c r="R2423" s="4" t="s">
        <v>31</v>
      </c>
      <c r="S2423" s="7" t="s">
        <v>32</v>
      </c>
      <c r="T2423" s="5"/>
    </row>
    <row r="2424" customFormat="false" ht="29.25" hidden="false" customHeight="true" outlineLevel="0" collapsed="false">
      <c r="A2424" s="4" t="n">
        <v>2423</v>
      </c>
      <c r="B2424" s="6" t="s">
        <v>1787</v>
      </c>
      <c r="C2424" s="6" t="s">
        <v>8156</v>
      </c>
      <c r="D2424" s="6" t="s">
        <v>8157</v>
      </c>
      <c r="E2424" s="7" t="s">
        <v>21</v>
      </c>
      <c r="F2424" s="6" t="s">
        <v>8541</v>
      </c>
      <c r="G2424" s="6" t="s">
        <v>8537</v>
      </c>
      <c r="H2424" s="6" t="s">
        <v>8538</v>
      </c>
      <c r="I2424" s="6" t="s">
        <v>8539</v>
      </c>
      <c r="J2424" s="6" t="s">
        <v>8540</v>
      </c>
      <c r="K2424" s="5"/>
      <c r="L2424" s="4" t="s">
        <v>62</v>
      </c>
      <c r="M2424" s="8" t="s">
        <v>28</v>
      </c>
      <c r="N2424" s="9" t="s">
        <v>8167</v>
      </c>
      <c r="O2424" s="5"/>
      <c r="P2424" s="5"/>
      <c r="Q2424" s="6" t="s">
        <v>30</v>
      </c>
      <c r="R2424" s="4" t="s">
        <v>31</v>
      </c>
      <c r="S2424" s="7" t="s">
        <v>32</v>
      </c>
      <c r="T2424" s="5"/>
    </row>
    <row r="2425" customFormat="false" ht="29.25" hidden="false" customHeight="true" outlineLevel="0" collapsed="false">
      <c r="A2425" s="4" t="n">
        <v>2424</v>
      </c>
      <c r="B2425" s="6" t="s">
        <v>1787</v>
      </c>
      <c r="C2425" s="6" t="s">
        <v>8156</v>
      </c>
      <c r="D2425" s="6" t="s">
        <v>8157</v>
      </c>
      <c r="E2425" s="7" t="s">
        <v>21</v>
      </c>
      <c r="F2425" s="6" t="s">
        <v>8542</v>
      </c>
      <c r="G2425" s="6" t="s">
        <v>8537</v>
      </c>
      <c r="H2425" s="6" t="s">
        <v>8538</v>
      </c>
      <c r="I2425" s="6" t="s">
        <v>8539</v>
      </c>
      <c r="J2425" s="6" t="s">
        <v>8540</v>
      </c>
      <c r="K2425" s="5"/>
      <c r="L2425" s="4" t="s">
        <v>27</v>
      </c>
      <c r="M2425" s="8" t="s">
        <v>28</v>
      </c>
      <c r="N2425" s="9" t="s">
        <v>8167</v>
      </c>
      <c r="O2425" s="5"/>
      <c r="P2425" s="5"/>
      <c r="Q2425" s="6" t="s">
        <v>30</v>
      </c>
      <c r="R2425" s="4" t="s">
        <v>31</v>
      </c>
      <c r="S2425" s="7" t="s">
        <v>32</v>
      </c>
      <c r="T2425" s="5"/>
    </row>
    <row r="2426" customFormat="false" ht="29.25" hidden="false" customHeight="true" outlineLevel="0" collapsed="false">
      <c r="A2426" s="4" t="n">
        <v>2425</v>
      </c>
      <c r="B2426" s="6" t="s">
        <v>1787</v>
      </c>
      <c r="C2426" s="6" t="s">
        <v>8156</v>
      </c>
      <c r="D2426" s="6" t="s">
        <v>8157</v>
      </c>
      <c r="E2426" s="7" t="s">
        <v>21</v>
      </c>
      <c r="F2426" s="6" t="s">
        <v>8543</v>
      </c>
      <c r="G2426" s="6" t="s">
        <v>8537</v>
      </c>
      <c r="H2426" s="6" t="s">
        <v>8538</v>
      </c>
      <c r="I2426" s="6" t="s">
        <v>8539</v>
      </c>
      <c r="J2426" s="6" t="s">
        <v>8540</v>
      </c>
      <c r="K2426" s="5"/>
      <c r="L2426" s="4" t="s">
        <v>44</v>
      </c>
      <c r="M2426" s="8" t="s">
        <v>28</v>
      </c>
      <c r="N2426" s="9" t="s">
        <v>8167</v>
      </c>
      <c r="O2426" s="5"/>
      <c r="P2426" s="5"/>
      <c r="Q2426" s="6" t="s">
        <v>30</v>
      </c>
      <c r="R2426" s="4" t="s">
        <v>31</v>
      </c>
      <c r="S2426" s="7" t="s">
        <v>32</v>
      </c>
      <c r="T2426" s="5"/>
    </row>
    <row r="2427" customFormat="false" ht="29.25" hidden="false" customHeight="true" outlineLevel="0" collapsed="false">
      <c r="A2427" s="4" t="n">
        <v>2426</v>
      </c>
      <c r="B2427" s="6" t="s">
        <v>1787</v>
      </c>
      <c r="C2427" s="6" t="s">
        <v>8156</v>
      </c>
      <c r="D2427" s="6" t="s">
        <v>8157</v>
      </c>
      <c r="E2427" s="7" t="s">
        <v>21</v>
      </c>
      <c r="F2427" s="6" t="s">
        <v>8544</v>
      </c>
      <c r="G2427" s="5" t="s">
        <v>8545</v>
      </c>
      <c r="H2427" s="5" t="s">
        <v>8546</v>
      </c>
      <c r="I2427" s="5" t="s">
        <v>8547</v>
      </c>
      <c r="J2427" s="5" t="s">
        <v>8548</v>
      </c>
      <c r="K2427" s="5"/>
      <c r="L2427" s="4" t="s">
        <v>27</v>
      </c>
      <c r="M2427" s="8" t="s">
        <v>28</v>
      </c>
      <c r="N2427" s="9" t="s">
        <v>8167</v>
      </c>
      <c r="O2427" s="5"/>
      <c r="P2427" s="5"/>
      <c r="Q2427" s="6" t="s">
        <v>30</v>
      </c>
      <c r="R2427" s="4" t="s">
        <v>31</v>
      </c>
      <c r="S2427" s="7" t="s">
        <v>32</v>
      </c>
      <c r="T2427" s="5"/>
    </row>
    <row r="2428" customFormat="false" ht="29.25" hidden="false" customHeight="true" outlineLevel="0" collapsed="false">
      <c r="A2428" s="4" t="n">
        <v>2427</v>
      </c>
      <c r="B2428" s="6" t="s">
        <v>1787</v>
      </c>
      <c r="C2428" s="6" t="s">
        <v>8156</v>
      </c>
      <c r="D2428" s="6" t="s">
        <v>8157</v>
      </c>
      <c r="E2428" s="7" t="s">
        <v>21</v>
      </c>
      <c r="F2428" s="6" t="s">
        <v>8549</v>
      </c>
      <c r="G2428" s="6" t="s">
        <v>8550</v>
      </c>
      <c r="H2428" s="6" t="s">
        <v>8551</v>
      </c>
      <c r="I2428" s="6" t="s">
        <v>8552</v>
      </c>
      <c r="J2428" s="6" t="s">
        <v>150</v>
      </c>
      <c r="K2428" s="5"/>
      <c r="L2428" s="4" t="s">
        <v>51</v>
      </c>
      <c r="M2428" s="8" t="s">
        <v>28</v>
      </c>
      <c r="N2428" s="9" t="s">
        <v>8167</v>
      </c>
      <c r="O2428" s="5"/>
      <c r="P2428" s="5"/>
      <c r="Q2428" s="6" t="s">
        <v>30</v>
      </c>
      <c r="R2428" s="4" t="s">
        <v>31</v>
      </c>
      <c r="S2428" s="7" t="s">
        <v>32</v>
      </c>
      <c r="T2428" s="5"/>
    </row>
    <row r="2429" customFormat="false" ht="29.25" hidden="false" customHeight="true" outlineLevel="0" collapsed="false">
      <c r="A2429" s="4" t="n">
        <v>2428</v>
      </c>
      <c r="B2429" s="6" t="s">
        <v>1787</v>
      </c>
      <c r="C2429" s="6" t="s">
        <v>8156</v>
      </c>
      <c r="D2429" s="6" t="s">
        <v>8157</v>
      </c>
      <c r="E2429" s="7" t="s">
        <v>21</v>
      </c>
      <c r="F2429" s="6" t="s">
        <v>8553</v>
      </c>
      <c r="G2429" s="6" t="s">
        <v>8550</v>
      </c>
      <c r="H2429" s="6" t="s">
        <v>8551</v>
      </c>
      <c r="I2429" s="6" t="s">
        <v>8552</v>
      </c>
      <c r="J2429" s="6" t="s">
        <v>150</v>
      </c>
      <c r="K2429" s="5"/>
      <c r="L2429" s="4" t="s">
        <v>62</v>
      </c>
      <c r="M2429" s="8" t="s">
        <v>28</v>
      </c>
      <c r="N2429" s="9" t="s">
        <v>8167</v>
      </c>
      <c r="O2429" s="5"/>
      <c r="P2429" s="5"/>
      <c r="Q2429" s="6" t="s">
        <v>30</v>
      </c>
      <c r="R2429" s="4" t="s">
        <v>31</v>
      </c>
      <c r="S2429" s="7" t="s">
        <v>32</v>
      </c>
      <c r="T2429" s="5"/>
    </row>
    <row r="2430" customFormat="false" ht="29.25" hidden="false" customHeight="true" outlineLevel="0" collapsed="false">
      <c r="A2430" s="4" t="n">
        <v>2429</v>
      </c>
      <c r="B2430" s="6" t="s">
        <v>1787</v>
      </c>
      <c r="C2430" s="6" t="s">
        <v>8156</v>
      </c>
      <c r="D2430" s="6" t="s">
        <v>8157</v>
      </c>
      <c r="E2430" s="7" t="s">
        <v>21</v>
      </c>
      <c r="F2430" s="6" t="s">
        <v>8554</v>
      </c>
      <c r="G2430" s="6" t="s">
        <v>8555</v>
      </c>
      <c r="H2430" s="6" t="s">
        <v>8556</v>
      </c>
      <c r="I2430" s="6" t="s">
        <v>8557</v>
      </c>
      <c r="J2430" s="6" t="s">
        <v>78</v>
      </c>
      <c r="K2430" s="5"/>
      <c r="L2430" s="4" t="s">
        <v>44</v>
      </c>
      <c r="M2430" s="8" t="s">
        <v>79</v>
      </c>
      <c r="N2430" s="9" t="s">
        <v>8167</v>
      </c>
      <c r="O2430" s="5"/>
      <c r="P2430" s="5"/>
      <c r="Q2430" s="6" t="s">
        <v>30</v>
      </c>
      <c r="R2430" s="4" t="s">
        <v>31</v>
      </c>
      <c r="S2430" s="7" t="s">
        <v>32</v>
      </c>
      <c r="T2430" s="5"/>
    </row>
    <row r="2431" customFormat="false" ht="29.25" hidden="false" customHeight="true" outlineLevel="0" collapsed="false">
      <c r="A2431" s="4" t="n">
        <v>2430</v>
      </c>
      <c r="B2431" s="6" t="s">
        <v>1787</v>
      </c>
      <c r="C2431" s="6" t="s">
        <v>8156</v>
      </c>
      <c r="D2431" s="6" t="s">
        <v>8157</v>
      </c>
      <c r="E2431" s="7" t="s">
        <v>21</v>
      </c>
      <c r="F2431" s="6" t="s">
        <v>8558</v>
      </c>
      <c r="G2431" s="6" t="s">
        <v>8559</v>
      </c>
      <c r="H2431" s="6" t="s">
        <v>8560</v>
      </c>
      <c r="I2431" s="6" t="s">
        <v>8561</v>
      </c>
      <c r="J2431" s="6" t="s">
        <v>78</v>
      </c>
      <c r="K2431" s="5"/>
      <c r="L2431" s="4" t="s">
        <v>44</v>
      </c>
      <c r="M2431" s="8" t="s">
        <v>79</v>
      </c>
      <c r="N2431" s="9" t="s">
        <v>8167</v>
      </c>
      <c r="O2431" s="5"/>
      <c r="P2431" s="5"/>
      <c r="Q2431" s="6" t="s">
        <v>30</v>
      </c>
      <c r="R2431" s="4" t="s">
        <v>31</v>
      </c>
      <c r="S2431" s="7" t="s">
        <v>32</v>
      </c>
      <c r="T2431" s="5"/>
    </row>
    <row r="2432" customFormat="false" ht="29.25" hidden="false" customHeight="true" outlineLevel="0" collapsed="false">
      <c r="A2432" s="4" t="n">
        <v>2431</v>
      </c>
      <c r="B2432" s="6" t="s">
        <v>1787</v>
      </c>
      <c r="C2432" s="6" t="s">
        <v>8156</v>
      </c>
      <c r="D2432" s="6" t="s">
        <v>8157</v>
      </c>
      <c r="E2432" s="7" t="s">
        <v>21</v>
      </c>
      <c r="F2432" s="6" t="s">
        <v>8562</v>
      </c>
      <c r="G2432" s="6" t="s">
        <v>8559</v>
      </c>
      <c r="H2432" s="6" t="s">
        <v>8560</v>
      </c>
      <c r="I2432" s="6" t="s">
        <v>8561</v>
      </c>
      <c r="J2432" s="6" t="s">
        <v>150</v>
      </c>
      <c r="K2432" s="5"/>
      <c r="L2432" s="4" t="s">
        <v>44</v>
      </c>
      <c r="M2432" s="8" t="s">
        <v>28</v>
      </c>
      <c r="N2432" s="9" t="s">
        <v>8167</v>
      </c>
      <c r="O2432" s="5"/>
      <c r="P2432" s="5"/>
      <c r="Q2432" s="6" t="s">
        <v>30</v>
      </c>
      <c r="R2432" s="4" t="s">
        <v>31</v>
      </c>
      <c r="S2432" s="7" t="s">
        <v>32</v>
      </c>
      <c r="T2432" s="5"/>
    </row>
    <row r="2433" customFormat="false" ht="29.25" hidden="false" customHeight="true" outlineLevel="0" collapsed="false">
      <c r="A2433" s="4" t="n">
        <v>2432</v>
      </c>
      <c r="B2433" s="6" t="s">
        <v>1787</v>
      </c>
      <c r="C2433" s="6" t="s">
        <v>8156</v>
      </c>
      <c r="D2433" s="6" t="s">
        <v>8157</v>
      </c>
      <c r="E2433" s="7" t="s">
        <v>21</v>
      </c>
      <c r="F2433" s="6" t="s">
        <v>8563</v>
      </c>
      <c r="G2433" s="5" t="s">
        <v>8564</v>
      </c>
      <c r="H2433" s="5" t="s">
        <v>8565</v>
      </c>
      <c r="I2433" s="5" t="s">
        <v>8566</v>
      </c>
      <c r="J2433" s="6" t="s">
        <v>78</v>
      </c>
      <c r="K2433" s="5"/>
      <c r="L2433" s="4" t="s">
        <v>44</v>
      </c>
      <c r="M2433" s="8" t="s">
        <v>79</v>
      </c>
      <c r="N2433" s="9" t="s">
        <v>8167</v>
      </c>
      <c r="O2433" s="5"/>
      <c r="P2433" s="5"/>
      <c r="Q2433" s="6" t="s">
        <v>30</v>
      </c>
      <c r="R2433" s="4" t="s">
        <v>31</v>
      </c>
      <c r="S2433" s="7" t="s">
        <v>32</v>
      </c>
      <c r="T2433" s="5"/>
    </row>
    <row r="2434" customFormat="false" ht="29.25" hidden="false" customHeight="true" outlineLevel="0" collapsed="false">
      <c r="A2434" s="4" t="n">
        <v>2433</v>
      </c>
      <c r="B2434" s="6" t="s">
        <v>1787</v>
      </c>
      <c r="C2434" s="6" t="s">
        <v>8156</v>
      </c>
      <c r="D2434" s="6" t="s">
        <v>8157</v>
      </c>
      <c r="E2434" s="7" t="s">
        <v>21</v>
      </c>
      <c r="F2434" s="6" t="s">
        <v>8567</v>
      </c>
      <c r="G2434" s="6" t="s">
        <v>8568</v>
      </c>
      <c r="H2434" s="6" t="s">
        <v>8569</v>
      </c>
      <c r="I2434" s="5" t="s">
        <v>8570</v>
      </c>
      <c r="J2434" s="6" t="s">
        <v>78</v>
      </c>
      <c r="K2434" s="5"/>
      <c r="L2434" s="4" t="s">
        <v>44</v>
      </c>
      <c r="M2434" s="8" t="s">
        <v>79</v>
      </c>
      <c r="N2434" s="9" t="s">
        <v>8167</v>
      </c>
      <c r="O2434" s="5"/>
      <c r="P2434" s="5"/>
      <c r="Q2434" s="6" t="s">
        <v>30</v>
      </c>
      <c r="R2434" s="4" t="s">
        <v>31</v>
      </c>
      <c r="S2434" s="7" t="s">
        <v>32</v>
      </c>
      <c r="T2434" s="5"/>
    </row>
    <row r="2435" customFormat="false" ht="29.25" hidden="false" customHeight="true" outlineLevel="0" collapsed="false">
      <c r="A2435" s="4" t="n">
        <v>2434</v>
      </c>
      <c r="B2435" s="6" t="s">
        <v>1787</v>
      </c>
      <c r="C2435" s="6" t="s">
        <v>8156</v>
      </c>
      <c r="D2435" s="6" t="s">
        <v>8157</v>
      </c>
      <c r="E2435" s="7" t="s">
        <v>21</v>
      </c>
      <c r="F2435" s="6" t="s">
        <v>8571</v>
      </c>
      <c r="G2435" s="6" t="s">
        <v>8572</v>
      </c>
      <c r="H2435" s="6" t="s">
        <v>8573</v>
      </c>
      <c r="I2435" s="6" t="s">
        <v>8574</v>
      </c>
      <c r="J2435" s="6" t="s">
        <v>78</v>
      </c>
      <c r="K2435" s="5"/>
      <c r="L2435" s="4" t="s">
        <v>44</v>
      </c>
      <c r="M2435" s="8" t="s">
        <v>79</v>
      </c>
      <c r="N2435" s="9" t="s">
        <v>8167</v>
      </c>
      <c r="O2435" s="5"/>
      <c r="P2435" s="5"/>
      <c r="Q2435" s="6" t="s">
        <v>30</v>
      </c>
      <c r="R2435" s="4" t="s">
        <v>31</v>
      </c>
      <c r="S2435" s="7" t="s">
        <v>32</v>
      </c>
      <c r="T2435" s="5"/>
    </row>
    <row r="2436" customFormat="false" ht="29.25" hidden="false" customHeight="true" outlineLevel="0" collapsed="false">
      <c r="A2436" s="4" t="n">
        <v>2435</v>
      </c>
      <c r="B2436" s="6" t="s">
        <v>1787</v>
      </c>
      <c r="C2436" s="6" t="s">
        <v>8156</v>
      </c>
      <c r="D2436" s="6" t="s">
        <v>8157</v>
      </c>
      <c r="E2436" s="7" t="s">
        <v>21</v>
      </c>
      <c r="F2436" s="6" t="s">
        <v>8575</v>
      </c>
      <c r="G2436" s="6" t="s">
        <v>8576</v>
      </c>
      <c r="H2436" s="6" t="s">
        <v>8577</v>
      </c>
      <c r="I2436" s="6" t="s">
        <v>8574</v>
      </c>
      <c r="J2436" s="6" t="s">
        <v>8573</v>
      </c>
      <c r="K2436" s="5"/>
      <c r="L2436" s="4" t="s">
        <v>62</v>
      </c>
      <c r="M2436" s="8" t="s">
        <v>79</v>
      </c>
      <c r="N2436" s="9" t="s">
        <v>8167</v>
      </c>
      <c r="O2436" s="5"/>
      <c r="P2436" s="5"/>
      <c r="Q2436" s="6" t="s">
        <v>30</v>
      </c>
      <c r="R2436" s="4" t="s">
        <v>31</v>
      </c>
      <c r="S2436" s="7" t="s">
        <v>32</v>
      </c>
      <c r="T2436" s="5"/>
    </row>
    <row r="2437" customFormat="false" ht="29.25" hidden="false" customHeight="true" outlineLevel="0" collapsed="false">
      <c r="A2437" s="4" t="n">
        <v>2436</v>
      </c>
      <c r="B2437" s="6" t="s">
        <v>1787</v>
      </c>
      <c r="C2437" s="6" t="s">
        <v>8156</v>
      </c>
      <c r="D2437" s="6" t="s">
        <v>8157</v>
      </c>
      <c r="E2437" s="7" t="s">
        <v>21</v>
      </c>
      <c r="F2437" s="6" t="s">
        <v>8578</v>
      </c>
      <c r="G2437" s="6" t="s">
        <v>8579</v>
      </c>
      <c r="H2437" s="6" t="s">
        <v>8534</v>
      </c>
      <c r="I2437" s="6" t="s">
        <v>8580</v>
      </c>
      <c r="J2437" s="6" t="s">
        <v>8581</v>
      </c>
      <c r="K2437" s="5"/>
      <c r="L2437" s="4" t="s">
        <v>51</v>
      </c>
      <c r="M2437" s="8" t="s">
        <v>79</v>
      </c>
      <c r="N2437" s="9" t="s">
        <v>8162</v>
      </c>
      <c r="O2437" s="5"/>
      <c r="P2437" s="5"/>
      <c r="Q2437" s="6" t="s">
        <v>30</v>
      </c>
      <c r="R2437" s="4" t="s">
        <v>31</v>
      </c>
      <c r="S2437" s="7" t="s">
        <v>32</v>
      </c>
      <c r="T2437" s="5"/>
    </row>
    <row r="2438" customFormat="false" ht="29.25" hidden="false" customHeight="true" outlineLevel="0" collapsed="false">
      <c r="A2438" s="4" t="n">
        <v>2437</v>
      </c>
      <c r="B2438" s="6" t="s">
        <v>1787</v>
      </c>
      <c r="C2438" s="6" t="s">
        <v>8156</v>
      </c>
      <c r="D2438" s="6" t="s">
        <v>8157</v>
      </c>
      <c r="E2438" s="7" t="s">
        <v>21</v>
      </c>
      <c r="F2438" s="6" t="s">
        <v>8582</v>
      </c>
      <c r="G2438" s="5" t="s">
        <v>8583</v>
      </c>
      <c r="H2438" s="5" t="s">
        <v>7866</v>
      </c>
      <c r="I2438" s="5" t="s">
        <v>8584</v>
      </c>
      <c r="J2438" s="5" t="s">
        <v>8585</v>
      </c>
      <c r="K2438" s="5"/>
      <c r="L2438" s="4" t="s">
        <v>51</v>
      </c>
      <c r="M2438" s="8" t="s">
        <v>28</v>
      </c>
      <c r="N2438" s="9" t="s">
        <v>8162</v>
      </c>
      <c r="O2438" s="5"/>
      <c r="P2438" s="5"/>
      <c r="Q2438" s="6" t="s">
        <v>30</v>
      </c>
      <c r="R2438" s="4" t="s">
        <v>31</v>
      </c>
      <c r="S2438" s="7" t="s">
        <v>32</v>
      </c>
      <c r="T2438" s="5"/>
    </row>
    <row r="2439" customFormat="false" ht="29.25" hidden="false" customHeight="true" outlineLevel="0" collapsed="false">
      <c r="A2439" s="4" t="n">
        <v>2438</v>
      </c>
      <c r="B2439" s="6" t="s">
        <v>1787</v>
      </c>
      <c r="C2439" s="6" t="s">
        <v>8156</v>
      </c>
      <c r="D2439" s="6" t="s">
        <v>8157</v>
      </c>
      <c r="E2439" s="7" t="s">
        <v>21</v>
      </c>
      <c r="F2439" s="6" t="s">
        <v>8586</v>
      </c>
      <c r="G2439" s="6" t="s">
        <v>8509</v>
      </c>
      <c r="H2439" s="6" t="s">
        <v>8510</v>
      </c>
      <c r="I2439" s="6" t="s">
        <v>8511</v>
      </c>
      <c r="J2439" s="6" t="s">
        <v>8512</v>
      </c>
      <c r="K2439" s="5"/>
      <c r="L2439" s="4" t="s">
        <v>51</v>
      </c>
      <c r="M2439" s="8" t="s">
        <v>79</v>
      </c>
      <c r="N2439" s="9" t="s">
        <v>8162</v>
      </c>
      <c r="O2439" s="5"/>
      <c r="P2439" s="5"/>
      <c r="Q2439" s="6" t="s">
        <v>30</v>
      </c>
      <c r="R2439" s="4" t="s">
        <v>31</v>
      </c>
      <c r="S2439" s="7" t="s">
        <v>32</v>
      </c>
      <c r="T2439" s="5"/>
    </row>
    <row r="2440" customFormat="false" ht="29.25" hidden="false" customHeight="true" outlineLevel="0" collapsed="false">
      <c r="A2440" s="4" t="n">
        <v>2439</v>
      </c>
      <c r="B2440" s="6" t="s">
        <v>1787</v>
      </c>
      <c r="C2440" s="6" t="s">
        <v>8156</v>
      </c>
      <c r="D2440" s="6" t="s">
        <v>8157</v>
      </c>
      <c r="E2440" s="7" t="s">
        <v>21</v>
      </c>
      <c r="F2440" s="6" t="s">
        <v>8587</v>
      </c>
      <c r="G2440" s="6" t="s">
        <v>8588</v>
      </c>
      <c r="H2440" s="6" t="s">
        <v>8589</v>
      </c>
      <c r="I2440" s="6" t="s">
        <v>8590</v>
      </c>
      <c r="J2440" s="6" t="s">
        <v>78</v>
      </c>
      <c r="K2440" s="5"/>
      <c r="L2440" s="4" t="s">
        <v>44</v>
      </c>
      <c r="M2440" s="8" t="s">
        <v>28</v>
      </c>
      <c r="N2440" s="9" t="s">
        <v>8162</v>
      </c>
      <c r="O2440" s="5"/>
      <c r="P2440" s="5"/>
      <c r="Q2440" s="6" t="s">
        <v>30</v>
      </c>
      <c r="R2440" s="4" t="s">
        <v>31</v>
      </c>
      <c r="S2440" s="7" t="s">
        <v>32</v>
      </c>
      <c r="T2440" s="5"/>
    </row>
    <row r="2441" customFormat="false" ht="29.25" hidden="false" customHeight="true" outlineLevel="0" collapsed="false">
      <c r="A2441" s="4" t="n">
        <v>2440</v>
      </c>
      <c r="B2441" s="6" t="s">
        <v>1787</v>
      </c>
      <c r="C2441" s="6" t="s">
        <v>8156</v>
      </c>
      <c r="D2441" s="6" t="s">
        <v>8157</v>
      </c>
      <c r="E2441" s="7" t="s">
        <v>21</v>
      </c>
      <c r="F2441" s="6" t="s">
        <v>8591</v>
      </c>
      <c r="G2441" s="5" t="s">
        <v>8592</v>
      </c>
      <c r="H2441" s="5" t="s">
        <v>8593</v>
      </c>
      <c r="I2441" s="5" t="s">
        <v>8594</v>
      </c>
      <c r="J2441" s="5" t="s">
        <v>8595</v>
      </c>
      <c r="K2441" s="5"/>
      <c r="L2441" s="4" t="s">
        <v>27</v>
      </c>
      <c r="M2441" s="8" t="s">
        <v>79</v>
      </c>
      <c r="N2441" s="9" t="s">
        <v>8162</v>
      </c>
      <c r="O2441" s="5"/>
      <c r="P2441" s="5"/>
      <c r="Q2441" s="6" t="s">
        <v>30</v>
      </c>
      <c r="R2441" s="4" t="s">
        <v>31</v>
      </c>
      <c r="S2441" s="7" t="s">
        <v>32</v>
      </c>
      <c r="T2441" s="5"/>
    </row>
    <row r="2442" customFormat="false" ht="29.25" hidden="false" customHeight="true" outlineLevel="0" collapsed="false">
      <c r="A2442" s="4" t="n">
        <v>2441</v>
      </c>
      <c r="B2442" s="6" t="s">
        <v>1787</v>
      </c>
      <c r="C2442" s="6" t="s">
        <v>8596</v>
      </c>
      <c r="D2442" s="6" t="s">
        <v>8597</v>
      </c>
      <c r="E2442" s="7" t="s">
        <v>21</v>
      </c>
      <c r="F2442" s="6" t="s">
        <v>8598</v>
      </c>
      <c r="G2442" s="6" t="s">
        <v>3697</v>
      </c>
      <c r="H2442" s="6" t="s">
        <v>210</v>
      </c>
      <c r="I2442" s="6" t="s">
        <v>3659</v>
      </c>
      <c r="J2442" s="6" t="s">
        <v>8599</v>
      </c>
      <c r="K2442" s="5"/>
      <c r="L2442" s="4" t="s">
        <v>44</v>
      </c>
      <c r="M2442" s="8" t="s">
        <v>79</v>
      </c>
      <c r="N2442" s="9" t="s">
        <v>1118</v>
      </c>
      <c r="O2442" s="5"/>
      <c r="P2442" s="5"/>
      <c r="Q2442" s="6" t="s">
        <v>30</v>
      </c>
      <c r="R2442" s="4" t="s">
        <v>31</v>
      </c>
      <c r="S2442" s="7" t="s">
        <v>32</v>
      </c>
      <c r="T2442" s="5"/>
    </row>
    <row r="2443" customFormat="false" ht="15" hidden="false" customHeight="true" outlineLevel="0" collapsed="false">
      <c r="A2443" s="4" t="n">
        <v>2442</v>
      </c>
      <c r="B2443" s="6" t="s">
        <v>1787</v>
      </c>
      <c r="C2443" s="6" t="s">
        <v>8596</v>
      </c>
      <c r="D2443" s="6" t="s">
        <v>8597</v>
      </c>
      <c r="E2443" s="7" t="s">
        <v>21</v>
      </c>
      <c r="F2443" s="6" t="s">
        <v>8600</v>
      </c>
      <c r="G2443" s="6" t="s">
        <v>8601</v>
      </c>
      <c r="H2443" s="5" t="s">
        <v>8602</v>
      </c>
      <c r="I2443" s="5" t="s">
        <v>8603</v>
      </c>
      <c r="J2443" s="6" t="s">
        <v>78</v>
      </c>
      <c r="K2443" s="5"/>
      <c r="L2443" s="4" t="s">
        <v>44</v>
      </c>
      <c r="M2443" s="8" t="s">
        <v>79</v>
      </c>
      <c r="N2443" s="9" t="s">
        <v>1118</v>
      </c>
      <c r="O2443" s="5"/>
      <c r="P2443" s="5"/>
      <c r="Q2443" s="6" t="s">
        <v>30</v>
      </c>
      <c r="R2443" s="4" t="s">
        <v>31</v>
      </c>
      <c r="S2443" s="7" t="s">
        <v>32</v>
      </c>
      <c r="T2443" s="5"/>
    </row>
    <row r="2444" customFormat="false" ht="29.25" hidden="false" customHeight="true" outlineLevel="0" collapsed="false">
      <c r="A2444" s="4" t="n">
        <v>2443</v>
      </c>
      <c r="B2444" s="6" t="s">
        <v>1787</v>
      </c>
      <c r="C2444" s="6" t="s">
        <v>8596</v>
      </c>
      <c r="D2444" s="6" t="s">
        <v>8597</v>
      </c>
      <c r="E2444" s="7" t="s">
        <v>21</v>
      </c>
      <c r="F2444" s="6" t="s">
        <v>8604</v>
      </c>
      <c r="G2444" s="6" t="s">
        <v>8605</v>
      </c>
      <c r="H2444" s="6" t="s">
        <v>8606</v>
      </c>
      <c r="I2444" s="6" t="s">
        <v>8607</v>
      </c>
      <c r="J2444" s="6" t="s">
        <v>8608</v>
      </c>
      <c r="K2444" s="5"/>
      <c r="L2444" s="4" t="s">
        <v>44</v>
      </c>
      <c r="M2444" s="8" t="s">
        <v>129</v>
      </c>
      <c r="N2444" s="9" t="s">
        <v>8609</v>
      </c>
      <c r="O2444" s="5"/>
      <c r="P2444" s="5"/>
      <c r="Q2444" s="6" t="s">
        <v>30</v>
      </c>
      <c r="R2444" s="4" t="s">
        <v>31</v>
      </c>
      <c r="S2444" s="7" t="s">
        <v>32</v>
      </c>
      <c r="T2444" s="5"/>
    </row>
    <row r="2445" customFormat="false" ht="15" hidden="false" customHeight="true" outlineLevel="0" collapsed="false">
      <c r="A2445" s="4" t="n">
        <v>2444</v>
      </c>
      <c r="B2445" s="6" t="s">
        <v>1787</v>
      </c>
      <c r="C2445" s="6" t="s">
        <v>8596</v>
      </c>
      <c r="D2445" s="6" t="s">
        <v>8597</v>
      </c>
      <c r="E2445" s="7" t="s">
        <v>21</v>
      </c>
      <c r="F2445" s="6" t="s">
        <v>8610</v>
      </c>
      <c r="G2445" s="6" t="s">
        <v>8611</v>
      </c>
      <c r="H2445" s="6" t="s">
        <v>8612</v>
      </c>
      <c r="I2445" s="6" t="s">
        <v>8613</v>
      </c>
      <c r="J2445" s="6" t="s">
        <v>8614</v>
      </c>
      <c r="K2445" s="5"/>
      <c r="L2445" s="4" t="s">
        <v>44</v>
      </c>
      <c r="M2445" s="8" t="s">
        <v>79</v>
      </c>
      <c r="N2445" s="9" t="s">
        <v>1118</v>
      </c>
      <c r="O2445" s="5"/>
      <c r="P2445" s="5"/>
      <c r="Q2445" s="6" t="s">
        <v>30</v>
      </c>
      <c r="R2445" s="4" t="s">
        <v>31</v>
      </c>
      <c r="S2445" s="7" t="s">
        <v>32</v>
      </c>
      <c r="T2445" s="5"/>
    </row>
    <row r="2446" customFormat="false" ht="29.25" hidden="false" customHeight="true" outlineLevel="0" collapsed="false">
      <c r="A2446" s="4" t="n">
        <v>2445</v>
      </c>
      <c r="B2446" s="6" t="s">
        <v>1787</v>
      </c>
      <c r="C2446" s="6" t="s">
        <v>8596</v>
      </c>
      <c r="D2446" s="6" t="s">
        <v>8597</v>
      </c>
      <c r="E2446" s="7" t="s">
        <v>21</v>
      </c>
      <c r="F2446" s="6" t="s">
        <v>8615</v>
      </c>
      <c r="G2446" s="5" t="s">
        <v>8616</v>
      </c>
      <c r="H2446" s="5" t="s">
        <v>8617</v>
      </c>
      <c r="I2446" s="6" t="s">
        <v>8618</v>
      </c>
      <c r="J2446" s="6" t="s">
        <v>78</v>
      </c>
      <c r="K2446" s="5"/>
      <c r="L2446" s="4" t="s">
        <v>44</v>
      </c>
      <c r="M2446" s="8" t="s">
        <v>79</v>
      </c>
      <c r="N2446" s="9" t="s">
        <v>8619</v>
      </c>
      <c r="O2446" s="5"/>
      <c r="P2446" s="5"/>
      <c r="Q2446" s="6" t="s">
        <v>30</v>
      </c>
      <c r="R2446" s="4" t="s">
        <v>31</v>
      </c>
      <c r="S2446" s="7" t="s">
        <v>32</v>
      </c>
      <c r="T2446" s="5"/>
    </row>
    <row r="2447" customFormat="false" ht="15" hidden="false" customHeight="true" outlineLevel="0" collapsed="false">
      <c r="A2447" s="4" t="n">
        <v>2446</v>
      </c>
      <c r="B2447" s="6" t="s">
        <v>1787</v>
      </c>
      <c r="C2447" s="6" t="s">
        <v>8596</v>
      </c>
      <c r="D2447" s="6" t="s">
        <v>8597</v>
      </c>
      <c r="E2447" s="7" t="s">
        <v>21</v>
      </c>
      <c r="F2447" s="6" t="s">
        <v>8620</v>
      </c>
      <c r="G2447" s="6" t="s">
        <v>8621</v>
      </c>
      <c r="H2447" s="6" t="s">
        <v>8622</v>
      </c>
      <c r="I2447" s="6" t="s">
        <v>8623</v>
      </c>
      <c r="J2447" s="6" t="s">
        <v>8624</v>
      </c>
      <c r="K2447" s="5"/>
      <c r="L2447" s="4" t="s">
        <v>44</v>
      </c>
      <c r="M2447" s="8" t="s">
        <v>129</v>
      </c>
      <c r="N2447" s="9" t="s">
        <v>1118</v>
      </c>
      <c r="O2447" s="5"/>
      <c r="P2447" s="5"/>
      <c r="Q2447" s="6" t="s">
        <v>30</v>
      </c>
      <c r="R2447" s="4" t="s">
        <v>31</v>
      </c>
      <c r="S2447" s="7" t="s">
        <v>32</v>
      </c>
      <c r="T2447" s="5"/>
    </row>
    <row r="2448" customFormat="false" ht="29.25" hidden="false" customHeight="true" outlineLevel="0" collapsed="false">
      <c r="A2448" s="4" t="n">
        <v>2447</v>
      </c>
      <c r="B2448" s="6" t="s">
        <v>1787</v>
      </c>
      <c r="C2448" s="6" t="s">
        <v>8596</v>
      </c>
      <c r="D2448" s="6" t="s">
        <v>8597</v>
      </c>
      <c r="E2448" s="7" t="s">
        <v>21</v>
      </c>
      <c r="F2448" s="6" t="s">
        <v>8625</v>
      </c>
      <c r="G2448" s="6" t="s">
        <v>1878</v>
      </c>
      <c r="H2448" s="6" t="s">
        <v>8626</v>
      </c>
      <c r="I2448" s="6" t="s">
        <v>7829</v>
      </c>
      <c r="J2448" s="6" t="s">
        <v>8627</v>
      </c>
      <c r="K2448" s="5"/>
      <c r="L2448" s="4" t="s">
        <v>44</v>
      </c>
      <c r="M2448" s="8" t="s">
        <v>129</v>
      </c>
      <c r="N2448" s="9" t="s">
        <v>1118</v>
      </c>
      <c r="O2448" s="5"/>
      <c r="P2448" s="5"/>
      <c r="Q2448" s="6" t="s">
        <v>30</v>
      </c>
      <c r="R2448" s="4" t="s">
        <v>31</v>
      </c>
      <c r="S2448" s="7" t="s">
        <v>32</v>
      </c>
      <c r="T2448" s="5"/>
    </row>
    <row r="2449" customFormat="false" ht="15" hidden="false" customHeight="true" outlineLevel="0" collapsed="false">
      <c r="A2449" s="4" t="n">
        <v>2448</v>
      </c>
      <c r="B2449" s="6" t="s">
        <v>1787</v>
      </c>
      <c r="C2449" s="6" t="s">
        <v>8596</v>
      </c>
      <c r="D2449" s="6" t="s">
        <v>8597</v>
      </c>
      <c r="E2449" s="7" t="s">
        <v>21</v>
      </c>
      <c r="F2449" s="6" t="s">
        <v>8628</v>
      </c>
      <c r="G2449" s="6" t="s">
        <v>8629</v>
      </c>
      <c r="H2449" s="5" t="s">
        <v>8630</v>
      </c>
      <c r="I2449" s="6" t="s">
        <v>8631</v>
      </c>
      <c r="J2449" s="6" t="s">
        <v>8632</v>
      </c>
      <c r="K2449" s="5"/>
      <c r="L2449" s="4" t="s">
        <v>44</v>
      </c>
      <c r="M2449" s="8" t="s">
        <v>129</v>
      </c>
      <c r="N2449" s="9" t="s">
        <v>8609</v>
      </c>
      <c r="O2449" s="5"/>
      <c r="P2449" s="5"/>
      <c r="Q2449" s="6" t="s">
        <v>30</v>
      </c>
      <c r="R2449" s="4" t="s">
        <v>31</v>
      </c>
      <c r="S2449" s="7" t="s">
        <v>32</v>
      </c>
      <c r="T2449" s="5"/>
    </row>
    <row r="2450" customFormat="false" ht="15" hidden="false" customHeight="true" outlineLevel="0" collapsed="false">
      <c r="A2450" s="4" t="n">
        <v>2449</v>
      </c>
      <c r="B2450" s="6" t="s">
        <v>1787</v>
      </c>
      <c r="C2450" s="6" t="s">
        <v>8596</v>
      </c>
      <c r="D2450" s="6" t="s">
        <v>8597</v>
      </c>
      <c r="E2450" s="7" t="s">
        <v>21</v>
      </c>
      <c r="F2450" s="6" t="s">
        <v>8633</v>
      </c>
      <c r="G2450" s="5" t="s">
        <v>7328</v>
      </c>
      <c r="H2450" s="5" t="s">
        <v>6651</v>
      </c>
      <c r="I2450" s="5" t="s">
        <v>6652</v>
      </c>
      <c r="J2450" s="6" t="s">
        <v>1906</v>
      </c>
      <c r="K2450" s="5"/>
      <c r="L2450" s="4" t="s">
        <v>27</v>
      </c>
      <c r="M2450" s="8" t="s">
        <v>129</v>
      </c>
      <c r="N2450" s="9" t="s">
        <v>1118</v>
      </c>
      <c r="O2450" s="5"/>
      <c r="P2450" s="5"/>
      <c r="Q2450" s="6" t="s">
        <v>30</v>
      </c>
      <c r="R2450" s="4" t="s">
        <v>31</v>
      </c>
      <c r="S2450" s="7" t="s">
        <v>32</v>
      </c>
      <c r="T2450" s="5"/>
    </row>
    <row r="2451" customFormat="false" ht="15" hidden="false" customHeight="true" outlineLevel="0" collapsed="false">
      <c r="A2451" s="4" t="n">
        <v>2450</v>
      </c>
      <c r="B2451" s="6" t="s">
        <v>1787</v>
      </c>
      <c r="C2451" s="6" t="s">
        <v>8596</v>
      </c>
      <c r="D2451" s="6" t="s">
        <v>8597</v>
      </c>
      <c r="E2451" s="7" t="s">
        <v>21</v>
      </c>
      <c r="F2451" s="6" t="s">
        <v>8634</v>
      </c>
      <c r="G2451" s="5" t="s">
        <v>8635</v>
      </c>
      <c r="H2451" s="5" t="s">
        <v>8636</v>
      </c>
      <c r="I2451" s="5" t="s">
        <v>8637</v>
      </c>
      <c r="J2451" s="6" t="s">
        <v>1906</v>
      </c>
      <c r="K2451" s="5"/>
      <c r="L2451" s="4" t="s">
        <v>27</v>
      </c>
      <c r="M2451" s="8" t="s">
        <v>129</v>
      </c>
      <c r="N2451" s="9" t="s">
        <v>1118</v>
      </c>
      <c r="O2451" s="5"/>
      <c r="P2451" s="5"/>
      <c r="Q2451" s="6" t="s">
        <v>30</v>
      </c>
      <c r="R2451" s="4" t="s">
        <v>31</v>
      </c>
      <c r="S2451" s="7" t="s">
        <v>32</v>
      </c>
      <c r="T2451" s="5"/>
    </row>
    <row r="2452" customFormat="false" ht="15" hidden="false" customHeight="true" outlineLevel="0" collapsed="false">
      <c r="A2452" s="4" t="n">
        <v>2451</v>
      </c>
      <c r="B2452" s="6" t="s">
        <v>1787</v>
      </c>
      <c r="C2452" s="6" t="s">
        <v>8596</v>
      </c>
      <c r="D2452" s="6" t="s">
        <v>8597</v>
      </c>
      <c r="E2452" s="7" t="s">
        <v>21</v>
      </c>
      <c r="F2452" s="6" t="s">
        <v>8638</v>
      </c>
      <c r="G2452" s="6" t="s">
        <v>8639</v>
      </c>
      <c r="H2452" s="6" t="s">
        <v>8640</v>
      </c>
      <c r="I2452" s="6" t="s">
        <v>8641</v>
      </c>
      <c r="J2452" s="6" t="s">
        <v>78</v>
      </c>
      <c r="K2452" s="5"/>
      <c r="L2452" s="4" t="s">
        <v>44</v>
      </c>
      <c r="M2452" s="8" t="s">
        <v>79</v>
      </c>
      <c r="N2452" s="9" t="s">
        <v>8642</v>
      </c>
      <c r="O2452" s="5"/>
      <c r="P2452" s="5"/>
      <c r="Q2452" s="6" t="s">
        <v>30</v>
      </c>
      <c r="R2452" s="4" t="s">
        <v>31</v>
      </c>
      <c r="S2452" s="7" t="s">
        <v>32</v>
      </c>
      <c r="T2452" s="5"/>
    </row>
    <row r="2453" customFormat="false" ht="29.25" hidden="false" customHeight="true" outlineLevel="0" collapsed="false">
      <c r="A2453" s="4" t="n">
        <v>2452</v>
      </c>
      <c r="B2453" s="6" t="s">
        <v>1787</v>
      </c>
      <c r="C2453" s="6" t="s">
        <v>8596</v>
      </c>
      <c r="D2453" s="6" t="s">
        <v>8597</v>
      </c>
      <c r="E2453" s="7" t="s">
        <v>21</v>
      </c>
      <c r="F2453" s="6" t="s">
        <v>8643</v>
      </c>
      <c r="G2453" s="6" t="s">
        <v>8644</v>
      </c>
      <c r="H2453" s="6" t="s">
        <v>8645</v>
      </c>
      <c r="I2453" s="6" t="s">
        <v>8646</v>
      </c>
      <c r="J2453" s="6" t="s">
        <v>78</v>
      </c>
      <c r="K2453" s="5"/>
      <c r="L2453" s="4" t="s">
        <v>44</v>
      </c>
      <c r="M2453" s="8" t="s">
        <v>79</v>
      </c>
      <c r="N2453" s="9" t="s">
        <v>1118</v>
      </c>
      <c r="O2453" s="5"/>
      <c r="P2453" s="5"/>
      <c r="Q2453" s="6" t="s">
        <v>30</v>
      </c>
      <c r="R2453" s="4" t="s">
        <v>31</v>
      </c>
      <c r="S2453" s="7" t="s">
        <v>32</v>
      </c>
      <c r="T2453" s="5"/>
    </row>
    <row r="2454" customFormat="false" ht="15" hidden="false" customHeight="true" outlineLevel="0" collapsed="false">
      <c r="A2454" s="4" t="n">
        <v>2453</v>
      </c>
      <c r="B2454" s="6" t="s">
        <v>1787</v>
      </c>
      <c r="C2454" s="6" t="s">
        <v>8596</v>
      </c>
      <c r="D2454" s="6" t="s">
        <v>8597</v>
      </c>
      <c r="E2454" s="7" t="s">
        <v>21</v>
      </c>
      <c r="F2454" s="6" t="s">
        <v>8647</v>
      </c>
      <c r="G2454" s="6" t="s">
        <v>8648</v>
      </c>
      <c r="H2454" s="6" t="s">
        <v>8649</v>
      </c>
      <c r="I2454" s="5" t="s">
        <v>8650</v>
      </c>
      <c r="J2454" s="5" t="s">
        <v>8651</v>
      </c>
      <c r="K2454" s="5"/>
      <c r="L2454" s="4" t="s">
        <v>44</v>
      </c>
      <c r="M2454" s="8" t="s">
        <v>28</v>
      </c>
      <c r="N2454" s="9" t="s">
        <v>1118</v>
      </c>
      <c r="O2454" s="5"/>
      <c r="P2454" s="5"/>
      <c r="Q2454" s="6" t="s">
        <v>30</v>
      </c>
      <c r="R2454" s="4" t="s">
        <v>31</v>
      </c>
      <c r="S2454" s="7" t="s">
        <v>32</v>
      </c>
      <c r="T2454" s="5"/>
    </row>
    <row r="2455" customFormat="false" ht="15" hidden="false" customHeight="true" outlineLevel="0" collapsed="false">
      <c r="A2455" s="4" t="n">
        <v>2454</v>
      </c>
      <c r="B2455" s="6" t="s">
        <v>1787</v>
      </c>
      <c r="C2455" s="6" t="s">
        <v>8596</v>
      </c>
      <c r="D2455" s="6" t="s">
        <v>8597</v>
      </c>
      <c r="E2455" s="7" t="s">
        <v>21</v>
      </c>
      <c r="F2455" s="5" t="s">
        <v>8652</v>
      </c>
      <c r="G2455" s="6" t="s">
        <v>8653</v>
      </c>
      <c r="H2455" s="6" t="s">
        <v>8654</v>
      </c>
      <c r="I2455" s="6" t="s">
        <v>8655</v>
      </c>
      <c r="J2455" s="6" t="s">
        <v>150</v>
      </c>
      <c r="K2455" s="5"/>
      <c r="L2455" s="4" t="s">
        <v>62</v>
      </c>
      <c r="M2455" s="8" t="s">
        <v>79</v>
      </c>
      <c r="N2455" s="9" t="s">
        <v>1118</v>
      </c>
      <c r="O2455" s="5"/>
      <c r="P2455" s="5"/>
      <c r="Q2455" s="6" t="s">
        <v>30</v>
      </c>
      <c r="R2455" s="4" t="s">
        <v>31</v>
      </c>
      <c r="S2455" s="7" t="s">
        <v>32</v>
      </c>
      <c r="T2455" s="5"/>
    </row>
    <row r="2456" customFormat="false" ht="15" hidden="false" customHeight="true" outlineLevel="0" collapsed="false">
      <c r="A2456" s="4" t="n">
        <v>2455</v>
      </c>
      <c r="B2456" s="6" t="s">
        <v>1787</v>
      </c>
      <c r="C2456" s="6" t="s">
        <v>8596</v>
      </c>
      <c r="D2456" s="6" t="s">
        <v>8597</v>
      </c>
      <c r="E2456" s="7" t="s">
        <v>21</v>
      </c>
      <c r="F2456" s="6" t="s">
        <v>8656</v>
      </c>
      <c r="G2456" s="5" t="s">
        <v>8657</v>
      </c>
      <c r="H2456" s="6" t="s">
        <v>8658</v>
      </c>
      <c r="I2456" s="6" t="s">
        <v>8659</v>
      </c>
      <c r="J2456" s="6" t="s">
        <v>8660</v>
      </c>
      <c r="K2456" s="5"/>
      <c r="L2456" s="4" t="s">
        <v>44</v>
      </c>
      <c r="M2456" s="8" t="s">
        <v>129</v>
      </c>
      <c r="N2456" s="9" t="s">
        <v>1118</v>
      </c>
      <c r="O2456" s="5"/>
      <c r="P2456" s="5"/>
      <c r="Q2456" s="6" t="s">
        <v>30</v>
      </c>
      <c r="R2456" s="4" t="s">
        <v>31</v>
      </c>
      <c r="S2456" s="7" t="s">
        <v>32</v>
      </c>
      <c r="T2456" s="5"/>
    </row>
    <row r="2457" customFormat="false" ht="15" hidden="false" customHeight="true" outlineLevel="0" collapsed="false">
      <c r="A2457" s="4" t="n">
        <v>2456</v>
      </c>
      <c r="B2457" s="6" t="s">
        <v>1787</v>
      </c>
      <c r="C2457" s="6" t="s">
        <v>8596</v>
      </c>
      <c r="D2457" s="6" t="s">
        <v>8597</v>
      </c>
      <c r="E2457" s="7" t="s">
        <v>21</v>
      </c>
      <c r="F2457" s="6" t="s">
        <v>8661</v>
      </c>
      <c r="G2457" s="5" t="s">
        <v>4994</v>
      </c>
      <c r="H2457" s="5" t="s">
        <v>8662</v>
      </c>
      <c r="I2457" s="5" t="s">
        <v>8663</v>
      </c>
      <c r="J2457" s="5" t="s">
        <v>8664</v>
      </c>
      <c r="K2457" s="5"/>
      <c r="L2457" s="4" t="s">
        <v>27</v>
      </c>
      <c r="M2457" s="8" t="s">
        <v>129</v>
      </c>
      <c r="N2457" s="9" t="s">
        <v>1118</v>
      </c>
      <c r="O2457" s="5"/>
      <c r="P2457" s="5"/>
      <c r="Q2457" s="6" t="s">
        <v>30</v>
      </c>
      <c r="R2457" s="4" t="s">
        <v>31</v>
      </c>
      <c r="S2457" s="7" t="s">
        <v>32</v>
      </c>
      <c r="T2457" s="5"/>
    </row>
    <row r="2458" customFormat="false" ht="43.5" hidden="false" customHeight="true" outlineLevel="0" collapsed="false">
      <c r="A2458" s="4" t="n">
        <v>2457</v>
      </c>
      <c r="B2458" s="6" t="s">
        <v>1787</v>
      </c>
      <c r="C2458" s="6" t="s">
        <v>8596</v>
      </c>
      <c r="D2458" s="6" t="s">
        <v>8597</v>
      </c>
      <c r="E2458" s="7" t="s">
        <v>21</v>
      </c>
      <c r="F2458" s="6" t="s">
        <v>8665</v>
      </c>
      <c r="G2458" s="6" t="s">
        <v>8666</v>
      </c>
      <c r="H2458" s="6" t="s">
        <v>8667</v>
      </c>
      <c r="I2458" s="6" t="s">
        <v>8668</v>
      </c>
      <c r="J2458" s="6" t="s">
        <v>8669</v>
      </c>
      <c r="K2458" s="5"/>
      <c r="L2458" s="4" t="s">
        <v>62</v>
      </c>
      <c r="M2458" s="8" t="s">
        <v>28</v>
      </c>
      <c r="N2458" s="9" t="s">
        <v>8670</v>
      </c>
      <c r="O2458" s="5"/>
      <c r="P2458" s="5"/>
      <c r="Q2458" s="6" t="s">
        <v>30</v>
      </c>
      <c r="R2458" s="4" t="s">
        <v>31</v>
      </c>
      <c r="S2458" s="7" t="s">
        <v>32</v>
      </c>
      <c r="T2458" s="5"/>
    </row>
    <row r="2459" customFormat="false" ht="43.5" hidden="false" customHeight="true" outlineLevel="0" collapsed="false">
      <c r="A2459" s="4" t="n">
        <v>2458</v>
      </c>
      <c r="B2459" s="6" t="s">
        <v>1787</v>
      </c>
      <c r="C2459" s="6" t="s">
        <v>8596</v>
      </c>
      <c r="D2459" s="6" t="s">
        <v>8597</v>
      </c>
      <c r="E2459" s="7" t="s">
        <v>21</v>
      </c>
      <c r="F2459" s="6" t="s">
        <v>8671</v>
      </c>
      <c r="G2459" s="6" t="s">
        <v>8672</v>
      </c>
      <c r="H2459" s="6" t="s">
        <v>8673</v>
      </c>
      <c r="I2459" s="6" t="s">
        <v>8674</v>
      </c>
      <c r="J2459" s="6" t="s">
        <v>8675</v>
      </c>
      <c r="K2459" s="5"/>
      <c r="L2459" s="4" t="s">
        <v>51</v>
      </c>
      <c r="M2459" s="8" t="s">
        <v>28</v>
      </c>
      <c r="N2459" s="9" t="s">
        <v>8676</v>
      </c>
      <c r="O2459" s="5"/>
      <c r="P2459" s="5"/>
      <c r="Q2459" s="6" t="s">
        <v>30</v>
      </c>
      <c r="R2459" s="4" t="s">
        <v>31</v>
      </c>
      <c r="S2459" s="7" t="s">
        <v>32</v>
      </c>
      <c r="T2459" s="5"/>
    </row>
    <row r="2460" customFormat="false" ht="15" hidden="false" customHeight="true" outlineLevel="0" collapsed="false">
      <c r="A2460" s="4" t="n">
        <v>2459</v>
      </c>
      <c r="B2460" s="6" t="s">
        <v>1787</v>
      </c>
      <c r="C2460" s="6" t="s">
        <v>8596</v>
      </c>
      <c r="D2460" s="6" t="s">
        <v>8597</v>
      </c>
      <c r="E2460" s="7" t="s">
        <v>21</v>
      </c>
      <c r="F2460" s="6" t="s">
        <v>8677</v>
      </c>
      <c r="G2460" s="5" t="s">
        <v>8678</v>
      </c>
      <c r="H2460" s="5" t="s">
        <v>8679</v>
      </c>
      <c r="I2460" s="5" t="s">
        <v>8680</v>
      </c>
      <c r="J2460" s="5" t="s">
        <v>8681</v>
      </c>
      <c r="K2460" s="5"/>
      <c r="L2460" s="4" t="s">
        <v>51</v>
      </c>
      <c r="M2460" s="8" t="s">
        <v>129</v>
      </c>
      <c r="N2460" s="9" t="s">
        <v>1118</v>
      </c>
      <c r="O2460" s="5"/>
      <c r="P2460" s="5"/>
      <c r="Q2460" s="6" t="s">
        <v>30</v>
      </c>
      <c r="R2460" s="4" t="s">
        <v>31</v>
      </c>
      <c r="S2460" s="7" t="s">
        <v>32</v>
      </c>
      <c r="T2460" s="5"/>
    </row>
    <row r="2461" customFormat="false" ht="43.5" hidden="false" customHeight="true" outlineLevel="0" collapsed="false">
      <c r="A2461" s="4" t="n">
        <v>2460</v>
      </c>
      <c r="B2461" s="6" t="s">
        <v>1787</v>
      </c>
      <c r="C2461" s="6" t="s">
        <v>8596</v>
      </c>
      <c r="D2461" s="6" t="s">
        <v>8597</v>
      </c>
      <c r="E2461" s="7" t="s">
        <v>21</v>
      </c>
      <c r="F2461" s="6" t="s">
        <v>8682</v>
      </c>
      <c r="G2461" s="5" t="s">
        <v>7990</v>
      </c>
      <c r="H2461" s="5" t="s">
        <v>7991</v>
      </c>
      <c r="I2461" s="5" t="s">
        <v>7992</v>
      </c>
      <c r="J2461" s="5" t="s">
        <v>8683</v>
      </c>
      <c r="K2461" s="5"/>
      <c r="L2461" s="4" t="s">
        <v>27</v>
      </c>
      <c r="M2461" s="8" t="s">
        <v>129</v>
      </c>
      <c r="N2461" s="9" t="s">
        <v>1118</v>
      </c>
      <c r="O2461" s="5"/>
      <c r="P2461" s="5"/>
      <c r="Q2461" s="6" t="s">
        <v>30</v>
      </c>
      <c r="R2461" s="4" t="s">
        <v>31</v>
      </c>
      <c r="S2461" s="7" t="s">
        <v>32</v>
      </c>
      <c r="T2461" s="5"/>
    </row>
    <row r="2462" customFormat="false" ht="15" hidden="false" customHeight="true" outlineLevel="0" collapsed="false">
      <c r="A2462" s="4" t="n">
        <v>2461</v>
      </c>
      <c r="B2462" s="6" t="s">
        <v>1787</v>
      </c>
      <c r="C2462" s="6" t="s">
        <v>8596</v>
      </c>
      <c r="D2462" s="6" t="s">
        <v>8597</v>
      </c>
      <c r="E2462" s="7" t="s">
        <v>21</v>
      </c>
      <c r="F2462" s="6" t="s">
        <v>8684</v>
      </c>
      <c r="G2462" s="5" t="s">
        <v>8685</v>
      </c>
      <c r="H2462" s="5" t="s">
        <v>8686</v>
      </c>
      <c r="I2462" s="5" t="s">
        <v>8687</v>
      </c>
      <c r="J2462" s="5" t="s">
        <v>8688</v>
      </c>
      <c r="K2462" s="5"/>
      <c r="L2462" s="4" t="s">
        <v>44</v>
      </c>
      <c r="M2462" s="8" t="s">
        <v>129</v>
      </c>
      <c r="N2462" s="9" t="s">
        <v>1118</v>
      </c>
      <c r="O2462" s="5"/>
      <c r="P2462" s="5"/>
      <c r="Q2462" s="6" t="s">
        <v>30</v>
      </c>
      <c r="R2462" s="4" t="s">
        <v>31</v>
      </c>
      <c r="S2462" s="7" t="s">
        <v>32</v>
      </c>
      <c r="T2462" s="5"/>
    </row>
    <row r="2463" customFormat="false" ht="29.25" hidden="false" customHeight="true" outlineLevel="0" collapsed="false">
      <c r="A2463" s="4" t="n">
        <v>2462</v>
      </c>
      <c r="B2463" s="6" t="s">
        <v>1787</v>
      </c>
      <c r="C2463" s="6" t="s">
        <v>8596</v>
      </c>
      <c r="D2463" s="6" t="s">
        <v>8597</v>
      </c>
      <c r="E2463" s="7" t="s">
        <v>21</v>
      </c>
      <c r="F2463" s="6" t="s">
        <v>8689</v>
      </c>
      <c r="G2463" s="5" t="s">
        <v>8690</v>
      </c>
      <c r="H2463" s="5" t="s">
        <v>8691</v>
      </c>
      <c r="I2463" s="5" t="s">
        <v>8692</v>
      </c>
      <c r="J2463" s="5" t="s">
        <v>8693</v>
      </c>
      <c r="K2463" s="5"/>
      <c r="L2463" s="4" t="s">
        <v>27</v>
      </c>
      <c r="M2463" s="8" t="s">
        <v>79</v>
      </c>
      <c r="N2463" s="9" t="s">
        <v>8609</v>
      </c>
      <c r="O2463" s="5"/>
      <c r="P2463" s="5"/>
      <c r="Q2463" s="6" t="s">
        <v>30</v>
      </c>
      <c r="R2463" s="4" t="s">
        <v>31</v>
      </c>
      <c r="S2463" s="7" t="s">
        <v>32</v>
      </c>
      <c r="T2463" s="5"/>
    </row>
    <row r="2464" customFormat="false" ht="15" hidden="false" customHeight="true" outlineLevel="0" collapsed="false">
      <c r="A2464" s="4" t="n">
        <v>2463</v>
      </c>
      <c r="B2464" s="6" t="s">
        <v>1787</v>
      </c>
      <c r="C2464" s="6" t="s">
        <v>8596</v>
      </c>
      <c r="D2464" s="6" t="s">
        <v>8597</v>
      </c>
      <c r="E2464" s="7" t="s">
        <v>21</v>
      </c>
      <c r="F2464" s="6" t="s">
        <v>8694</v>
      </c>
      <c r="G2464" s="5" t="s">
        <v>6803</v>
      </c>
      <c r="H2464" s="5" t="s">
        <v>6610</v>
      </c>
      <c r="I2464" s="5" t="s">
        <v>6052</v>
      </c>
      <c r="J2464" s="5" t="s">
        <v>1235</v>
      </c>
      <c r="K2464" s="5"/>
      <c r="L2464" s="4" t="s">
        <v>44</v>
      </c>
      <c r="M2464" s="8" t="s">
        <v>129</v>
      </c>
      <c r="N2464" s="9" t="s">
        <v>1118</v>
      </c>
      <c r="O2464" s="5"/>
      <c r="P2464" s="5"/>
      <c r="Q2464" s="6" t="s">
        <v>30</v>
      </c>
      <c r="R2464" s="4" t="s">
        <v>31</v>
      </c>
      <c r="S2464" s="7" t="s">
        <v>32</v>
      </c>
      <c r="T2464" s="5"/>
    </row>
    <row r="2465" customFormat="false" ht="15" hidden="false" customHeight="true" outlineLevel="0" collapsed="false">
      <c r="A2465" s="4" t="n">
        <v>2464</v>
      </c>
      <c r="B2465" s="6" t="s">
        <v>1787</v>
      </c>
      <c r="C2465" s="6" t="s">
        <v>8596</v>
      </c>
      <c r="D2465" s="6" t="s">
        <v>8597</v>
      </c>
      <c r="E2465" s="7" t="s">
        <v>21</v>
      </c>
      <c r="F2465" s="6" t="s">
        <v>8695</v>
      </c>
      <c r="G2465" s="5" t="s">
        <v>8696</v>
      </c>
      <c r="H2465" s="5" t="s">
        <v>8697</v>
      </c>
      <c r="I2465" s="5" t="s">
        <v>6720</v>
      </c>
      <c r="J2465" s="5" t="s">
        <v>8698</v>
      </c>
      <c r="K2465" s="5"/>
      <c r="L2465" s="4" t="s">
        <v>51</v>
      </c>
      <c r="M2465" s="8" t="s">
        <v>79</v>
      </c>
      <c r="N2465" s="9" t="s">
        <v>1118</v>
      </c>
      <c r="O2465" s="5"/>
      <c r="P2465" s="5"/>
      <c r="Q2465" s="6" t="s">
        <v>30</v>
      </c>
      <c r="R2465" s="4" t="s">
        <v>31</v>
      </c>
      <c r="S2465" s="7" t="s">
        <v>32</v>
      </c>
      <c r="T2465" s="5"/>
    </row>
    <row r="2466" customFormat="false" ht="15" hidden="false" customHeight="true" outlineLevel="0" collapsed="false">
      <c r="A2466" s="4" t="n">
        <v>2465</v>
      </c>
      <c r="B2466" s="6" t="s">
        <v>1787</v>
      </c>
      <c r="C2466" s="6" t="s">
        <v>8596</v>
      </c>
      <c r="D2466" s="6" t="s">
        <v>8597</v>
      </c>
      <c r="E2466" s="7" t="s">
        <v>21</v>
      </c>
      <c r="F2466" s="6" t="s">
        <v>8699</v>
      </c>
      <c r="G2466" s="5" t="s">
        <v>8700</v>
      </c>
      <c r="H2466" s="5" t="s">
        <v>6720</v>
      </c>
      <c r="I2466" s="5" t="s">
        <v>8701</v>
      </c>
      <c r="J2466" s="5" t="s">
        <v>8702</v>
      </c>
      <c r="K2466" s="5"/>
      <c r="L2466" s="4" t="s">
        <v>62</v>
      </c>
      <c r="M2466" s="8" t="s">
        <v>129</v>
      </c>
      <c r="N2466" s="9" t="s">
        <v>1118</v>
      </c>
      <c r="O2466" s="5"/>
      <c r="P2466" s="5"/>
      <c r="Q2466" s="6" t="s">
        <v>30</v>
      </c>
      <c r="R2466" s="4" t="s">
        <v>31</v>
      </c>
      <c r="S2466" s="7" t="s">
        <v>32</v>
      </c>
      <c r="T2466" s="5"/>
    </row>
    <row r="2467" customFormat="false" ht="43.5" hidden="false" customHeight="true" outlineLevel="0" collapsed="false">
      <c r="A2467" s="4" t="n">
        <v>2466</v>
      </c>
      <c r="B2467" s="6" t="s">
        <v>1787</v>
      </c>
      <c r="C2467" s="6" t="s">
        <v>8596</v>
      </c>
      <c r="D2467" s="6" t="s">
        <v>8597</v>
      </c>
      <c r="E2467" s="7" t="s">
        <v>21</v>
      </c>
      <c r="F2467" s="6" t="s">
        <v>8703</v>
      </c>
      <c r="G2467" s="6" t="s">
        <v>8704</v>
      </c>
      <c r="H2467" s="6" t="s">
        <v>8705</v>
      </c>
      <c r="I2467" s="6" t="s">
        <v>8706</v>
      </c>
      <c r="J2467" s="6" t="s">
        <v>8707</v>
      </c>
      <c r="K2467" s="5"/>
      <c r="L2467" s="4" t="s">
        <v>51</v>
      </c>
      <c r="M2467" s="8" t="s">
        <v>28</v>
      </c>
      <c r="N2467" s="9" t="s">
        <v>8708</v>
      </c>
      <c r="O2467" s="5"/>
      <c r="P2467" s="5"/>
      <c r="Q2467" s="6" t="s">
        <v>30</v>
      </c>
      <c r="R2467" s="4" t="s">
        <v>31</v>
      </c>
      <c r="S2467" s="7" t="s">
        <v>32</v>
      </c>
      <c r="T2467" s="5"/>
    </row>
    <row r="2468" customFormat="false" ht="43.5" hidden="false" customHeight="true" outlineLevel="0" collapsed="false">
      <c r="A2468" s="4" t="n">
        <v>2467</v>
      </c>
      <c r="B2468" s="6" t="s">
        <v>1787</v>
      </c>
      <c r="C2468" s="6" t="s">
        <v>8596</v>
      </c>
      <c r="D2468" s="6" t="s">
        <v>8597</v>
      </c>
      <c r="E2468" s="7" t="s">
        <v>21</v>
      </c>
      <c r="F2468" s="6" t="s">
        <v>8709</v>
      </c>
      <c r="G2468" s="6" t="s">
        <v>8710</v>
      </c>
      <c r="H2468" s="6" t="s">
        <v>8711</v>
      </c>
      <c r="I2468" s="6" t="s">
        <v>8712</v>
      </c>
      <c r="J2468" s="6" t="s">
        <v>8713</v>
      </c>
      <c r="K2468" s="5"/>
      <c r="L2468" s="4" t="s">
        <v>62</v>
      </c>
      <c r="M2468" s="8" t="s">
        <v>28</v>
      </c>
      <c r="N2468" s="9" t="s">
        <v>1118</v>
      </c>
      <c r="O2468" s="5"/>
      <c r="P2468" s="5"/>
      <c r="Q2468" s="6" t="s">
        <v>30</v>
      </c>
      <c r="R2468" s="4" t="s">
        <v>31</v>
      </c>
      <c r="S2468" s="7" t="s">
        <v>32</v>
      </c>
      <c r="T2468" s="5"/>
    </row>
    <row r="2469" customFormat="false" ht="57.75" hidden="false" customHeight="true" outlineLevel="0" collapsed="false">
      <c r="A2469" s="4" t="n">
        <v>2468</v>
      </c>
      <c r="B2469" s="6" t="s">
        <v>1787</v>
      </c>
      <c r="C2469" s="6" t="s">
        <v>8596</v>
      </c>
      <c r="D2469" s="6" t="s">
        <v>8597</v>
      </c>
      <c r="E2469" s="7" t="s">
        <v>21</v>
      </c>
      <c r="F2469" s="6" t="s">
        <v>8714</v>
      </c>
      <c r="G2469" s="6" t="s">
        <v>8715</v>
      </c>
      <c r="H2469" s="6" t="s">
        <v>8716</v>
      </c>
      <c r="I2469" s="6" t="s">
        <v>8717</v>
      </c>
      <c r="J2469" s="6" t="s">
        <v>8718</v>
      </c>
      <c r="K2469" s="5"/>
      <c r="L2469" s="4" t="s">
        <v>27</v>
      </c>
      <c r="M2469" s="8" t="s">
        <v>28</v>
      </c>
      <c r="N2469" s="9" t="s">
        <v>1118</v>
      </c>
      <c r="O2469" s="5"/>
      <c r="P2469" s="5"/>
      <c r="Q2469" s="6" t="s">
        <v>30</v>
      </c>
      <c r="R2469" s="4" t="s">
        <v>31</v>
      </c>
      <c r="S2469" s="7" t="s">
        <v>32</v>
      </c>
      <c r="T2469" s="5"/>
    </row>
    <row r="2470" customFormat="false" ht="15" hidden="false" customHeight="true" outlineLevel="0" collapsed="false">
      <c r="A2470" s="4" t="n">
        <v>2469</v>
      </c>
      <c r="B2470" s="6" t="s">
        <v>1787</v>
      </c>
      <c r="C2470" s="6" t="s">
        <v>8596</v>
      </c>
      <c r="D2470" s="6" t="s">
        <v>8597</v>
      </c>
      <c r="E2470" s="7" t="s">
        <v>21</v>
      </c>
      <c r="F2470" s="6" t="s">
        <v>8719</v>
      </c>
      <c r="G2470" s="5" t="s">
        <v>8720</v>
      </c>
      <c r="H2470" s="5" t="s">
        <v>8721</v>
      </c>
      <c r="I2470" s="5" t="s">
        <v>8722</v>
      </c>
      <c r="J2470" s="5" t="s">
        <v>8723</v>
      </c>
      <c r="K2470" s="5"/>
      <c r="L2470" s="4" t="s">
        <v>44</v>
      </c>
      <c r="M2470" s="8" t="s">
        <v>129</v>
      </c>
      <c r="N2470" s="9" t="s">
        <v>1118</v>
      </c>
      <c r="O2470" s="5"/>
      <c r="P2470" s="5"/>
      <c r="Q2470" s="6" t="s">
        <v>30</v>
      </c>
      <c r="R2470" s="4" t="s">
        <v>31</v>
      </c>
      <c r="S2470" s="7" t="s">
        <v>32</v>
      </c>
      <c r="T2470" s="5"/>
    </row>
    <row r="2471" customFormat="false" ht="29.25" hidden="false" customHeight="true" outlineLevel="0" collapsed="false">
      <c r="A2471" s="4" t="n">
        <v>2470</v>
      </c>
      <c r="B2471" s="6" t="s">
        <v>1787</v>
      </c>
      <c r="C2471" s="6" t="s">
        <v>8596</v>
      </c>
      <c r="D2471" s="6" t="s">
        <v>8597</v>
      </c>
      <c r="E2471" s="7" t="s">
        <v>21</v>
      </c>
      <c r="F2471" s="6" t="s">
        <v>8724</v>
      </c>
      <c r="G2471" s="5" t="s">
        <v>7852</v>
      </c>
      <c r="H2471" s="5" t="s">
        <v>7851</v>
      </c>
      <c r="I2471" s="5" t="s">
        <v>8725</v>
      </c>
      <c r="J2471" s="5" t="s">
        <v>8726</v>
      </c>
      <c r="K2471" s="5"/>
      <c r="L2471" s="4" t="s">
        <v>51</v>
      </c>
      <c r="M2471" s="8" t="s">
        <v>79</v>
      </c>
      <c r="N2471" s="9" t="s">
        <v>1118</v>
      </c>
      <c r="O2471" s="5"/>
      <c r="P2471" s="5"/>
      <c r="Q2471" s="6" t="s">
        <v>30</v>
      </c>
      <c r="R2471" s="4" t="s">
        <v>31</v>
      </c>
      <c r="S2471" s="7" t="s">
        <v>32</v>
      </c>
      <c r="T2471" s="5"/>
    </row>
    <row r="2472" customFormat="false" ht="43.5" hidden="false" customHeight="true" outlineLevel="0" collapsed="false">
      <c r="A2472" s="4" t="n">
        <v>2471</v>
      </c>
      <c r="B2472" s="6" t="s">
        <v>1787</v>
      </c>
      <c r="C2472" s="6" t="s">
        <v>8596</v>
      </c>
      <c r="D2472" s="6" t="s">
        <v>8597</v>
      </c>
      <c r="E2472" s="7" t="s">
        <v>21</v>
      </c>
      <c r="F2472" s="5" t="s">
        <v>8727</v>
      </c>
      <c r="G2472" s="6" t="s">
        <v>8728</v>
      </c>
      <c r="H2472" s="6" t="s">
        <v>8729</v>
      </c>
      <c r="I2472" s="6" t="s">
        <v>8730</v>
      </c>
      <c r="J2472" s="6" t="s">
        <v>8731</v>
      </c>
      <c r="K2472" s="5"/>
      <c r="L2472" s="4" t="s">
        <v>62</v>
      </c>
      <c r="M2472" s="8" t="s">
        <v>28</v>
      </c>
      <c r="N2472" s="9" t="s">
        <v>8732</v>
      </c>
      <c r="O2472" s="5"/>
      <c r="P2472" s="5"/>
      <c r="Q2472" s="6" t="s">
        <v>30</v>
      </c>
      <c r="R2472" s="4" t="s">
        <v>31</v>
      </c>
      <c r="S2472" s="7" t="s">
        <v>32</v>
      </c>
      <c r="T2472" s="5"/>
    </row>
    <row r="2473" customFormat="false" ht="72" hidden="false" customHeight="true" outlineLevel="0" collapsed="false">
      <c r="A2473" s="4" t="n">
        <v>2472</v>
      </c>
      <c r="B2473" s="6" t="s">
        <v>1787</v>
      </c>
      <c r="C2473" s="6" t="s">
        <v>8596</v>
      </c>
      <c r="D2473" s="6" t="s">
        <v>8597</v>
      </c>
      <c r="E2473" s="7" t="s">
        <v>21</v>
      </c>
      <c r="F2473" s="5" t="s">
        <v>8733</v>
      </c>
      <c r="G2473" s="5" t="s">
        <v>8734</v>
      </c>
      <c r="H2473" s="5" t="s">
        <v>8735</v>
      </c>
      <c r="I2473" s="5" t="s">
        <v>8736</v>
      </c>
      <c r="J2473" s="6" t="s">
        <v>8737</v>
      </c>
      <c r="K2473" s="5"/>
      <c r="L2473" s="4" t="s">
        <v>27</v>
      </c>
      <c r="M2473" s="8" t="s">
        <v>28</v>
      </c>
      <c r="N2473" s="9" t="s">
        <v>8738</v>
      </c>
      <c r="O2473" s="5"/>
      <c r="P2473" s="5"/>
      <c r="Q2473" s="6" t="s">
        <v>30</v>
      </c>
      <c r="R2473" s="4" t="s">
        <v>31</v>
      </c>
      <c r="S2473" s="7" t="s">
        <v>32</v>
      </c>
      <c r="T2473" s="5"/>
    </row>
    <row r="2474" customFormat="false" ht="15" hidden="false" customHeight="true" outlineLevel="0" collapsed="false">
      <c r="A2474" s="4" t="n">
        <v>2473</v>
      </c>
      <c r="B2474" s="6" t="s">
        <v>1787</v>
      </c>
      <c r="C2474" s="6" t="s">
        <v>8596</v>
      </c>
      <c r="D2474" s="6" t="s">
        <v>8597</v>
      </c>
      <c r="E2474" s="7" t="s">
        <v>21</v>
      </c>
      <c r="F2474" s="6" t="s">
        <v>8739</v>
      </c>
      <c r="G2474" s="5" t="s">
        <v>8740</v>
      </c>
      <c r="H2474" s="5" t="s">
        <v>8741</v>
      </c>
      <c r="I2474" s="5" t="s">
        <v>8742</v>
      </c>
      <c r="J2474" s="5" t="s">
        <v>8743</v>
      </c>
      <c r="K2474" s="5"/>
      <c r="L2474" s="4" t="s">
        <v>62</v>
      </c>
      <c r="M2474" s="8" t="s">
        <v>129</v>
      </c>
      <c r="N2474" s="9" t="s">
        <v>1118</v>
      </c>
      <c r="O2474" s="5"/>
      <c r="P2474" s="5"/>
      <c r="Q2474" s="6" t="s">
        <v>30</v>
      </c>
      <c r="R2474" s="4" t="s">
        <v>31</v>
      </c>
      <c r="S2474" s="7" t="s">
        <v>32</v>
      </c>
      <c r="T2474" s="5"/>
    </row>
    <row r="2475" customFormat="false" ht="15" hidden="false" customHeight="true" outlineLevel="0" collapsed="false">
      <c r="A2475" s="4" t="n">
        <v>2474</v>
      </c>
      <c r="B2475" s="6" t="s">
        <v>1787</v>
      </c>
      <c r="C2475" s="6" t="s">
        <v>8596</v>
      </c>
      <c r="D2475" s="6" t="s">
        <v>8597</v>
      </c>
      <c r="E2475" s="7" t="s">
        <v>21</v>
      </c>
      <c r="F2475" s="6" t="s">
        <v>8744</v>
      </c>
      <c r="G2475" s="5" t="s">
        <v>8155</v>
      </c>
      <c r="H2475" s="5" t="s">
        <v>7997</v>
      </c>
      <c r="I2475" s="5" t="s">
        <v>8745</v>
      </c>
      <c r="J2475" s="5" t="s">
        <v>8746</v>
      </c>
      <c r="K2475" s="5"/>
      <c r="L2475" s="4" t="s">
        <v>44</v>
      </c>
      <c r="M2475" s="8" t="s">
        <v>129</v>
      </c>
      <c r="N2475" s="9" t="s">
        <v>1118</v>
      </c>
      <c r="O2475" s="5"/>
      <c r="P2475" s="5"/>
      <c r="Q2475" s="6" t="s">
        <v>30</v>
      </c>
      <c r="R2475" s="4" t="s">
        <v>31</v>
      </c>
      <c r="S2475" s="7" t="s">
        <v>32</v>
      </c>
      <c r="T2475" s="5"/>
    </row>
    <row r="2476" customFormat="false" ht="15" hidden="false" customHeight="true" outlineLevel="0" collapsed="false">
      <c r="A2476" s="4" t="n">
        <v>2475</v>
      </c>
      <c r="B2476" s="6" t="s">
        <v>1787</v>
      </c>
      <c r="C2476" s="6" t="s">
        <v>8596</v>
      </c>
      <c r="D2476" s="6" t="s">
        <v>8597</v>
      </c>
      <c r="E2476" s="7" t="s">
        <v>21</v>
      </c>
      <c r="F2476" s="6" t="s">
        <v>8747</v>
      </c>
      <c r="G2476" s="5" t="s">
        <v>8748</v>
      </c>
      <c r="H2476" s="5" t="s">
        <v>8749</v>
      </c>
      <c r="I2476" s="5" t="s">
        <v>8750</v>
      </c>
      <c r="J2476" s="5" t="s">
        <v>8751</v>
      </c>
      <c r="K2476" s="5"/>
      <c r="L2476" s="4" t="s">
        <v>27</v>
      </c>
      <c r="M2476" s="8" t="s">
        <v>129</v>
      </c>
      <c r="N2476" s="9" t="s">
        <v>8752</v>
      </c>
      <c r="O2476" s="5"/>
      <c r="P2476" s="5"/>
      <c r="Q2476" s="6" t="s">
        <v>30</v>
      </c>
      <c r="R2476" s="4" t="s">
        <v>31</v>
      </c>
      <c r="S2476" s="7" t="s">
        <v>32</v>
      </c>
      <c r="T2476" s="5"/>
    </row>
    <row r="2477" customFormat="false" ht="15" hidden="false" customHeight="true" outlineLevel="0" collapsed="false">
      <c r="A2477" s="4" t="n">
        <v>2476</v>
      </c>
      <c r="B2477" s="6" t="s">
        <v>1787</v>
      </c>
      <c r="C2477" s="6" t="s">
        <v>8596</v>
      </c>
      <c r="D2477" s="6" t="s">
        <v>8597</v>
      </c>
      <c r="E2477" s="7" t="s">
        <v>21</v>
      </c>
      <c r="F2477" s="6" t="s">
        <v>8753</v>
      </c>
      <c r="G2477" s="5" t="s">
        <v>8754</v>
      </c>
      <c r="H2477" s="5" t="s">
        <v>6681</v>
      </c>
      <c r="I2477" s="5" t="s">
        <v>8755</v>
      </c>
      <c r="J2477" s="5" t="s">
        <v>7673</v>
      </c>
      <c r="K2477" s="5"/>
      <c r="L2477" s="4" t="s">
        <v>62</v>
      </c>
      <c r="M2477" s="8" t="s">
        <v>129</v>
      </c>
      <c r="N2477" s="9" t="s">
        <v>8619</v>
      </c>
      <c r="O2477" s="5"/>
      <c r="P2477" s="5"/>
      <c r="Q2477" s="6" t="s">
        <v>30</v>
      </c>
      <c r="R2477" s="4" t="s">
        <v>31</v>
      </c>
      <c r="S2477" s="7" t="s">
        <v>32</v>
      </c>
      <c r="T2477" s="5"/>
    </row>
    <row r="2478" customFormat="false" ht="15" hidden="false" customHeight="true" outlineLevel="0" collapsed="false">
      <c r="A2478" s="4" t="n">
        <v>2477</v>
      </c>
      <c r="B2478" s="6" t="s">
        <v>1787</v>
      </c>
      <c r="C2478" s="6" t="s">
        <v>8596</v>
      </c>
      <c r="D2478" s="6" t="s">
        <v>8597</v>
      </c>
      <c r="E2478" s="7" t="s">
        <v>21</v>
      </c>
      <c r="F2478" s="6" t="s">
        <v>8756</v>
      </c>
      <c r="G2478" s="5" t="s">
        <v>8757</v>
      </c>
      <c r="H2478" s="5" t="s">
        <v>8758</v>
      </c>
      <c r="I2478" s="5" t="s">
        <v>8759</v>
      </c>
      <c r="J2478" s="5" t="s">
        <v>8760</v>
      </c>
      <c r="K2478" s="5"/>
      <c r="L2478" s="4" t="s">
        <v>44</v>
      </c>
      <c r="M2478" s="8" t="s">
        <v>129</v>
      </c>
      <c r="N2478" s="9" t="s">
        <v>1118</v>
      </c>
      <c r="O2478" s="5"/>
      <c r="P2478" s="5"/>
      <c r="Q2478" s="6" t="s">
        <v>30</v>
      </c>
      <c r="R2478" s="4" t="s">
        <v>31</v>
      </c>
      <c r="S2478" s="7" t="s">
        <v>32</v>
      </c>
      <c r="T2478" s="5"/>
    </row>
    <row r="2479" customFormat="false" ht="29.25" hidden="false" customHeight="true" outlineLevel="0" collapsed="false">
      <c r="A2479" s="4" t="n">
        <v>2478</v>
      </c>
      <c r="B2479" s="6" t="s">
        <v>1787</v>
      </c>
      <c r="C2479" s="6" t="s">
        <v>8596</v>
      </c>
      <c r="D2479" s="6" t="s">
        <v>8597</v>
      </c>
      <c r="E2479" s="7" t="s">
        <v>21</v>
      </c>
      <c r="F2479" s="6" t="s">
        <v>8761</v>
      </c>
      <c r="G2479" s="5" t="s">
        <v>7996</v>
      </c>
      <c r="H2479" s="5" t="s">
        <v>7997</v>
      </c>
      <c r="I2479" s="5" t="s">
        <v>7998</v>
      </c>
      <c r="J2479" s="5" t="s">
        <v>8762</v>
      </c>
      <c r="K2479" s="5"/>
      <c r="L2479" s="4" t="s">
        <v>27</v>
      </c>
      <c r="M2479" s="8" t="s">
        <v>79</v>
      </c>
      <c r="N2479" s="9" t="s">
        <v>1118</v>
      </c>
      <c r="O2479" s="5"/>
      <c r="P2479" s="5"/>
      <c r="Q2479" s="6" t="s">
        <v>30</v>
      </c>
      <c r="R2479" s="4" t="s">
        <v>31</v>
      </c>
      <c r="S2479" s="7" t="s">
        <v>32</v>
      </c>
      <c r="T2479" s="5"/>
    </row>
    <row r="2480" customFormat="false" ht="15" hidden="false" customHeight="true" outlineLevel="0" collapsed="false">
      <c r="A2480" s="4" t="n">
        <v>2479</v>
      </c>
      <c r="B2480" s="6" t="s">
        <v>1787</v>
      </c>
      <c r="C2480" s="6" t="s">
        <v>8596</v>
      </c>
      <c r="D2480" s="6" t="s">
        <v>8597</v>
      </c>
      <c r="E2480" s="7" t="s">
        <v>21</v>
      </c>
      <c r="F2480" s="6" t="s">
        <v>8763</v>
      </c>
      <c r="G2480" s="5" t="s">
        <v>8764</v>
      </c>
      <c r="H2480" s="5" t="s">
        <v>8765</v>
      </c>
      <c r="I2480" s="5" t="s">
        <v>8766</v>
      </c>
      <c r="J2480" s="5" t="s">
        <v>8767</v>
      </c>
      <c r="K2480" s="5"/>
      <c r="L2480" s="4" t="s">
        <v>27</v>
      </c>
      <c r="M2480" s="8" t="s">
        <v>129</v>
      </c>
      <c r="N2480" s="9" t="s">
        <v>1118</v>
      </c>
      <c r="O2480" s="5"/>
      <c r="P2480" s="5"/>
      <c r="Q2480" s="6" t="s">
        <v>30</v>
      </c>
      <c r="R2480" s="4" t="s">
        <v>31</v>
      </c>
      <c r="S2480" s="7" t="s">
        <v>32</v>
      </c>
      <c r="T2480" s="5"/>
    </row>
    <row r="2481" customFormat="false" ht="29.25" hidden="false" customHeight="true" outlineLevel="0" collapsed="false">
      <c r="A2481" s="4" t="n">
        <v>2480</v>
      </c>
      <c r="B2481" s="6" t="s">
        <v>1787</v>
      </c>
      <c r="C2481" s="6" t="s">
        <v>8596</v>
      </c>
      <c r="D2481" s="6" t="s">
        <v>8597</v>
      </c>
      <c r="E2481" s="7" t="s">
        <v>21</v>
      </c>
      <c r="F2481" s="6" t="s">
        <v>8768</v>
      </c>
      <c r="G2481" s="5" t="s">
        <v>1235</v>
      </c>
      <c r="H2481" s="5" t="s">
        <v>1224</v>
      </c>
      <c r="I2481" s="5" t="s">
        <v>164</v>
      </c>
      <c r="J2481" s="5" t="s">
        <v>3448</v>
      </c>
      <c r="K2481" s="5"/>
      <c r="L2481" s="4" t="s">
        <v>27</v>
      </c>
      <c r="M2481" s="8" t="s">
        <v>129</v>
      </c>
      <c r="N2481" s="9" t="s">
        <v>1118</v>
      </c>
      <c r="O2481" s="5"/>
      <c r="P2481" s="5"/>
      <c r="Q2481" s="6" t="s">
        <v>30</v>
      </c>
      <c r="R2481" s="4" t="s">
        <v>31</v>
      </c>
      <c r="S2481" s="7" t="s">
        <v>32</v>
      </c>
      <c r="T2481" s="5"/>
    </row>
    <row r="2482" customFormat="false" ht="29.25" hidden="false" customHeight="true" outlineLevel="0" collapsed="false">
      <c r="A2482" s="4" t="n">
        <v>2481</v>
      </c>
      <c r="B2482" s="6" t="s">
        <v>1787</v>
      </c>
      <c r="C2482" s="6" t="s">
        <v>8596</v>
      </c>
      <c r="D2482" s="6" t="s">
        <v>8597</v>
      </c>
      <c r="E2482" s="7" t="s">
        <v>21</v>
      </c>
      <c r="F2482" s="6" t="s">
        <v>8769</v>
      </c>
      <c r="G2482" s="5" t="s">
        <v>8770</v>
      </c>
      <c r="H2482" s="5" t="s">
        <v>7715</v>
      </c>
      <c r="I2482" s="5" t="s">
        <v>8771</v>
      </c>
      <c r="J2482" s="5" t="s">
        <v>8772</v>
      </c>
      <c r="K2482" s="5"/>
      <c r="L2482" s="4" t="s">
        <v>44</v>
      </c>
      <c r="M2482" s="8" t="s">
        <v>79</v>
      </c>
      <c r="N2482" s="9" t="s">
        <v>8619</v>
      </c>
      <c r="O2482" s="5"/>
      <c r="P2482" s="5"/>
      <c r="Q2482" s="6" t="s">
        <v>30</v>
      </c>
      <c r="R2482" s="4" t="s">
        <v>31</v>
      </c>
      <c r="S2482" s="7" t="s">
        <v>32</v>
      </c>
      <c r="T2482" s="5"/>
    </row>
    <row r="2483" customFormat="false" ht="15" hidden="false" customHeight="true" outlineLevel="0" collapsed="false">
      <c r="A2483" s="4" t="n">
        <v>2482</v>
      </c>
      <c r="B2483" s="6" t="s">
        <v>1787</v>
      </c>
      <c r="C2483" s="6" t="s">
        <v>8596</v>
      </c>
      <c r="D2483" s="6" t="s">
        <v>8597</v>
      </c>
      <c r="E2483" s="7" t="s">
        <v>21</v>
      </c>
      <c r="F2483" s="6" t="s">
        <v>8773</v>
      </c>
      <c r="G2483" s="5" t="s">
        <v>7996</v>
      </c>
      <c r="H2483" s="5" t="s">
        <v>7997</v>
      </c>
      <c r="I2483" s="5" t="s">
        <v>7998</v>
      </c>
      <c r="J2483" s="5" t="s">
        <v>8774</v>
      </c>
      <c r="K2483" s="5"/>
      <c r="L2483" s="4" t="s">
        <v>44</v>
      </c>
      <c r="M2483" s="8" t="s">
        <v>129</v>
      </c>
      <c r="N2483" s="9" t="s">
        <v>8619</v>
      </c>
      <c r="O2483" s="5"/>
      <c r="P2483" s="5"/>
      <c r="Q2483" s="6" t="s">
        <v>30</v>
      </c>
      <c r="R2483" s="4" t="s">
        <v>31</v>
      </c>
      <c r="S2483" s="7" t="s">
        <v>32</v>
      </c>
      <c r="T2483" s="5"/>
    </row>
    <row r="2484" customFormat="false" ht="15" hidden="false" customHeight="true" outlineLevel="0" collapsed="false">
      <c r="A2484" s="4" t="n">
        <v>2483</v>
      </c>
      <c r="B2484" s="6" t="s">
        <v>1787</v>
      </c>
      <c r="C2484" s="6" t="s">
        <v>8596</v>
      </c>
      <c r="D2484" s="6" t="s">
        <v>8597</v>
      </c>
      <c r="E2484" s="7" t="s">
        <v>21</v>
      </c>
      <c r="F2484" s="6" t="s">
        <v>8775</v>
      </c>
      <c r="G2484" s="6" t="s">
        <v>8776</v>
      </c>
      <c r="H2484" s="5" t="s">
        <v>8777</v>
      </c>
      <c r="I2484" s="5" t="s">
        <v>8778</v>
      </c>
      <c r="J2484" s="6" t="s">
        <v>8779</v>
      </c>
      <c r="K2484" s="5"/>
      <c r="L2484" s="4" t="s">
        <v>27</v>
      </c>
      <c r="M2484" s="8" t="s">
        <v>79</v>
      </c>
      <c r="N2484" s="9" t="s">
        <v>1118</v>
      </c>
      <c r="O2484" s="5"/>
      <c r="P2484" s="5"/>
      <c r="Q2484" s="6" t="s">
        <v>30</v>
      </c>
      <c r="R2484" s="4" t="s">
        <v>31</v>
      </c>
      <c r="S2484" s="7" t="s">
        <v>32</v>
      </c>
      <c r="T2484" s="5"/>
    </row>
    <row r="2485" customFormat="false" ht="43.5" hidden="false" customHeight="true" outlineLevel="0" collapsed="false">
      <c r="A2485" s="4" t="n">
        <v>2484</v>
      </c>
      <c r="B2485" s="6" t="s">
        <v>1787</v>
      </c>
      <c r="C2485" s="6" t="s">
        <v>8596</v>
      </c>
      <c r="D2485" s="6" t="s">
        <v>8597</v>
      </c>
      <c r="E2485" s="7" t="s">
        <v>21</v>
      </c>
      <c r="F2485" s="6" t="s">
        <v>8780</v>
      </c>
      <c r="G2485" s="6" t="s">
        <v>8781</v>
      </c>
      <c r="H2485" s="6" t="s">
        <v>8782</v>
      </c>
      <c r="I2485" s="6" t="s">
        <v>8783</v>
      </c>
      <c r="J2485" s="6" t="s">
        <v>8784</v>
      </c>
      <c r="K2485" s="5"/>
      <c r="L2485" s="4" t="s">
        <v>51</v>
      </c>
      <c r="M2485" s="8" t="s">
        <v>28</v>
      </c>
      <c r="N2485" s="9" t="s">
        <v>1118</v>
      </c>
      <c r="O2485" s="5"/>
      <c r="P2485" s="5"/>
      <c r="Q2485" s="6" t="s">
        <v>30</v>
      </c>
      <c r="R2485" s="4" t="s">
        <v>31</v>
      </c>
      <c r="S2485" s="7" t="s">
        <v>32</v>
      </c>
      <c r="T2485" s="5"/>
    </row>
    <row r="2486" customFormat="false" ht="15" hidden="false" customHeight="true" outlineLevel="0" collapsed="false">
      <c r="A2486" s="4" t="n">
        <v>2485</v>
      </c>
      <c r="B2486" s="6" t="s">
        <v>1787</v>
      </c>
      <c r="C2486" s="6" t="s">
        <v>8596</v>
      </c>
      <c r="D2486" s="6" t="s">
        <v>8597</v>
      </c>
      <c r="E2486" s="7" t="s">
        <v>21</v>
      </c>
      <c r="F2486" s="6" t="s">
        <v>8785</v>
      </c>
      <c r="G2486" s="5" t="s">
        <v>7290</v>
      </c>
      <c r="H2486" s="5" t="s">
        <v>7289</v>
      </c>
      <c r="I2486" s="5" t="s">
        <v>7291</v>
      </c>
      <c r="J2486" s="5" t="s">
        <v>7288</v>
      </c>
      <c r="K2486" s="5"/>
      <c r="L2486" s="4" t="s">
        <v>51</v>
      </c>
      <c r="M2486" s="8" t="s">
        <v>79</v>
      </c>
      <c r="N2486" s="9" t="s">
        <v>8609</v>
      </c>
      <c r="O2486" s="5"/>
      <c r="P2486" s="5"/>
      <c r="Q2486" s="6" t="s">
        <v>30</v>
      </c>
      <c r="R2486" s="4" t="s">
        <v>31</v>
      </c>
      <c r="S2486" s="7" t="s">
        <v>32</v>
      </c>
      <c r="T2486" s="5"/>
    </row>
    <row r="2487" customFormat="false" ht="15" hidden="false" customHeight="true" outlineLevel="0" collapsed="false">
      <c r="A2487" s="4" t="n">
        <v>2486</v>
      </c>
      <c r="B2487" s="6" t="s">
        <v>1787</v>
      </c>
      <c r="C2487" s="6" t="s">
        <v>8596</v>
      </c>
      <c r="D2487" s="6" t="s">
        <v>8597</v>
      </c>
      <c r="E2487" s="7" t="s">
        <v>21</v>
      </c>
      <c r="F2487" s="6" t="s">
        <v>8786</v>
      </c>
      <c r="G2487" s="5" t="s">
        <v>7290</v>
      </c>
      <c r="H2487" s="5" t="s">
        <v>7289</v>
      </c>
      <c r="I2487" s="5" t="s">
        <v>7291</v>
      </c>
      <c r="J2487" s="5" t="s">
        <v>7288</v>
      </c>
      <c r="K2487" s="5"/>
      <c r="L2487" s="4" t="s">
        <v>62</v>
      </c>
      <c r="M2487" s="8" t="s">
        <v>79</v>
      </c>
      <c r="N2487" s="9" t="s">
        <v>8609</v>
      </c>
      <c r="O2487" s="5"/>
      <c r="P2487" s="5"/>
      <c r="Q2487" s="6" t="s">
        <v>30</v>
      </c>
      <c r="R2487" s="4" t="s">
        <v>31</v>
      </c>
      <c r="S2487" s="7" t="s">
        <v>32</v>
      </c>
      <c r="T2487" s="5"/>
    </row>
    <row r="2488" customFormat="false" ht="15" hidden="false" customHeight="true" outlineLevel="0" collapsed="false">
      <c r="A2488" s="4" t="n">
        <v>2487</v>
      </c>
      <c r="B2488" s="6" t="s">
        <v>1787</v>
      </c>
      <c r="C2488" s="6" t="s">
        <v>8596</v>
      </c>
      <c r="D2488" s="6" t="s">
        <v>8597</v>
      </c>
      <c r="E2488" s="7" t="s">
        <v>21</v>
      </c>
      <c r="F2488" s="6" t="s">
        <v>8787</v>
      </c>
      <c r="G2488" s="6" t="s">
        <v>5848</v>
      </c>
      <c r="H2488" s="6" t="s">
        <v>5847</v>
      </c>
      <c r="I2488" s="6" t="s">
        <v>5846</v>
      </c>
      <c r="J2488" s="6" t="s">
        <v>8788</v>
      </c>
      <c r="K2488" s="5"/>
      <c r="L2488" s="4" t="s">
        <v>27</v>
      </c>
      <c r="M2488" s="8" t="s">
        <v>79</v>
      </c>
      <c r="N2488" s="9" t="s">
        <v>8619</v>
      </c>
      <c r="O2488" s="5"/>
      <c r="P2488" s="5"/>
      <c r="Q2488" s="6" t="s">
        <v>30</v>
      </c>
      <c r="R2488" s="4" t="s">
        <v>31</v>
      </c>
      <c r="S2488" s="7" t="s">
        <v>32</v>
      </c>
      <c r="T2488" s="5"/>
    </row>
    <row r="2489" customFormat="false" ht="15" hidden="false" customHeight="true" outlineLevel="0" collapsed="false">
      <c r="A2489" s="4" t="n">
        <v>2488</v>
      </c>
      <c r="B2489" s="6" t="s">
        <v>1787</v>
      </c>
      <c r="C2489" s="6" t="s">
        <v>8596</v>
      </c>
      <c r="D2489" s="6" t="s">
        <v>8597</v>
      </c>
      <c r="E2489" s="7" t="s">
        <v>21</v>
      </c>
      <c r="F2489" s="6" t="s">
        <v>8789</v>
      </c>
      <c r="G2489" s="6" t="s">
        <v>5848</v>
      </c>
      <c r="H2489" s="6" t="s">
        <v>5847</v>
      </c>
      <c r="I2489" s="6" t="s">
        <v>5846</v>
      </c>
      <c r="J2489" s="6" t="s">
        <v>8788</v>
      </c>
      <c r="K2489" s="5"/>
      <c r="L2489" s="4" t="s">
        <v>44</v>
      </c>
      <c r="M2489" s="8" t="s">
        <v>79</v>
      </c>
      <c r="N2489" s="9" t="s">
        <v>8619</v>
      </c>
      <c r="O2489" s="5"/>
      <c r="P2489" s="5"/>
      <c r="Q2489" s="6" t="s">
        <v>30</v>
      </c>
      <c r="R2489" s="4" t="s">
        <v>31</v>
      </c>
      <c r="S2489" s="7" t="s">
        <v>32</v>
      </c>
      <c r="T2489" s="5"/>
    </row>
    <row r="2490" customFormat="false" ht="29.25" hidden="false" customHeight="true" outlineLevel="0" collapsed="false">
      <c r="A2490" s="4" t="n">
        <v>2489</v>
      </c>
      <c r="B2490" s="6" t="s">
        <v>1787</v>
      </c>
      <c r="C2490" s="6" t="s">
        <v>8596</v>
      </c>
      <c r="D2490" s="6" t="s">
        <v>8597</v>
      </c>
      <c r="E2490" s="7" t="s">
        <v>21</v>
      </c>
      <c r="F2490" s="6" t="s">
        <v>8790</v>
      </c>
      <c r="G2490" s="6" t="s">
        <v>8082</v>
      </c>
      <c r="H2490" s="6" t="s">
        <v>7824</v>
      </c>
      <c r="I2490" s="6" t="s">
        <v>5776</v>
      </c>
      <c r="J2490" s="6" t="s">
        <v>150</v>
      </c>
      <c r="K2490" s="5"/>
      <c r="L2490" s="4" t="s">
        <v>51</v>
      </c>
      <c r="M2490" s="8" t="s">
        <v>79</v>
      </c>
      <c r="N2490" s="9" t="s">
        <v>1118</v>
      </c>
      <c r="O2490" s="5"/>
      <c r="P2490" s="5"/>
      <c r="Q2490" s="6" t="s">
        <v>30</v>
      </c>
      <c r="R2490" s="4" t="s">
        <v>31</v>
      </c>
      <c r="S2490" s="7" t="s">
        <v>32</v>
      </c>
      <c r="T2490" s="5"/>
    </row>
    <row r="2491" customFormat="false" ht="15" hidden="false" customHeight="true" outlineLevel="0" collapsed="false">
      <c r="A2491" s="4" t="n">
        <v>2490</v>
      </c>
      <c r="B2491" s="6" t="s">
        <v>1787</v>
      </c>
      <c r="C2491" s="6" t="s">
        <v>8596</v>
      </c>
      <c r="D2491" s="6" t="s">
        <v>8597</v>
      </c>
      <c r="E2491" s="7" t="s">
        <v>21</v>
      </c>
      <c r="F2491" s="6" t="s">
        <v>8791</v>
      </c>
      <c r="G2491" s="6" t="s">
        <v>8792</v>
      </c>
      <c r="H2491" s="6" t="s">
        <v>8793</v>
      </c>
      <c r="I2491" s="6" t="s">
        <v>8794</v>
      </c>
      <c r="J2491" s="6" t="s">
        <v>78</v>
      </c>
      <c r="K2491" s="5"/>
      <c r="L2491" s="4" t="s">
        <v>44</v>
      </c>
      <c r="M2491" s="8" t="s">
        <v>79</v>
      </c>
      <c r="N2491" s="9" t="s">
        <v>1118</v>
      </c>
      <c r="O2491" s="5"/>
      <c r="P2491" s="5"/>
      <c r="Q2491" s="6" t="s">
        <v>30</v>
      </c>
      <c r="R2491" s="4" t="s">
        <v>31</v>
      </c>
      <c r="S2491" s="7" t="s">
        <v>32</v>
      </c>
      <c r="T2491" s="5"/>
    </row>
    <row r="2492" customFormat="false" ht="15" hidden="false" customHeight="true" outlineLevel="0" collapsed="false">
      <c r="A2492" s="4" t="n">
        <v>2491</v>
      </c>
      <c r="B2492" s="6" t="s">
        <v>1787</v>
      </c>
      <c r="C2492" s="6" t="s">
        <v>8596</v>
      </c>
      <c r="D2492" s="6" t="s">
        <v>8597</v>
      </c>
      <c r="E2492" s="7" t="s">
        <v>21</v>
      </c>
      <c r="F2492" s="6" t="s">
        <v>8795</v>
      </c>
      <c r="G2492" s="6" t="s">
        <v>8796</v>
      </c>
      <c r="H2492" s="6" t="s">
        <v>8797</v>
      </c>
      <c r="I2492" s="6" t="s">
        <v>8798</v>
      </c>
      <c r="J2492" s="6" t="s">
        <v>78</v>
      </c>
      <c r="K2492" s="5"/>
      <c r="L2492" s="4" t="s">
        <v>51</v>
      </c>
      <c r="M2492" s="8" t="s">
        <v>79</v>
      </c>
      <c r="N2492" s="9" t="s">
        <v>8670</v>
      </c>
      <c r="O2492" s="5"/>
      <c r="P2492" s="5"/>
      <c r="Q2492" s="6" t="s">
        <v>30</v>
      </c>
      <c r="R2492" s="4" t="s">
        <v>31</v>
      </c>
      <c r="S2492" s="7" t="s">
        <v>32</v>
      </c>
      <c r="T2492" s="5"/>
    </row>
    <row r="2493" customFormat="false" ht="15" hidden="false" customHeight="true" outlineLevel="0" collapsed="false">
      <c r="A2493" s="4" t="n">
        <v>2492</v>
      </c>
      <c r="B2493" s="6" t="s">
        <v>1787</v>
      </c>
      <c r="C2493" s="6" t="s">
        <v>8596</v>
      </c>
      <c r="D2493" s="6" t="s">
        <v>8597</v>
      </c>
      <c r="E2493" s="7" t="s">
        <v>21</v>
      </c>
      <c r="F2493" s="6" t="s">
        <v>8799</v>
      </c>
      <c r="G2493" s="6" t="s">
        <v>8800</v>
      </c>
      <c r="H2493" s="6" t="s">
        <v>8801</v>
      </c>
      <c r="I2493" s="6" t="s">
        <v>8802</v>
      </c>
      <c r="J2493" s="6" t="s">
        <v>150</v>
      </c>
      <c r="K2493" s="5"/>
      <c r="L2493" s="4" t="s">
        <v>51</v>
      </c>
      <c r="M2493" s="8" t="s">
        <v>79</v>
      </c>
      <c r="N2493" s="9" t="s">
        <v>8670</v>
      </c>
      <c r="O2493" s="5"/>
      <c r="P2493" s="5"/>
      <c r="Q2493" s="6" t="s">
        <v>30</v>
      </c>
      <c r="R2493" s="4" t="s">
        <v>31</v>
      </c>
      <c r="S2493" s="7" t="s">
        <v>32</v>
      </c>
      <c r="T2493" s="5"/>
    </row>
    <row r="2494" customFormat="false" ht="15" hidden="false" customHeight="true" outlineLevel="0" collapsed="false">
      <c r="A2494" s="4" t="n">
        <v>2493</v>
      </c>
      <c r="B2494" s="6" t="s">
        <v>1787</v>
      </c>
      <c r="C2494" s="6" t="s">
        <v>8596</v>
      </c>
      <c r="D2494" s="6" t="s">
        <v>8597</v>
      </c>
      <c r="E2494" s="7" t="s">
        <v>21</v>
      </c>
      <c r="F2494" s="6" t="s">
        <v>8803</v>
      </c>
      <c r="G2494" s="6" t="s">
        <v>8804</v>
      </c>
      <c r="H2494" s="6" t="s">
        <v>8805</v>
      </c>
      <c r="I2494" s="6" t="s">
        <v>8806</v>
      </c>
      <c r="J2494" s="6" t="s">
        <v>78</v>
      </c>
      <c r="K2494" s="5"/>
      <c r="L2494" s="4" t="s">
        <v>44</v>
      </c>
      <c r="M2494" s="8" t="s">
        <v>129</v>
      </c>
      <c r="N2494" s="9" t="s">
        <v>1118</v>
      </c>
      <c r="O2494" s="5"/>
      <c r="P2494" s="5"/>
      <c r="Q2494" s="6" t="s">
        <v>30</v>
      </c>
      <c r="R2494" s="4" t="s">
        <v>31</v>
      </c>
      <c r="S2494" s="7" t="s">
        <v>32</v>
      </c>
      <c r="T2494" s="5"/>
    </row>
    <row r="2495" customFormat="false" ht="15" hidden="false" customHeight="true" outlineLevel="0" collapsed="false">
      <c r="A2495" s="4" t="n">
        <v>2494</v>
      </c>
      <c r="B2495" s="6" t="s">
        <v>1787</v>
      </c>
      <c r="C2495" s="6" t="s">
        <v>8596</v>
      </c>
      <c r="D2495" s="6" t="s">
        <v>8597</v>
      </c>
      <c r="E2495" s="7" t="s">
        <v>21</v>
      </c>
      <c r="F2495" s="6" t="s">
        <v>8807</v>
      </c>
      <c r="G2495" s="5" t="s">
        <v>8808</v>
      </c>
      <c r="H2495" s="5" t="s">
        <v>8809</v>
      </c>
      <c r="I2495" s="5" t="s">
        <v>8810</v>
      </c>
      <c r="J2495" s="6" t="s">
        <v>1906</v>
      </c>
      <c r="K2495" s="5"/>
      <c r="L2495" s="4" t="s">
        <v>27</v>
      </c>
      <c r="M2495" s="8" t="s">
        <v>129</v>
      </c>
      <c r="N2495" s="9" t="s">
        <v>1118</v>
      </c>
      <c r="O2495" s="5"/>
      <c r="P2495" s="5"/>
      <c r="Q2495" s="6" t="s">
        <v>30</v>
      </c>
      <c r="R2495" s="4" t="s">
        <v>31</v>
      </c>
      <c r="S2495" s="7" t="s">
        <v>32</v>
      </c>
      <c r="T2495" s="5"/>
    </row>
    <row r="2496" customFormat="false" ht="15" hidden="false" customHeight="true" outlineLevel="0" collapsed="false">
      <c r="A2496" s="4" t="n">
        <v>2495</v>
      </c>
      <c r="B2496" s="6" t="s">
        <v>1787</v>
      </c>
      <c r="C2496" s="6" t="s">
        <v>8596</v>
      </c>
      <c r="D2496" s="6" t="s">
        <v>8597</v>
      </c>
      <c r="E2496" s="7" t="s">
        <v>21</v>
      </c>
      <c r="F2496" s="6" t="s">
        <v>8811</v>
      </c>
      <c r="G2496" s="5" t="s">
        <v>8812</v>
      </c>
      <c r="H2496" s="6" t="s">
        <v>8813</v>
      </c>
      <c r="I2496" s="6" t="s">
        <v>8814</v>
      </c>
      <c r="J2496" s="6" t="s">
        <v>150</v>
      </c>
      <c r="K2496" s="5"/>
      <c r="L2496" s="4" t="s">
        <v>51</v>
      </c>
      <c r="M2496" s="8" t="s">
        <v>79</v>
      </c>
      <c r="N2496" s="9" t="s">
        <v>1118</v>
      </c>
      <c r="O2496" s="5"/>
      <c r="P2496" s="5"/>
      <c r="Q2496" s="6" t="s">
        <v>30</v>
      </c>
      <c r="R2496" s="4" t="s">
        <v>31</v>
      </c>
      <c r="S2496" s="7" t="s">
        <v>32</v>
      </c>
      <c r="T2496" s="5"/>
    </row>
    <row r="2497" customFormat="false" ht="15" hidden="false" customHeight="true" outlineLevel="0" collapsed="false">
      <c r="A2497" s="4" t="n">
        <v>2496</v>
      </c>
      <c r="B2497" s="6" t="s">
        <v>1787</v>
      </c>
      <c r="C2497" s="6" t="s">
        <v>8596</v>
      </c>
      <c r="D2497" s="6" t="s">
        <v>8597</v>
      </c>
      <c r="E2497" s="7" t="s">
        <v>21</v>
      </c>
      <c r="F2497" s="6" t="s">
        <v>8815</v>
      </c>
      <c r="G2497" s="5" t="s">
        <v>8816</v>
      </c>
      <c r="H2497" s="5" t="s">
        <v>8817</v>
      </c>
      <c r="I2497" s="5" t="s">
        <v>8818</v>
      </c>
      <c r="J2497" s="5" t="s">
        <v>8819</v>
      </c>
      <c r="K2497" s="5"/>
      <c r="L2497" s="4" t="s">
        <v>62</v>
      </c>
      <c r="M2497" s="8" t="s">
        <v>129</v>
      </c>
      <c r="N2497" s="9" t="s">
        <v>1118</v>
      </c>
      <c r="O2497" s="5"/>
      <c r="P2497" s="5"/>
      <c r="Q2497" s="6" t="s">
        <v>30</v>
      </c>
      <c r="R2497" s="4" t="s">
        <v>31</v>
      </c>
      <c r="S2497" s="7" t="s">
        <v>32</v>
      </c>
      <c r="T2497" s="5"/>
    </row>
    <row r="2498" customFormat="false" ht="15" hidden="false" customHeight="true" outlineLevel="0" collapsed="false">
      <c r="A2498" s="4" t="n">
        <v>2497</v>
      </c>
      <c r="B2498" s="6" t="s">
        <v>1787</v>
      </c>
      <c r="C2498" s="6" t="s">
        <v>8596</v>
      </c>
      <c r="D2498" s="6" t="s">
        <v>8597</v>
      </c>
      <c r="E2498" s="7" t="s">
        <v>21</v>
      </c>
      <c r="F2498" s="6" t="s">
        <v>8820</v>
      </c>
      <c r="G2498" s="6" t="s">
        <v>8821</v>
      </c>
      <c r="H2498" s="6" t="s">
        <v>8822</v>
      </c>
      <c r="I2498" s="6" t="s">
        <v>8823</v>
      </c>
      <c r="J2498" s="6" t="s">
        <v>1906</v>
      </c>
      <c r="K2498" s="5"/>
      <c r="L2498" s="4" t="s">
        <v>51</v>
      </c>
      <c r="M2498" s="8" t="s">
        <v>129</v>
      </c>
      <c r="N2498" s="9" t="s">
        <v>8676</v>
      </c>
      <c r="O2498" s="5"/>
      <c r="P2498" s="5"/>
      <c r="Q2498" s="6" t="s">
        <v>30</v>
      </c>
      <c r="R2498" s="4" t="s">
        <v>31</v>
      </c>
      <c r="S2498" s="7" t="s">
        <v>32</v>
      </c>
      <c r="T2498" s="5"/>
    </row>
    <row r="2499" customFormat="false" ht="15" hidden="false" customHeight="true" outlineLevel="0" collapsed="false">
      <c r="A2499" s="4" t="n">
        <v>2498</v>
      </c>
      <c r="B2499" s="6" t="s">
        <v>1787</v>
      </c>
      <c r="C2499" s="6" t="s">
        <v>8596</v>
      </c>
      <c r="D2499" s="6" t="s">
        <v>8597</v>
      </c>
      <c r="E2499" s="7" t="s">
        <v>21</v>
      </c>
      <c r="F2499" s="6" t="s">
        <v>8824</v>
      </c>
      <c r="G2499" s="5" t="s">
        <v>8825</v>
      </c>
      <c r="H2499" s="6" t="s">
        <v>8826</v>
      </c>
      <c r="I2499" s="6" t="s">
        <v>8827</v>
      </c>
      <c r="J2499" s="6" t="s">
        <v>8828</v>
      </c>
      <c r="K2499" s="5"/>
      <c r="L2499" s="4" t="s">
        <v>51</v>
      </c>
      <c r="M2499" s="8" t="s">
        <v>129</v>
      </c>
      <c r="N2499" s="9" t="s">
        <v>1118</v>
      </c>
      <c r="O2499" s="5"/>
      <c r="P2499" s="5"/>
      <c r="Q2499" s="6" t="s">
        <v>30</v>
      </c>
      <c r="R2499" s="4" t="s">
        <v>31</v>
      </c>
      <c r="S2499" s="7" t="s">
        <v>32</v>
      </c>
      <c r="T2499" s="5"/>
    </row>
    <row r="2500" customFormat="false" ht="15" hidden="false" customHeight="true" outlineLevel="0" collapsed="false">
      <c r="A2500" s="4" t="n">
        <v>2499</v>
      </c>
      <c r="B2500" s="6" t="s">
        <v>1787</v>
      </c>
      <c r="C2500" s="6" t="s">
        <v>8596</v>
      </c>
      <c r="D2500" s="6" t="s">
        <v>8597</v>
      </c>
      <c r="E2500" s="7" t="s">
        <v>21</v>
      </c>
      <c r="F2500" s="6" t="s">
        <v>8829</v>
      </c>
      <c r="G2500" s="6" t="s">
        <v>8830</v>
      </c>
      <c r="H2500" s="5" t="s">
        <v>8831</v>
      </c>
      <c r="I2500" s="5" t="s">
        <v>8832</v>
      </c>
      <c r="J2500" s="6" t="s">
        <v>8833</v>
      </c>
      <c r="K2500" s="5"/>
      <c r="L2500" s="4" t="s">
        <v>62</v>
      </c>
      <c r="M2500" s="8" t="s">
        <v>129</v>
      </c>
      <c r="N2500" s="9" t="s">
        <v>1118</v>
      </c>
      <c r="O2500" s="5"/>
      <c r="P2500" s="5"/>
      <c r="Q2500" s="6" t="s">
        <v>30</v>
      </c>
      <c r="R2500" s="4" t="s">
        <v>31</v>
      </c>
      <c r="S2500" s="7" t="s">
        <v>32</v>
      </c>
      <c r="T2500" s="5"/>
    </row>
    <row r="2501" customFormat="false" ht="15" hidden="false" customHeight="true" outlineLevel="0" collapsed="false">
      <c r="A2501" s="4" t="n">
        <v>2500</v>
      </c>
      <c r="B2501" s="6" t="s">
        <v>1787</v>
      </c>
      <c r="C2501" s="6" t="s">
        <v>8596</v>
      </c>
      <c r="D2501" s="6" t="s">
        <v>8597</v>
      </c>
      <c r="E2501" s="7" t="s">
        <v>21</v>
      </c>
      <c r="F2501" s="6" t="s">
        <v>8834</v>
      </c>
      <c r="G2501" s="6" t="s">
        <v>8826</v>
      </c>
      <c r="H2501" s="6" t="s">
        <v>8835</v>
      </c>
      <c r="I2501" s="6" t="s">
        <v>8836</v>
      </c>
      <c r="J2501" s="6" t="s">
        <v>78</v>
      </c>
      <c r="K2501" s="5"/>
      <c r="L2501" s="4" t="s">
        <v>44</v>
      </c>
      <c r="M2501" s="8" t="s">
        <v>79</v>
      </c>
      <c r="N2501" s="9" t="s">
        <v>1118</v>
      </c>
      <c r="O2501" s="5"/>
      <c r="P2501" s="5"/>
      <c r="Q2501" s="6" t="s">
        <v>30</v>
      </c>
      <c r="R2501" s="4" t="s">
        <v>31</v>
      </c>
      <c r="S2501" s="7" t="s">
        <v>32</v>
      </c>
      <c r="T2501" s="5"/>
    </row>
    <row r="2502" customFormat="false" ht="29.25" hidden="false" customHeight="true" outlineLevel="0" collapsed="false">
      <c r="A2502" s="4" t="n">
        <v>2501</v>
      </c>
      <c r="B2502" s="6" t="s">
        <v>1787</v>
      </c>
      <c r="C2502" s="6" t="s">
        <v>8596</v>
      </c>
      <c r="D2502" s="6" t="s">
        <v>8597</v>
      </c>
      <c r="E2502" s="7" t="s">
        <v>21</v>
      </c>
      <c r="F2502" s="6" t="s">
        <v>8837</v>
      </c>
      <c r="G2502" s="5" t="s">
        <v>7338</v>
      </c>
      <c r="H2502" s="5" t="s">
        <v>5877</v>
      </c>
      <c r="I2502" s="5" t="s">
        <v>8838</v>
      </c>
      <c r="J2502" s="5" t="s">
        <v>8839</v>
      </c>
      <c r="K2502" s="5"/>
      <c r="L2502" s="4" t="s">
        <v>44</v>
      </c>
      <c r="M2502" s="8" t="s">
        <v>79</v>
      </c>
      <c r="N2502" s="9" t="s">
        <v>8619</v>
      </c>
      <c r="O2502" s="5"/>
      <c r="P2502" s="5"/>
      <c r="Q2502" s="6" t="s">
        <v>30</v>
      </c>
      <c r="R2502" s="4" t="s">
        <v>31</v>
      </c>
      <c r="S2502" s="7" t="s">
        <v>32</v>
      </c>
      <c r="T2502" s="5"/>
    </row>
    <row r="2503" customFormat="false" ht="15" hidden="false" customHeight="true" outlineLevel="0" collapsed="false">
      <c r="A2503" s="4" t="n">
        <v>2502</v>
      </c>
      <c r="B2503" s="6" t="s">
        <v>1787</v>
      </c>
      <c r="C2503" s="6" t="s">
        <v>8596</v>
      </c>
      <c r="D2503" s="6" t="s">
        <v>8597</v>
      </c>
      <c r="E2503" s="7" t="s">
        <v>21</v>
      </c>
      <c r="F2503" s="6" t="s">
        <v>8840</v>
      </c>
      <c r="G2503" s="6" t="s">
        <v>8841</v>
      </c>
      <c r="H2503" s="6" t="s">
        <v>8842</v>
      </c>
      <c r="I2503" s="6" t="s">
        <v>8843</v>
      </c>
      <c r="J2503" s="6" t="s">
        <v>150</v>
      </c>
      <c r="K2503" s="5"/>
      <c r="L2503" s="4" t="s">
        <v>51</v>
      </c>
      <c r="M2503" s="8" t="s">
        <v>79</v>
      </c>
      <c r="N2503" s="9" t="s">
        <v>1118</v>
      </c>
      <c r="O2503" s="5"/>
      <c r="P2503" s="5"/>
      <c r="Q2503" s="6" t="s">
        <v>30</v>
      </c>
      <c r="R2503" s="4" t="s">
        <v>31</v>
      </c>
      <c r="S2503" s="7" t="s">
        <v>32</v>
      </c>
      <c r="T2503" s="5"/>
    </row>
    <row r="2504" customFormat="false" ht="15" hidden="false" customHeight="true" outlineLevel="0" collapsed="false">
      <c r="A2504" s="4" t="n">
        <v>2503</v>
      </c>
      <c r="B2504" s="6" t="s">
        <v>1787</v>
      </c>
      <c r="C2504" s="6" t="s">
        <v>8596</v>
      </c>
      <c r="D2504" s="6" t="s">
        <v>8597</v>
      </c>
      <c r="E2504" s="7" t="s">
        <v>21</v>
      </c>
      <c r="F2504" s="6" t="s">
        <v>8844</v>
      </c>
      <c r="G2504" s="6" t="s">
        <v>8845</v>
      </c>
      <c r="H2504" s="6" t="s">
        <v>8846</v>
      </c>
      <c r="I2504" s="6" t="s">
        <v>8847</v>
      </c>
      <c r="J2504" s="6" t="s">
        <v>78</v>
      </c>
      <c r="K2504" s="5"/>
      <c r="L2504" s="4" t="s">
        <v>44</v>
      </c>
      <c r="M2504" s="8" t="s">
        <v>79</v>
      </c>
      <c r="N2504" s="9" t="s">
        <v>1118</v>
      </c>
      <c r="O2504" s="5"/>
      <c r="P2504" s="5"/>
      <c r="Q2504" s="6" t="s">
        <v>30</v>
      </c>
      <c r="R2504" s="4" t="s">
        <v>31</v>
      </c>
      <c r="S2504" s="7" t="s">
        <v>32</v>
      </c>
      <c r="T2504" s="5"/>
    </row>
    <row r="2505" customFormat="false" ht="29.25" hidden="false" customHeight="true" outlineLevel="0" collapsed="false">
      <c r="A2505" s="4" t="n">
        <v>2504</v>
      </c>
      <c r="B2505" s="6" t="s">
        <v>1787</v>
      </c>
      <c r="C2505" s="6" t="s">
        <v>8596</v>
      </c>
      <c r="D2505" s="6" t="s">
        <v>8597</v>
      </c>
      <c r="E2505" s="7" t="s">
        <v>21</v>
      </c>
      <c r="F2505" s="6" t="s">
        <v>8848</v>
      </c>
      <c r="G2505" s="6" t="s">
        <v>8849</v>
      </c>
      <c r="H2505" s="6" t="s">
        <v>8850</v>
      </c>
      <c r="I2505" s="6" t="s">
        <v>8851</v>
      </c>
      <c r="J2505" s="6" t="s">
        <v>78</v>
      </c>
      <c r="K2505" s="5"/>
      <c r="L2505" s="4" t="s">
        <v>44</v>
      </c>
      <c r="M2505" s="8" t="s">
        <v>79</v>
      </c>
      <c r="N2505" s="9" t="s">
        <v>1118</v>
      </c>
      <c r="O2505" s="5"/>
      <c r="P2505" s="5"/>
      <c r="Q2505" s="6" t="s">
        <v>30</v>
      </c>
      <c r="R2505" s="4" t="s">
        <v>31</v>
      </c>
      <c r="S2505" s="7" t="s">
        <v>32</v>
      </c>
      <c r="T2505" s="5"/>
    </row>
    <row r="2506" customFormat="false" ht="29.25" hidden="false" customHeight="true" outlineLevel="0" collapsed="false">
      <c r="A2506" s="4" t="n">
        <v>2505</v>
      </c>
      <c r="B2506" s="6" t="s">
        <v>1787</v>
      </c>
      <c r="C2506" s="6" t="s">
        <v>8596</v>
      </c>
      <c r="D2506" s="6" t="s">
        <v>8597</v>
      </c>
      <c r="E2506" s="7" t="s">
        <v>21</v>
      </c>
      <c r="F2506" s="6" t="s">
        <v>8852</v>
      </c>
      <c r="G2506" s="6" t="s">
        <v>8853</v>
      </c>
      <c r="H2506" s="6" t="s">
        <v>8854</v>
      </c>
      <c r="I2506" s="6" t="s">
        <v>8855</v>
      </c>
      <c r="J2506" s="6" t="s">
        <v>78</v>
      </c>
      <c r="K2506" s="5"/>
      <c r="L2506" s="4" t="s">
        <v>44</v>
      </c>
      <c r="M2506" s="8" t="s">
        <v>79</v>
      </c>
      <c r="N2506" s="9" t="s">
        <v>1118</v>
      </c>
      <c r="O2506" s="5"/>
      <c r="P2506" s="5"/>
      <c r="Q2506" s="6" t="s">
        <v>30</v>
      </c>
      <c r="R2506" s="4" t="s">
        <v>31</v>
      </c>
      <c r="S2506" s="7" t="s">
        <v>32</v>
      </c>
      <c r="T2506" s="5"/>
    </row>
    <row r="2507" customFormat="false" ht="15" hidden="false" customHeight="true" outlineLevel="0" collapsed="false">
      <c r="A2507" s="4" t="n">
        <v>2506</v>
      </c>
      <c r="B2507" s="6" t="s">
        <v>1787</v>
      </c>
      <c r="C2507" s="6" t="s">
        <v>8596</v>
      </c>
      <c r="D2507" s="6" t="s">
        <v>8597</v>
      </c>
      <c r="E2507" s="7" t="s">
        <v>21</v>
      </c>
      <c r="F2507" s="5" t="s">
        <v>8856</v>
      </c>
      <c r="G2507" s="6" t="s">
        <v>5191</v>
      </c>
      <c r="H2507" s="6" t="s">
        <v>8857</v>
      </c>
      <c r="I2507" s="6" t="s">
        <v>8858</v>
      </c>
      <c r="J2507" s="6" t="s">
        <v>8859</v>
      </c>
      <c r="K2507" s="5"/>
      <c r="L2507" s="4" t="s">
        <v>51</v>
      </c>
      <c r="M2507" s="8" t="s">
        <v>129</v>
      </c>
      <c r="N2507" s="9" t="s">
        <v>1118</v>
      </c>
      <c r="O2507" s="5"/>
      <c r="P2507" s="5"/>
      <c r="Q2507" s="6" t="s">
        <v>30</v>
      </c>
      <c r="R2507" s="4" t="s">
        <v>31</v>
      </c>
      <c r="S2507" s="7" t="s">
        <v>32</v>
      </c>
      <c r="T2507" s="5"/>
    </row>
    <row r="2508" customFormat="false" ht="15" hidden="false" customHeight="true" outlineLevel="0" collapsed="false">
      <c r="A2508" s="4" t="n">
        <v>2507</v>
      </c>
      <c r="B2508" s="6" t="s">
        <v>1787</v>
      </c>
      <c r="C2508" s="6" t="s">
        <v>8596</v>
      </c>
      <c r="D2508" s="6" t="s">
        <v>8597</v>
      </c>
      <c r="E2508" s="7" t="s">
        <v>21</v>
      </c>
      <c r="F2508" s="5" t="s">
        <v>8860</v>
      </c>
      <c r="G2508" s="6" t="s">
        <v>5191</v>
      </c>
      <c r="H2508" s="6" t="s">
        <v>1429</v>
      </c>
      <c r="I2508" s="6" t="s">
        <v>8331</v>
      </c>
      <c r="J2508" s="6" t="s">
        <v>8861</v>
      </c>
      <c r="K2508" s="5"/>
      <c r="L2508" s="4" t="s">
        <v>62</v>
      </c>
      <c r="M2508" s="8" t="s">
        <v>129</v>
      </c>
      <c r="N2508" s="9" t="s">
        <v>1118</v>
      </c>
      <c r="O2508" s="5"/>
      <c r="P2508" s="5"/>
      <c r="Q2508" s="6" t="s">
        <v>30</v>
      </c>
      <c r="R2508" s="4" t="s">
        <v>31</v>
      </c>
      <c r="S2508" s="7" t="s">
        <v>32</v>
      </c>
      <c r="T2508" s="5"/>
    </row>
    <row r="2509" customFormat="false" ht="15" hidden="false" customHeight="true" outlineLevel="0" collapsed="false">
      <c r="A2509" s="4" t="n">
        <v>2508</v>
      </c>
      <c r="B2509" s="6" t="s">
        <v>1787</v>
      </c>
      <c r="C2509" s="6" t="s">
        <v>8596</v>
      </c>
      <c r="D2509" s="6" t="s">
        <v>8597</v>
      </c>
      <c r="E2509" s="7" t="s">
        <v>21</v>
      </c>
      <c r="F2509" s="6" t="s">
        <v>8862</v>
      </c>
      <c r="G2509" s="6" t="s">
        <v>5192</v>
      </c>
      <c r="H2509" s="6" t="s">
        <v>8863</v>
      </c>
      <c r="I2509" s="6" t="s">
        <v>1429</v>
      </c>
      <c r="J2509" s="6" t="s">
        <v>8864</v>
      </c>
      <c r="K2509" s="5"/>
      <c r="L2509" s="4" t="s">
        <v>51</v>
      </c>
      <c r="M2509" s="8" t="s">
        <v>129</v>
      </c>
      <c r="N2509" s="9" t="s">
        <v>1118</v>
      </c>
      <c r="O2509" s="5"/>
      <c r="P2509" s="5"/>
      <c r="Q2509" s="6" t="s">
        <v>30</v>
      </c>
      <c r="R2509" s="4" t="s">
        <v>31</v>
      </c>
      <c r="S2509" s="7" t="s">
        <v>32</v>
      </c>
      <c r="T2509" s="5"/>
    </row>
    <row r="2510" customFormat="false" ht="15" hidden="false" customHeight="true" outlineLevel="0" collapsed="false">
      <c r="A2510" s="4" t="n">
        <v>2509</v>
      </c>
      <c r="B2510" s="6" t="s">
        <v>1787</v>
      </c>
      <c r="C2510" s="6" t="s">
        <v>8596</v>
      </c>
      <c r="D2510" s="6" t="s">
        <v>8597</v>
      </c>
      <c r="E2510" s="7" t="s">
        <v>21</v>
      </c>
      <c r="F2510" s="6" t="s">
        <v>8865</v>
      </c>
      <c r="G2510" s="6" t="s">
        <v>8866</v>
      </c>
      <c r="H2510" s="6" t="s">
        <v>8867</v>
      </c>
      <c r="I2510" s="6" t="s">
        <v>8868</v>
      </c>
      <c r="J2510" s="6" t="s">
        <v>150</v>
      </c>
      <c r="K2510" s="5"/>
      <c r="L2510" s="4" t="s">
        <v>62</v>
      </c>
      <c r="M2510" s="8" t="s">
        <v>79</v>
      </c>
      <c r="N2510" s="9" t="s">
        <v>1118</v>
      </c>
      <c r="O2510" s="5"/>
      <c r="P2510" s="5"/>
      <c r="Q2510" s="6" t="s">
        <v>30</v>
      </c>
      <c r="R2510" s="4" t="s">
        <v>31</v>
      </c>
      <c r="S2510" s="7" t="s">
        <v>32</v>
      </c>
      <c r="T2510" s="5"/>
    </row>
    <row r="2511" customFormat="false" ht="29.25" hidden="false" customHeight="true" outlineLevel="0" collapsed="false">
      <c r="A2511" s="4" t="n">
        <v>2510</v>
      </c>
      <c r="B2511" s="6" t="s">
        <v>1787</v>
      </c>
      <c r="C2511" s="6" t="s">
        <v>8596</v>
      </c>
      <c r="D2511" s="6" t="s">
        <v>8597</v>
      </c>
      <c r="E2511" s="7" t="s">
        <v>21</v>
      </c>
      <c r="F2511" s="6" t="s">
        <v>8869</v>
      </c>
      <c r="G2511" s="6" t="s">
        <v>8870</v>
      </c>
      <c r="H2511" s="6" t="s">
        <v>8871</v>
      </c>
      <c r="I2511" s="6" t="s">
        <v>8872</v>
      </c>
      <c r="J2511" s="6" t="s">
        <v>150</v>
      </c>
      <c r="K2511" s="5"/>
      <c r="L2511" s="4" t="s">
        <v>62</v>
      </c>
      <c r="M2511" s="8" t="s">
        <v>79</v>
      </c>
      <c r="N2511" s="9" t="s">
        <v>8609</v>
      </c>
      <c r="O2511" s="5"/>
      <c r="P2511" s="5"/>
      <c r="Q2511" s="6" t="s">
        <v>30</v>
      </c>
      <c r="R2511" s="4" t="s">
        <v>31</v>
      </c>
      <c r="S2511" s="7" t="s">
        <v>32</v>
      </c>
      <c r="T2511" s="5"/>
    </row>
    <row r="2512" customFormat="false" ht="15" hidden="false" customHeight="true" outlineLevel="0" collapsed="false">
      <c r="A2512" s="4" t="n">
        <v>2511</v>
      </c>
      <c r="B2512" s="6" t="s">
        <v>1787</v>
      </c>
      <c r="C2512" s="6" t="s">
        <v>8596</v>
      </c>
      <c r="D2512" s="6" t="s">
        <v>8597</v>
      </c>
      <c r="E2512" s="7" t="s">
        <v>21</v>
      </c>
      <c r="F2512" s="6" t="s">
        <v>8873</v>
      </c>
      <c r="G2512" s="6" t="s">
        <v>8874</v>
      </c>
      <c r="H2512" s="6" t="s">
        <v>8875</v>
      </c>
      <c r="I2512" s="6" t="s">
        <v>8876</v>
      </c>
      <c r="J2512" s="6" t="s">
        <v>150</v>
      </c>
      <c r="K2512" s="5"/>
      <c r="L2512" s="4" t="s">
        <v>62</v>
      </c>
      <c r="M2512" s="8" t="s">
        <v>79</v>
      </c>
      <c r="N2512" s="9" t="s">
        <v>8619</v>
      </c>
      <c r="O2512" s="5"/>
      <c r="P2512" s="5"/>
      <c r="Q2512" s="6" t="s">
        <v>30</v>
      </c>
      <c r="R2512" s="4" t="s">
        <v>31</v>
      </c>
      <c r="S2512" s="7" t="s">
        <v>32</v>
      </c>
      <c r="T2512" s="5"/>
    </row>
    <row r="2513" customFormat="false" ht="15" hidden="false" customHeight="true" outlineLevel="0" collapsed="false">
      <c r="A2513" s="4" t="n">
        <v>2512</v>
      </c>
      <c r="B2513" s="6" t="s">
        <v>1787</v>
      </c>
      <c r="C2513" s="6" t="s">
        <v>8596</v>
      </c>
      <c r="D2513" s="6" t="s">
        <v>8597</v>
      </c>
      <c r="E2513" s="7" t="s">
        <v>21</v>
      </c>
      <c r="F2513" s="6" t="s">
        <v>8877</v>
      </c>
      <c r="G2513" s="6" t="s">
        <v>5848</v>
      </c>
      <c r="H2513" s="6" t="s">
        <v>5847</v>
      </c>
      <c r="I2513" s="6" t="s">
        <v>5846</v>
      </c>
      <c r="J2513" s="6" t="s">
        <v>8788</v>
      </c>
      <c r="K2513" s="5"/>
      <c r="L2513" s="4" t="s">
        <v>51</v>
      </c>
      <c r="M2513" s="8" t="s">
        <v>129</v>
      </c>
      <c r="N2513" s="9" t="s">
        <v>8619</v>
      </c>
      <c r="O2513" s="5"/>
      <c r="P2513" s="5"/>
      <c r="Q2513" s="6" t="s">
        <v>30</v>
      </c>
      <c r="R2513" s="4" t="s">
        <v>31</v>
      </c>
      <c r="S2513" s="7" t="s">
        <v>32</v>
      </c>
      <c r="T2513" s="5"/>
    </row>
    <row r="2514" customFormat="false" ht="15" hidden="false" customHeight="true" outlineLevel="0" collapsed="false">
      <c r="A2514" s="4" t="n">
        <v>2513</v>
      </c>
      <c r="B2514" s="6" t="s">
        <v>1787</v>
      </c>
      <c r="C2514" s="6" t="s">
        <v>8596</v>
      </c>
      <c r="D2514" s="6" t="s">
        <v>8597</v>
      </c>
      <c r="E2514" s="7" t="s">
        <v>21</v>
      </c>
      <c r="F2514" s="6" t="s">
        <v>8878</v>
      </c>
      <c r="G2514" s="6" t="s">
        <v>5848</v>
      </c>
      <c r="H2514" s="6" t="s">
        <v>5847</v>
      </c>
      <c r="I2514" s="6" t="s">
        <v>5846</v>
      </c>
      <c r="J2514" s="6" t="s">
        <v>8788</v>
      </c>
      <c r="K2514" s="5"/>
      <c r="L2514" s="4" t="s">
        <v>62</v>
      </c>
      <c r="M2514" s="8" t="s">
        <v>129</v>
      </c>
      <c r="N2514" s="9" t="s">
        <v>8619</v>
      </c>
      <c r="O2514" s="5"/>
      <c r="P2514" s="5"/>
      <c r="Q2514" s="6" t="s">
        <v>30</v>
      </c>
      <c r="R2514" s="4" t="s">
        <v>31</v>
      </c>
      <c r="S2514" s="7" t="s">
        <v>32</v>
      </c>
      <c r="T2514" s="5"/>
    </row>
    <row r="2515" customFormat="false" ht="15" hidden="false" customHeight="true" outlineLevel="0" collapsed="false">
      <c r="A2515" s="4" t="n">
        <v>2514</v>
      </c>
      <c r="B2515" s="6" t="s">
        <v>1787</v>
      </c>
      <c r="C2515" s="6" t="s">
        <v>8596</v>
      </c>
      <c r="D2515" s="6" t="s">
        <v>8597</v>
      </c>
      <c r="E2515" s="7" t="s">
        <v>21</v>
      </c>
      <c r="F2515" s="6" t="s">
        <v>8879</v>
      </c>
      <c r="G2515" s="5" t="s">
        <v>8880</v>
      </c>
      <c r="H2515" s="5" t="s">
        <v>8881</v>
      </c>
      <c r="I2515" s="5" t="s">
        <v>8882</v>
      </c>
      <c r="J2515" s="6" t="s">
        <v>78</v>
      </c>
      <c r="K2515" s="5"/>
      <c r="L2515" s="4" t="s">
        <v>44</v>
      </c>
      <c r="M2515" s="8" t="s">
        <v>79</v>
      </c>
      <c r="N2515" s="9" t="s">
        <v>8619</v>
      </c>
      <c r="O2515" s="5"/>
      <c r="P2515" s="5"/>
      <c r="Q2515" s="6" t="s">
        <v>30</v>
      </c>
      <c r="R2515" s="4" t="s">
        <v>31</v>
      </c>
      <c r="S2515" s="7" t="s">
        <v>32</v>
      </c>
      <c r="T2515" s="5"/>
    </row>
    <row r="2516" customFormat="false" ht="15" hidden="false" customHeight="true" outlineLevel="0" collapsed="false">
      <c r="A2516" s="4" t="n">
        <v>2515</v>
      </c>
      <c r="B2516" s="6" t="s">
        <v>1787</v>
      </c>
      <c r="C2516" s="6" t="s">
        <v>8596</v>
      </c>
      <c r="D2516" s="6" t="s">
        <v>8597</v>
      </c>
      <c r="E2516" s="7" t="s">
        <v>21</v>
      </c>
      <c r="F2516" s="6" t="s">
        <v>8883</v>
      </c>
      <c r="G2516" s="6" t="s">
        <v>8884</v>
      </c>
      <c r="H2516" s="6" t="s">
        <v>8885</v>
      </c>
      <c r="I2516" s="6" t="s">
        <v>8886</v>
      </c>
      <c r="J2516" s="6" t="s">
        <v>8792</v>
      </c>
      <c r="K2516" s="5"/>
      <c r="L2516" s="4" t="s">
        <v>44</v>
      </c>
      <c r="M2516" s="8" t="s">
        <v>129</v>
      </c>
      <c r="N2516" s="9" t="s">
        <v>1118</v>
      </c>
      <c r="O2516" s="5"/>
      <c r="P2516" s="5"/>
      <c r="Q2516" s="6" t="s">
        <v>30</v>
      </c>
      <c r="R2516" s="4" t="s">
        <v>31</v>
      </c>
      <c r="S2516" s="7" t="s">
        <v>32</v>
      </c>
      <c r="T2516" s="5"/>
    </row>
    <row r="2517" customFormat="false" ht="15" hidden="false" customHeight="true" outlineLevel="0" collapsed="false">
      <c r="A2517" s="4" t="n">
        <v>2516</v>
      </c>
      <c r="B2517" s="6" t="s">
        <v>1787</v>
      </c>
      <c r="C2517" s="6" t="s">
        <v>8596</v>
      </c>
      <c r="D2517" s="6" t="s">
        <v>8597</v>
      </c>
      <c r="E2517" s="7" t="s">
        <v>21</v>
      </c>
      <c r="F2517" s="6" t="s">
        <v>8887</v>
      </c>
      <c r="G2517" s="5" t="s">
        <v>8657</v>
      </c>
      <c r="H2517" s="5" t="s">
        <v>8888</v>
      </c>
      <c r="I2517" s="5" t="s">
        <v>8889</v>
      </c>
      <c r="J2517" s="5" t="s">
        <v>8890</v>
      </c>
      <c r="K2517" s="5"/>
      <c r="L2517" s="4" t="s">
        <v>62</v>
      </c>
      <c r="M2517" s="8" t="s">
        <v>129</v>
      </c>
      <c r="N2517" s="9" t="s">
        <v>1118</v>
      </c>
      <c r="O2517" s="5"/>
      <c r="P2517" s="5"/>
      <c r="Q2517" s="6" t="s">
        <v>30</v>
      </c>
      <c r="R2517" s="4" t="s">
        <v>31</v>
      </c>
      <c r="S2517" s="7" t="s">
        <v>32</v>
      </c>
      <c r="T2517" s="5"/>
    </row>
    <row r="2518" customFormat="false" ht="15" hidden="false" customHeight="true" outlineLevel="0" collapsed="false">
      <c r="A2518" s="4" t="n">
        <v>2517</v>
      </c>
      <c r="B2518" s="6" t="s">
        <v>1787</v>
      </c>
      <c r="C2518" s="6" t="s">
        <v>8596</v>
      </c>
      <c r="D2518" s="6" t="s">
        <v>8597</v>
      </c>
      <c r="E2518" s="7" t="s">
        <v>21</v>
      </c>
      <c r="F2518" s="6" t="s">
        <v>8891</v>
      </c>
      <c r="G2518" s="5" t="s">
        <v>8151</v>
      </c>
      <c r="H2518" s="5" t="s">
        <v>7996</v>
      </c>
      <c r="I2518" s="5" t="s">
        <v>8152</v>
      </c>
      <c r="J2518" s="5" t="s">
        <v>8892</v>
      </c>
      <c r="K2518" s="5"/>
      <c r="L2518" s="4" t="s">
        <v>27</v>
      </c>
      <c r="M2518" s="8" t="s">
        <v>129</v>
      </c>
      <c r="N2518" s="9" t="s">
        <v>1118</v>
      </c>
      <c r="O2518" s="5"/>
      <c r="P2518" s="5"/>
      <c r="Q2518" s="6" t="s">
        <v>30</v>
      </c>
      <c r="R2518" s="4" t="s">
        <v>31</v>
      </c>
      <c r="S2518" s="7" t="s">
        <v>32</v>
      </c>
      <c r="T2518" s="5"/>
    </row>
    <row r="2519" customFormat="false" ht="15" hidden="false" customHeight="true" outlineLevel="0" collapsed="false">
      <c r="A2519" s="4" t="n">
        <v>2518</v>
      </c>
      <c r="B2519" s="6" t="s">
        <v>1787</v>
      </c>
      <c r="C2519" s="6" t="s">
        <v>8596</v>
      </c>
      <c r="D2519" s="6" t="s">
        <v>8597</v>
      </c>
      <c r="E2519" s="7" t="s">
        <v>21</v>
      </c>
      <c r="F2519" s="6" t="s">
        <v>8893</v>
      </c>
      <c r="G2519" s="5" t="s">
        <v>8892</v>
      </c>
      <c r="H2519" s="5" t="s">
        <v>8808</v>
      </c>
      <c r="I2519" s="5" t="s">
        <v>7997</v>
      </c>
      <c r="J2519" s="5" t="s">
        <v>8745</v>
      </c>
      <c r="K2519" s="5"/>
      <c r="L2519" s="4" t="s">
        <v>27</v>
      </c>
      <c r="M2519" s="8" t="s">
        <v>129</v>
      </c>
      <c r="N2519" s="9" t="s">
        <v>1118</v>
      </c>
      <c r="O2519" s="5"/>
      <c r="P2519" s="5"/>
      <c r="Q2519" s="6" t="s">
        <v>30</v>
      </c>
      <c r="R2519" s="4" t="s">
        <v>31</v>
      </c>
      <c r="S2519" s="7" t="s">
        <v>32</v>
      </c>
      <c r="T2519" s="5"/>
    </row>
    <row r="2520" customFormat="false" ht="29.25" hidden="false" customHeight="true" outlineLevel="0" collapsed="false">
      <c r="A2520" s="4" t="n">
        <v>2519</v>
      </c>
      <c r="B2520" s="6" t="s">
        <v>1787</v>
      </c>
      <c r="C2520" s="6" t="s">
        <v>8596</v>
      </c>
      <c r="D2520" s="6" t="s">
        <v>8597</v>
      </c>
      <c r="E2520" s="7" t="s">
        <v>21</v>
      </c>
      <c r="F2520" s="6" t="s">
        <v>8894</v>
      </c>
      <c r="G2520" s="5" t="s">
        <v>8895</v>
      </c>
      <c r="H2520" s="5" t="s">
        <v>8896</v>
      </c>
      <c r="I2520" s="5" t="s">
        <v>8897</v>
      </c>
      <c r="J2520" s="5" t="s">
        <v>8898</v>
      </c>
      <c r="K2520" s="5"/>
      <c r="L2520" s="4" t="s">
        <v>27</v>
      </c>
      <c r="M2520" s="8" t="s">
        <v>79</v>
      </c>
      <c r="N2520" s="9" t="s">
        <v>1118</v>
      </c>
      <c r="O2520" s="5"/>
      <c r="P2520" s="5"/>
      <c r="Q2520" s="6" t="s">
        <v>30</v>
      </c>
      <c r="R2520" s="4" t="s">
        <v>31</v>
      </c>
      <c r="S2520" s="7" t="s">
        <v>32</v>
      </c>
      <c r="T2520" s="5"/>
    </row>
    <row r="2521" customFormat="false" ht="15" hidden="false" customHeight="true" outlineLevel="0" collapsed="false">
      <c r="A2521" s="4" t="n">
        <v>2520</v>
      </c>
      <c r="B2521" s="6" t="s">
        <v>1787</v>
      </c>
      <c r="C2521" s="6" t="s">
        <v>8596</v>
      </c>
      <c r="D2521" s="6" t="s">
        <v>8597</v>
      </c>
      <c r="E2521" s="7" t="s">
        <v>21</v>
      </c>
      <c r="F2521" s="6" t="s">
        <v>8899</v>
      </c>
      <c r="G2521" s="5" t="s">
        <v>8900</v>
      </c>
      <c r="H2521" s="5" t="s">
        <v>8901</v>
      </c>
      <c r="I2521" s="5" t="s">
        <v>8902</v>
      </c>
      <c r="J2521" s="5" t="s">
        <v>8903</v>
      </c>
      <c r="K2521" s="5"/>
      <c r="L2521" s="4" t="s">
        <v>62</v>
      </c>
      <c r="M2521" s="8" t="s">
        <v>129</v>
      </c>
      <c r="N2521" s="9" t="s">
        <v>8619</v>
      </c>
      <c r="O2521" s="5"/>
      <c r="P2521" s="5"/>
      <c r="Q2521" s="6" t="s">
        <v>30</v>
      </c>
      <c r="R2521" s="4" t="s">
        <v>31</v>
      </c>
      <c r="S2521" s="7" t="s">
        <v>32</v>
      </c>
      <c r="T2521" s="5"/>
    </row>
    <row r="2522" customFormat="false" ht="29.25" hidden="false" customHeight="true" outlineLevel="0" collapsed="false">
      <c r="A2522" s="4" t="n">
        <v>2521</v>
      </c>
      <c r="B2522" s="6" t="s">
        <v>1787</v>
      </c>
      <c r="C2522" s="6" t="s">
        <v>8596</v>
      </c>
      <c r="D2522" s="6" t="s">
        <v>8597</v>
      </c>
      <c r="E2522" s="7" t="s">
        <v>21</v>
      </c>
      <c r="F2522" s="6" t="s">
        <v>8904</v>
      </c>
      <c r="G2522" s="6" t="s">
        <v>8905</v>
      </c>
      <c r="H2522" s="6" t="s">
        <v>8906</v>
      </c>
      <c r="I2522" s="6" t="s">
        <v>8907</v>
      </c>
      <c r="J2522" s="6" t="s">
        <v>78</v>
      </c>
      <c r="K2522" s="5"/>
      <c r="L2522" s="4" t="s">
        <v>44</v>
      </c>
      <c r="M2522" s="8" t="s">
        <v>79</v>
      </c>
      <c r="N2522" s="9" t="s">
        <v>1118</v>
      </c>
      <c r="O2522" s="5"/>
      <c r="P2522" s="5"/>
      <c r="Q2522" s="6" t="s">
        <v>30</v>
      </c>
      <c r="R2522" s="4" t="s">
        <v>31</v>
      </c>
      <c r="S2522" s="7" t="s">
        <v>32</v>
      </c>
      <c r="T2522" s="5"/>
    </row>
    <row r="2523" customFormat="false" ht="15" hidden="false" customHeight="true" outlineLevel="0" collapsed="false">
      <c r="A2523" s="4" t="n">
        <v>2522</v>
      </c>
      <c r="B2523" s="6" t="s">
        <v>1787</v>
      </c>
      <c r="C2523" s="6" t="s">
        <v>8596</v>
      </c>
      <c r="D2523" s="6" t="s">
        <v>8597</v>
      </c>
      <c r="E2523" s="7" t="s">
        <v>21</v>
      </c>
      <c r="F2523" s="6" t="s">
        <v>8908</v>
      </c>
      <c r="G2523" s="6" t="s">
        <v>8909</v>
      </c>
      <c r="H2523" s="6" t="s">
        <v>8910</v>
      </c>
      <c r="I2523" s="6" t="s">
        <v>8911</v>
      </c>
      <c r="J2523" s="6" t="s">
        <v>8912</v>
      </c>
      <c r="K2523" s="5"/>
      <c r="L2523" s="4" t="s">
        <v>62</v>
      </c>
      <c r="M2523" s="8" t="s">
        <v>79</v>
      </c>
      <c r="N2523" s="9" t="s">
        <v>1118</v>
      </c>
      <c r="O2523" s="5"/>
      <c r="P2523" s="5"/>
      <c r="Q2523" s="6" t="s">
        <v>30</v>
      </c>
      <c r="R2523" s="4" t="s">
        <v>31</v>
      </c>
      <c r="S2523" s="7" t="s">
        <v>32</v>
      </c>
      <c r="T2523" s="5"/>
    </row>
    <row r="2524" customFormat="false" ht="15" hidden="false" customHeight="true" outlineLevel="0" collapsed="false">
      <c r="A2524" s="4" t="n">
        <v>2523</v>
      </c>
      <c r="B2524" s="6" t="s">
        <v>1787</v>
      </c>
      <c r="C2524" s="6" t="s">
        <v>8596</v>
      </c>
      <c r="D2524" s="6" t="s">
        <v>8597</v>
      </c>
      <c r="E2524" s="7" t="s">
        <v>21</v>
      </c>
      <c r="F2524" s="6" t="s">
        <v>8913</v>
      </c>
      <c r="G2524" s="6" t="s">
        <v>8909</v>
      </c>
      <c r="H2524" s="6" t="s">
        <v>8910</v>
      </c>
      <c r="I2524" s="6" t="s">
        <v>8914</v>
      </c>
      <c r="J2524" s="6" t="s">
        <v>150</v>
      </c>
      <c r="K2524" s="5"/>
      <c r="L2524" s="4" t="s">
        <v>51</v>
      </c>
      <c r="M2524" s="8" t="s">
        <v>79</v>
      </c>
      <c r="N2524" s="9" t="s">
        <v>1118</v>
      </c>
      <c r="O2524" s="5"/>
      <c r="P2524" s="5"/>
      <c r="Q2524" s="6" t="s">
        <v>30</v>
      </c>
      <c r="R2524" s="4" t="s">
        <v>31</v>
      </c>
      <c r="S2524" s="7" t="s">
        <v>32</v>
      </c>
      <c r="T2524" s="5"/>
    </row>
    <row r="2525" customFormat="false" ht="15" hidden="false" customHeight="true" outlineLevel="0" collapsed="false">
      <c r="A2525" s="4" t="n">
        <v>2524</v>
      </c>
      <c r="B2525" s="6" t="s">
        <v>1787</v>
      </c>
      <c r="C2525" s="6" t="s">
        <v>8596</v>
      </c>
      <c r="D2525" s="6" t="s">
        <v>8597</v>
      </c>
      <c r="E2525" s="7" t="s">
        <v>21</v>
      </c>
      <c r="F2525" s="6" t="s">
        <v>8915</v>
      </c>
      <c r="G2525" s="6" t="s">
        <v>8916</v>
      </c>
      <c r="H2525" s="6" t="s">
        <v>8917</v>
      </c>
      <c r="I2525" s="6" t="s">
        <v>1906</v>
      </c>
      <c r="J2525" s="6" t="s">
        <v>150</v>
      </c>
      <c r="K2525" s="5"/>
      <c r="L2525" s="4" t="s">
        <v>62</v>
      </c>
      <c r="M2525" s="8" t="s">
        <v>79</v>
      </c>
      <c r="N2525" s="9" t="s">
        <v>8752</v>
      </c>
      <c r="O2525" s="5"/>
      <c r="P2525" s="5"/>
      <c r="Q2525" s="6" t="s">
        <v>30</v>
      </c>
      <c r="R2525" s="4" t="s">
        <v>31</v>
      </c>
      <c r="S2525" s="7" t="s">
        <v>32</v>
      </c>
      <c r="T2525" s="5"/>
    </row>
    <row r="2526" customFormat="false" ht="15" hidden="false" customHeight="true" outlineLevel="0" collapsed="false">
      <c r="A2526" s="4" t="n">
        <v>2525</v>
      </c>
      <c r="B2526" s="6" t="s">
        <v>1787</v>
      </c>
      <c r="C2526" s="6" t="s">
        <v>8596</v>
      </c>
      <c r="D2526" s="6" t="s">
        <v>8597</v>
      </c>
      <c r="E2526" s="7" t="s">
        <v>21</v>
      </c>
      <c r="F2526" s="6" t="s">
        <v>8918</v>
      </c>
      <c r="G2526" s="6" t="s">
        <v>7843</v>
      </c>
      <c r="H2526" s="6" t="s">
        <v>8015</v>
      </c>
      <c r="I2526" s="6" t="s">
        <v>8919</v>
      </c>
      <c r="J2526" s="6" t="s">
        <v>8920</v>
      </c>
      <c r="K2526" s="5"/>
      <c r="L2526" s="4" t="s">
        <v>44</v>
      </c>
      <c r="M2526" s="8" t="s">
        <v>129</v>
      </c>
      <c r="N2526" s="9" t="s">
        <v>8670</v>
      </c>
      <c r="O2526" s="5"/>
      <c r="P2526" s="5"/>
      <c r="Q2526" s="6" t="s">
        <v>30</v>
      </c>
      <c r="R2526" s="4" t="s">
        <v>31</v>
      </c>
      <c r="S2526" s="7" t="s">
        <v>32</v>
      </c>
      <c r="T2526" s="5"/>
    </row>
    <row r="2527" customFormat="false" ht="15" hidden="false" customHeight="true" outlineLevel="0" collapsed="false">
      <c r="A2527" s="4" t="n">
        <v>2526</v>
      </c>
      <c r="B2527" s="6" t="s">
        <v>1787</v>
      </c>
      <c r="C2527" s="6" t="s">
        <v>8596</v>
      </c>
      <c r="D2527" s="6" t="s">
        <v>8597</v>
      </c>
      <c r="E2527" s="7" t="s">
        <v>21</v>
      </c>
      <c r="F2527" s="6" t="s">
        <v>8921</v>
      </c>
      <c r="G2527" s="6" t="s">
        <v>8922</v>
      </c>
      <c r="H2527" s="6" t="s">
        <v>8923</v>
      </c>
      <c r="I2527" s="6" t="s">
        <v>8924</v>
      </c>
      <c r="J2527" s="6" t="s">
        <v>78</v>
      </c>
      <c r="K2527" s="5"/>
      <c r="L2527" s="4" t="s">
        <v>44</v>
      </c>
      <c r="M2527" s="8" t="s">
        <v>79</v>
      </c>
      <c r="N2527" s="9" t="s">
        <v>8670</v>
      </c>
      <c r="O2527" s="5"/>
      <c r="P2527" s="5"/>
      <c r="Q2527" s="6" t="s">
        <v>30</v>
      </c>
      <c r="R2527" s="4" t="s">
        <v>31</v>
      </c>
      <c r="S2527" s="7" t="s">
        <v>32</v>
      </c>
      <c r="T2527" s="5"/>
    </row>
    <row r="2528" customFormat="false" ht="29.25" hidden="false" customHeight="true" outlineLevel="0" collapsed="false">
      <c r="A2528" s="4" t="n">
        <v>2527</v>
      </c>
      <c r="B2528" s="6" t="s">
        <v>1787</v>
      </c>
      <c r="C2528" s="6" t="s">
        <v>8596</v>
      </c>
      <c r="D2528" s="6" t="s">
        <v>8597</v>
      </c>
      <c r="E2528" s="7" t="s">
        <v>21</v>
      </c>
      <c r="F2528" s="6" t="s">
        <v>8925</v>
      </c>
      <c r="G2528" s="6" t="s">
        <v>8926</v>
      </c>
      <c r="H2528" s="6" t="s">
        <v>8927</v>
      </c>
      <c r="I2528" s="6" t="s">
        <v>8928</v>
      </c>
      <c r="J2528" s="6" t="s">
        <v>8929</v>
      </c>
      <c r="K2528" s="5"/>
      <c r="L2528" s="4" t="s">
        <v>51</v>
      </c>
      <c r="M2528" s="8" t="s">
        <v>79</v>
      </c>
      <c r="N2528" s="9" t="s">
        <v>8670</v>
      </c>
      <c r="O2528" s="5"/>
      <c r="P2528" s="5"/>
      <c r="Q2528" s="6" t="s">
        <v>30</v>
      </c>
      <c r="R2528" s="4" t="s">
        <v>31</v>
      </c>
      <c r="S2528" s="7" t="s">
        <v>32</v>
      </c>
      <c r="T2528" s="5"/>
    </row>
    <row r="2529" customFormat="false" ht="15" hidden="false" customHeight="true" outlineLevel="0" collapsed="false">
      <c r="A2529" s="4" t="n">
        <v>2528</v>
      </c>
      <c r="B2529" s="6" t="s">
        <v>1787</v>
      </c>
      <c r="C2529" s="6" t="s">
        <v>8596</v>
      </c>
      <c r="D2529" s="6" t="s">
        <v>8597</v>
      </c>
      <c r="E2529" s="7" t="s">
        <v>21</v>
      </c>
      <c r="F2529" s="6" t="s">
        <v>8930</v>
      </c>
      <c r="G2529" s="6" t="s">
        <v>8931</v>
      </c>
      <c r="H2529" s="6" t="s">
        <v>8932</v>
      </c>
      <c r="I2529" s="6" t="s">
        <v>8933</v>
      </c>
      <c r="J2529" s="6" t="s">
        <v>78</v>
      </c>
      <c r="K2529" s="5"/>
      <c r="L2529" s="4" t="s">
        <v>44</v>
      </c>
      <c r="M2529" s="8" t="s">
        <v>129</v>
      </c>
      <c r="N2529" s="9" t="s">
        <v>8676</v>
      </c>
      <c r="O2529" s="5"/>
      <c r="P2529" s="5"/>
      <c r="Q2529" s="6" t="s">
        <v>30</v>
      </c>
      <c r="R2529" s="4" t="s">
        <v>31</v>
      </c>
      <c r="S2529" s="7" t="s">
        <v>32</v>
      </c>
      <c r="T2529" s="5"/>
    </row>
    <row r="2530" customFormat="false" ht="15" hidden="false" customHeight="true" outlineLevel="0" collapsed="false">
      <c r="A2530" s="4" t="n">
        <v>2529</v>
      </c>
      <c r="B2530" s="6" t="s">
        <v>1787</v>
      </c>
      <c r="C2530" s="6" t="s">
        <v>8596</v>
      </c>
      <c r="D2530" s="6" t="s">
        <v>8597</v>
      </c>
      <c r="E2530" s="7" t="s">
        <v>21</v>
      </c>
      <c r="F2530" s="6" t="s">
        <v>8934</v>
      </c>
      <c r="G2530" s="6" t="s">
        <v>4370</v>
      </c>
      <c r="H2530" s="6" t="s">
        <v>4371</v>
      </c>
      <c r="I2530" s="6" t="s">
        <v>4372</v>
      </c>
      <c r="J2530" s="6" t="s">
        <v>1906</v>
      </c>
      <c r="K2530" s="5"/>
      <c r="L2530" s="4" t="s">
        <v>51</v>
      </c>
      <c r="M2530" s="8" t="s">
        <v>129</v>
      </c>
      <c r="N2530" s="9" t="s">
        <v>1118</v>
      </c>
      <c r="O2530" s="5"/>
      <c r="P2530" s="5"/>
      <c r="Q2530" s="6" t="s">
        <v>30</v>
      </c>
      <c r="R2530" s="4" t="s">
        <v>31</v>
      </c>
      <c r="S2530" s="7" t="s">
        <v>32</v>
      </c>
      <c r="T2530" s="5"/>
    </row>
    <row r="2531" customFormat="false" ht="15" hidden="false" customHeight="true" outlineLevel="0" collapsed="false">
      <c r="A2531" s="4" t="n">
        <v>2530</v>
      </c>
      <c r="B2531" s="6" t="s">
        <v>1787</v>
      </c>
      <c r="C2531" s="6" t="s">
        <v>8596</v>
      </c>
      <c r="D2531" s="6" t="s">
        <v>8597</v>
      </c>
      <c r="E2531" s="7" t="s">
        <v>21</v>
      </c>
      <c r="F2531" s="6" t="s">
        <v>8935</v>
      </c>
      <c r="G2531" s="6" t="s">
        <v>7711</v>
      </c>
      <c r="H2531" s="5" t="s">
        <v>8936</v>
      </c>
      <c r="I2531" s="6" t="s">
        <v>8937</v>
      </c>
      <c r="J2531" s="6" t="s">
        <v>8938</v>
      </c>
      <c r="K2531" s="5"/>
      <c r="L2531" s="4" t="s">
        <v>62</v>
      </c>
      <c r="M2531" s="8" t="s">
        <v>129</v>
      </c>
      <c r="N2531" s="9" t="s">
        <v>1118</v>
      </c>
      <c r="O2531" s="5"/>
      <c r="P2531" s="5"/>
      <c r="Q2531" s="6" t="s">
        <v>30</v>
      </c>
      <c r="R2531" s="4" t="s">
        <v>31</v>
      </c>
      <c r="S2531" s="7" t="s">
        <v>32</v>
      </c>
      <c r="T2531" s="5"/>
    </row>
    <row r="2532" customFormat="false" ht="15" hidden="false" customHeight="true" outlineLevel="0" collapsed="false">
      <c r="A2532" s="4" t="n">
        <v>2531</v>
      </c>
      <c r="B2532" s="6" t="s">
        <v>1787</v>
      </c>
      <c r="C2532" s="6" t="s">
        <v>8596</v>
      </c>
      <c r="D2532" s="6" t="s">
        <v>8597</v>
      </c>
      <c r="E2532" s="7" t="s">
        <v>21</v>
      </c>
      <c r="F2532" s="6" t="s">
        <v>8939</v>
      </c>
      <c r="G2532" s="6" t="s">
        <v>8940</v>
      </c>
      <c r="H2532" s="6" t="s">
        <v>8941</v>
      </c>
      <c r="I2532" s="6" t="s">
        <v>8942</v>
      </c>
      <c r="J2532" s="6" t="s">
        <v>78</v>
      </c>
      <c r="K2532" s="5"/>
      <c r="L2532" s="4" t="s">
        <v>44</v>
      </c>
      <c r="M2532" s="8" t="s">
        <v>79</v>
      </c>
      <c r="N2532" s="9" t="s">
        <v>1118</v>
      </c>
      <c r="O2532" s="5"/>
      <c r="P2532" s="5"/>
      <c r="Q2532" s="6" t="s">
        <v>30</v>
      </c>
      <c r="R2532" s="4" t="s">
        <v>31</v>
      </c>
      <c r="S2532" s="7" t="s">
        <v>32</v>
      </c>
      <c r="T2532" s="5"/>
    </row>
    <row r="2533" customFormat="false" ht="15" hidden="false" customHeight="true" outlineLevel="0" collapsed="false">
      <c r="A2533" s="4" t="n">
        <v>2532</v>
      </c>
      <c r="B2533" s="6" t="s">
        <v>1787</v>
      </c>
      <c r="C2533" s="6" t="s">
        <v>8596</v>
      </c>
      <c r="D2533" s="6" t="s">
        <v>8597</v>
      </c>
      <c r="E2533" s="7" t="s">
        <v>21</v>
      </c>
      <c r="F2533" s="6" t="s">
        <v>8943</v>
      </c>
      <c r="G2533" s="5" t="s">
        <v>8816</v>
      </c>
      <c r="H2533" s="5" t="s">
        <v>8817</v>
      </c>
      <c r="I2533" s="5" t="s">
        <v>8818</v>
      </c>
      <c r="J2533" s="5" t="s">
        <v>8819</v>
      </c>
      <c r="K2533" s="5"/>
      <c r="L2533" s="4" t="s">
        <v>62</v>
      </c>
      <c r="M2533" s="8" t="s">
        <v>129</v>
      </c>
      <c r="N2533" s="9" t="s">
        <v>1118</v>
      </c>
      <c r="O2533" s="5"/>
      <c r="P2533" s="5"/>
      <c r="Q2533" s="6" t="s">
        <v>30</v>
      </c>
      <c r="R2533" s="4" t="s">
        <v>31</v>
      </c>
      <c r="S2533" s="7" t="s">
        <v>32</v>
      </c>
      <c r="T2533" s="5"/>
    </row>
    <row r="2534" customFormat="false" ht="15" hidden="false" customHeight="true" outlineLevel="0" collapsed="false">
      <c r="A2534" s="4" t="n">
        <v>2533</v>
      </c>
      <c r="B2534" s="6" t="s">
        <v>1787</v>
      </c>
      <c r="C2534" s="6" t="s">
        <v>8596</v>
      </c>
      <c r="D2534" s="6" t="s">
        <v>8597</v>
      </c>
      <c r="E2534" s="7" t="s">
        <v>21</v>
      </c>
      <c r="F2534" s="6" t="s">
        <v>8944</v>
      </c>
      <c r="G2534" s="5" t="s">
        <v>7996</v>
      </c>
      <c r="H2534" s="5" t="s">
        <v>7997</v>
      </c>
      <c r="I2534" s="5" t="s">
        <v>7998</v>
      </c>
      <c r="J2534" s="5" t="s">
        <v>8762</v>
      </c>
      <c r="K2534" s="5"/>
      <c r="L2534" s="4" t="s">
        <v>51</v>
      </c>
      <c r="M2534" s="8" t="s">
        <v>129</v>
      </c>
      <c r="N2534" s="9" t="s">
        <v>1118</v>
      </c>
      <c r="O2534" s="5"/>
      <c r="P2534" s="5"/>
      <c r="Q2534" s="6" t="s">
        <v>30</v>
      </c>
      <c r="R2534" s="4" t="s">
        <v>31</v>
      </c>
      <c r="S2534" s="7" t="s">
        <v>32</v>
      </c>
      <c r="T2534" s="5"/>
    </row>
    <row r="2535" customFormat="false" ht="15" hidden="false" customHeight="true" outlineLevel="0" collapsed="false">
      <c r="A2535" s="4" t="n">
        <v>2534</v>
      </c>
      <c r="B2535" s="6" t="s">
        <v>1787</v>
      </c>
      <c r="C2535" s="6" t="s">
        <v>8596</v>
      </c>
      <c r="D2535" s="6" t="s">
        <v>8597</v>
      </c>
      <c r="E2535" s="7" t="s">
        <v>21</v>
      </c>
      <c r="F2535" s="6" t="s">
        <v>8945</v>
      </c>
      <c r="G2535" s="6" t="s">
        <v>8946</v>
      </c>
      <c r="H2535" s="5" t="s">
        <v>8947</v>
      </c>
      <c r="I2535" s="6" t="s">
        <v>1906</v>
      </c>
      <c r="J2535" s="6" t="s">
        <v>150</v>
      </c>
      <c r="K2535" s="5"/>
      <c r="L2535" s="4" t="s">
        <v>62</v>
      </c>
      <c r="M2535" s="8" t="s">
        <v>79</v>
      </c>
      <c r="N2535" s="9" t="s">
        <v>1118</v>
      </c>
      <c r="O2535" s="5"/>
      <c r="P2535" s="5"/>
      <c r="Q2535" s="6" t="s">
        <v>30</v>
      </c>
      <c r="R2535" s="4" t="s">
        <v>31</v>
      </c>
      <c r="S2535" s="7" t="s">
        <v>32</v>
      </c>
      <c r="T2535" s="5"/>
    </row>
    <row r="2536" customFormat="false" ht="15" hidden="false" customHeight="true" outlineLevel="0" collapsed="false">
      <c r="A2536" s="4" t="n">
        <v>2535</v>
      </c>
      <c r="B2536" s="6" t="s">
        <v>1787</v>
      </c>
      <c r="C2536" s="6" t="s">
        <v>8596</v>
      </c>
      <c r="D2536" s="6" t="s">
        <v>8597</v>
      </c>
      <c r="E2536" s="7" t="s">
        <v>21</v>
      </c>
      <c r="F2536" s="6" t="s">
        <v>8948</v>
      </c>
      <c r="G2536" s="6" t="s">
        <v>8949</v>
      </c>
      <c r="H2536" s="6" t="s">
        <v>8950</v>
      </c>
      <c r="I2536" s="6" t="s">
        <v>8951</v>
      </c>
      <c r="J2536" s="6" t="s">
        <v>78</v>
      </c>
      <c r="K2536" s="5"/>
      <c r="L2536" s="4" t="s">
        <v>44</v>
      </c>
      <c r="M2536" s="8" t="s">
        <v>79</v>
      </c>
      <c r="N2536" s="9" t="s">
        <v>8708</v>
      </c>
      <c r="O2536" s="5"/>
      <c r="P2536" s="5"/>
      <c r="Q2536" s="6" t="s">
        <v>30</v>
      </c>
      <c r="R2536" s="4" t="s">
        <v>31</v>
      </c>
      <c r="S2536" s="7" t="s">
        <v>32</v>
      </c>
      <c r="T2536" s="5"/>
    </row>
    <row r="2537" customFormat="false" ht="15" hidden="false" customHeight="true" outlineLevel="0" collapsed="false">
      <c r="A2537" s="4" t="n">
        <v>2536</v>
      </c>
      <c r="B2537" s="6" t="s">
        <v>1787</v>
      </c>
      <c r="C2537" s="6" t="s">
        <v>8596</v>
      </c>
      <c r="D2537" s="6" t="s">
        <v>8597</v>
      </c>
      <c r="E2537" s="7" t="s">
        <v>21</v>
      </c>
      <c r="F2537" s="5" t="s">
        <v>8952</v>
      </c>
      <c r="G2537" s="6" t="s">
        <v>8953</v>
      </c>
      <c r="H2537" s="6" t="s">
        <v>8954</v>
      </c>
      <c r="I2537" s="6" t="s">
        <v>6567</v>
      </c>
      <c r="J2537" s="6" t="s">
        <v>78</v>
      </c>
      <c r="K2537" s="5"/>
      <c r="L2537" s="4" t="s">
        <v>44</v>
      </c>
      <c r="M2537" s="8" t="s">
        <v>129</v>
      </c>
      <c r="N2537" s="9" t="s">
        <v>8738</v>
      </c>
      <c r="O2537" s="5"/>
      <c r="P2537" s="5"/>
      <c r="Q2537" s="6" t="s">
        <v>30</v>
      </c>
      <c r="R2537" s="4" t="s">
        <v>31</v>
      </c>
      <c r="S2537" s="7" t="s">
        <v>32</v>
      </c>
      <c r="T2537" s="5"/>
    </row>
    <row r="2538" customFormat="false" ht="15" hidden="false" customHeight="true" outlineLevel="0" collapsed="false">
      <c r="A2538" s="4" t="n">
        <v>2537</v>
      </c>
      <c r="B2538" s="6" t="s">
        <v>1787</v>
      </c>
      <c r="C2538" s="6" t="s">
        <v>8596</v>
      </c>
      <c r="D2538" s="6" t="s">
        <v>8597</v>
      </c>
      <c r="E2538" s="7" t="s">
        <v>21</v>
      </c>
      <c r="F2538" s="6" t="s">
        <v>8955</v>
      </c>
      <c r="G2538" s="5" t="s">
        <v>568</v>
      </c>
      <c r="H2538" s="5" t="s">
        <v>569</v>
      </c>
      <c r="I2538" s="5" t="s">
        <v>82</v>
      </c>
      <c r="J2538" s="5" t="s">
        <v>83</v>
      </c>
      <c r="K2538" s="5"/>
      <c r="L2538" s="4" t="s">
        <v>62</v>
      </c>
      <c r="M2538" s="8" t="s">
        <v>129</v>
      </c>
      <c r="N2538" s="9" t="s">
        <v>1118</v>
      </c>
      <c r="O2538" s="5"/>
      <c r="P2538" s="5"/>
      <c r="Q2538" s="6" t="s">
        <v>30</v>
      </c>
      <c r="R2538" s="4" t="s">
        <v>31</v>
      </c>
      <c r="S2538" s="7" t="s">
        <v>32</v>
      </c>
      <c r="T2538" s="5"/>
    </row>
    <row r="2539" customFormat="false" ht="15" hidden="false" customHeight="true" outlineLevel="0" collapsed="false">
      <c r="A2539" s="4" t="n">
        <v>2538</v>
      </c>
      <c r="B2539" s="6" t="s">
        <v>1787</v>
      </c>
      <c r="C2539" s="6" t="s">
        <v>8596</v>
      </c>
      <c r="D2539" s="6" t="s">
        <v>8597</v>
      </c>
      <c r="E2539" s="7" t="s">
        <v>21</v>
      </c>
      <c r="F2539" s="6" t="s">
        <v>8956</v>
      </c>
      <c r="G2539" s="5" t="s">
        <v>8957</v>
      </c>
      <c r="H2539" s="5" t="s">
        <v>8958</v>
      </c>
      <c r="I2539" s="5" t="s">
        <v>8959</v>
      </c>
      <c r="J2539" s="5" t="s">
        <v>8960</v>
      </c>
      <c r="K2539" s="5"/>
      <c r="L2539" s="4" t="s">
        <v>62</v>
      </c>
      <c r="M2539" s="8" t="s">
        <v>129</v>
      </c>
      <c r="N2539" s="9" t="s">
        <v>1118</v>
      </c>
      <c r="O2539" s="5"/>
      <c r="P2539" s="5"/>
      <c r="Q2539" s="6" t="s">
        <v>30</v>
      </c>
      <c r="R2539" s="4" t="s">
        <v>31</v>
      </c>
      <c r="S2539" s="7" t="s">
        <v>32</v>
      </c>
      <c r="T2539" s="5"/>
    </row>
  </sheetData>
  <autoFilter ref="A1:T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0"/>
    <col collapsed="false" customWidth="true" hidden="false" outlineLevel="0" max="3" min="3" style="1" width="34"/>
    <col collapsed="false" customWidth="true" hidden="false" outlineLevel="0" max="4" min="4" style="1" width="7"/>
    <col collapsed="false" customWidth="true" hidden="false" outlineLevel="0" max="5" min="5" style="1" width="9"/>
  </cols>
  <sheetData>
    <row r="1" customFormat="false" ht="17.25" hidden="false" customHeight="true" outlineLevel="0" collapsed="false">
      <c r="A1" s="10" t="s">
        <v>8961</v>
      </c>
    </row>
    <row r="3" customFormat="false" ht="15" hidden="false" customHeight="true" outlineLevel="0" collapsed="false">
      <c r="A3" s="11" t="s">
        <v>8962</v>
      </c>
    </row>
    <row r="5" customFormat="false" ht="16.5" hidden="false" customHeight="true" outlineLevel="0" collapsed="false">
      <c r="A5" s="12" t="s">
        <v>8963</v>
      </c>
      <c r="B5" s="12" t="s">
        <v>8964</v>
      </c>
      <c r="C5" s="12" t="s">
        <v>8965</v>
      </c>
      <c r="D5" s="12" t="s">
        <v>8966</v>
      </c>
      <c r="E5" s="12" t="s">
        <v>18</v>
      </c>
    </row>
    <row r="6" customFormat="false" ht="15" hidden="false" customHeight="true" outlineLevel="0" collapsed="false">
      <c r="A6" s="13" t="s">
        <v>0</v>
      </c>
      <c r="B6" s="6" t="s">
        <v>8967</v>
      </c>
      <c r="C6" s="5" t="s">
        <v>8968</v>
      </c>
      <c r="D6" s="14" t="s">
        <v>8969</v>
      </c>
      <c r="E6" s="14" t="s">
        <v>8970</v>
      </c>
    </row>
    <row r="7" customFormat="false" ht="15" hidden="false" customHeight="true" outlineLevel="0" collapsed="false">
      <c r="A7" s="13" t="s">
        <v>1</v>
      </c>
      <c r="B7" s="6" t="s">
        <v>8971</v>
      </c>
      <c r="C7" s="6" t="s">
        <v>8972</v>
      </c>
      <c r="D7" s="14" t="s">
        <v>8969</v>
      </c>
      <c r="E7" s="14" t="s">
        <v>8970</v>
      </c>
    </row>
    <row r="8" customFormat="false" ht="15" hidden="false" customHeight="true" outlineLevel="0" collapsed="false">
      <c r="A8" s="13" t="s">
        <v>2</v>
      </c>
      <c r="B8" s="6" t="s">
        <v>8973</v>
      </c>
      <c r="C8" s="6" t="s">
        <v>1788</v>
      </c>
      <c r="D8" s="14" t="s">
        <v>8969</v>
      </c>
      <c r="E8" s="14" t="s">
        <v>8970</v>
      </c>
    </row>
    <row r="9" customFormat="false" ht="15" hidden="false" customHeight="true" outlineLevel="0" collapsed="false">
      <c r="A9" s="13" t="s">
        <v>3</v>
      </c>
      <c r="B9" s="6" t="s">
        <v>8974</v>
      </c>
      <c r="C9" s="6" t="s">
        <v>2451</v>
      </c>
      <c r="D9" s="14" t="s">
        <v>8969</v>
      </c>
      <c r="E9" s="14" t="s">
        <v>8970</v>
      </c>
    </row>
    <row r="10" customFormat="false" ht="15" hidden="false" customHeight="true" outlineLevel="0" collapsed="false">
      <c r="A10" s="13" t="s">
        <v>4</v>
      </c>
      <c r="B10" s="6" t="s">
        <v>8975</v>
      </c>
      <c r="C10" s="6" t="s">
        <v>8976</v>
      </c>
      <c r="D10" s="14" t="s">
        <v>8969</v>
      </c>
      <c r="E10" s="14" t="s">
        <v>8970</v>
      </c>
    </row>
    <row r="11" customFormat="false" ht="15" hidden="false" customHeight="true" outlineLevel="0" collapsed="false">
      <c r="A11" s="13" t="s">
        <v>5</v>
      </c>
      <c r="B11" s="6" t="s">
        <v>8977</v>
      </c>
      <c r="C11" s="6" t="s">
        <v>8978</v>
      </c>
      <c r="D11" s="14" t="s">
        <v>8969</v>
      </c>
      <c r="E11" s="14" t="s">
        <v>8970</v>
      </c>
    </row>
    <row r="12" customFormat="false" ht="15" hidden="false" customHeight="true" outlineLevel="0" collapsed="false">
      <c r="A12" s="13" t="s">
        <v>8979</v>
      </c>
      <c r="B12" s="6" t="s">
        <v>8980</v>
      </c>
      <c r="C12" s="6" t="s">
        <v>8981</v>
      </c>
      <c r="D12" s="14" t="s">
        <v>8969</v>
      </c>
      <c r="E12" s="14" t="s">
        <v>8970</v>
      </c>
    </row>
    <row r="13" customFormat="false" ht="15" hidden="false" customHeight="true" outlineLevel="0" collapsed="false">
      <c r="A13" s="13" t="s">
        <v>10</v>
      </c>
      <c r="B13" s="6" t="s">
        <v>8982</v>
      </c>
      <c r="C13" s="6" t="s">
        <v>8983</v>
      </c>
      <c r="D13" s="14" t="s">
        <v>8984</v>
      </c>
      <c r="E13" s="14" t="s">
        <v>8970</v>
      </c>
    </row>
    <row r="14" customFormat="false" ht="15" hidden="false" customHeight="true" outlineLevel="0" collapsed="false">
      <c r="A14" s="13" t="s">
        <v>11</v>
      </c>
      <c r="B14" s="6" t="s">
        <v>8985</v>
      </c>
      <c r="C14" s="5" t="s">
        <v>8986</v>
      </c>
      <c r="D14" s="14" t="s">
        <v>8969</v>
      </c>
      <c r="E14" s="14" t="s">
        <v>8970</v>
      </c>
    </row>
    <row r="15" customFormat="false" ht="15" hidden="false" customHeight="true" outlineLevel="0" collapsed="false">
      <c r="A15" s="13" t="s">
        <v>12</v>
      </c>
      <c r="B15" s="6" t="s">
        <v>8987</v>
      </c>
      <c r="C15" s="6" t="s">
        <v>8988</v>
      </c>
      <c r="D15" s="14" t="s">
        <v>8984</v>
      </c>
      <c r="E15" s="15" t="s">
        <v>8989</v>
      </c>
    </row>
    <row r="16" customFormat="false" ht="15" hidden="false" customHeight="true" outlineLevel="0" collapsed="false">
      <c r="A16" s="13" t="s">
        <v>13</v>
      </c>
      <c r="B16" s="6" t="s">
        <v>8990</v>
      </c>
      <c r="C16" s="6" t="s">
        <v>8991</v>
      </c>
      <c r="D16" s="14" t="s">
        <v>8984</v>
      </c>
      <c r="E16" s="15" t="s">
        <v>8989</v>
      </c>
    </row>
    <row r="17" customFormat="false" ht="15" hidden="false" customHeight="true" outlineLevel="0" collapsed="false">
      <c r="A17" s="13" t="s">
        <v>14</v>
      </c>
      <c r="B17" s="6" t="s">
        <v>8992</v>
      </c>
      <c r="C17" s="6" t="s">
        <v>8993</v>
      </c>
      <c r="D17" s="14" t="s">
        <v>8984</v>
      </c>
      <c r="E17" s="15" t="s">
        <v>8989</v>
      </c>
    </row>
    <row r="18" customFormat="false" ht="15" hidden="false" customHeight="true" outlineLevel="0" collapsed="false">
      <c r="A18" s="13" t="s">
        <v>15</v>
      </c>
      <c r="B18" s="6" t="s">
        <v>8994</v>
      </c>
      <c r="C18" s="6" t="s">
        <v>8995</v>
      </c>
      <c r="D18" s="14" t="s">
        <v>8984</v>
      </c>
      <c r="E18" s="15" t="s">
        <v>8989</v>
      </c>
    </row>
    <row r="19" customFormat="false" ht="15" hidden="false" customHeight="true" outlineLevel="0" collapsed="false">
      <c r="A19" s="13" t="s">
        <v>16</v>
      </c>
      <c r="B19" s="6" t="s">
        <v>8996</v>
      </c>
      <c r="C19" s="6" t="s">
        <v>30</v>
      </c>
      <c r="D19" s="14" t="s">
        <v>8969</v>
      </c>
      <c r="E19" s="14" t="s">
        <v>8970</v>
      </c>
    </row>
    <row r="20" customFormat="false" ht="15" hidden="false" customHeight="true" outlineLevel="0" collapsed="false">
      <c r="A20" s="13" t="s">
        <v>17</v>
      </c>
      <c r="B20" s="6" t="s">
        <v>8997</v>
      </c>
      <c r="C20" s="5" t="s">
        <v>31</v>
      </c>
      <c r="D20" s="14" t="s">
        <v>8969</v>
      </c>
      <c r="E20" s="14" t="s">
        <v>8970</v>
      </c>
    </row>
    <row r="21" customFormat="false" ht="15" hidden="false" customHeight="true" outlineLevel="0" collapsed="false">
      <c r="A21" s="13" t="s">
        <v>18</v>
      </c>
      <c r="B21" s="6" t="s">
        <v>8998</v>
      </c>
      <c r="C21" s="6" t="s">
        <v>8999</v>
      </c>
      <c r="D21" s="14" t="s">
        <v>8969</v>
      </c>
      <c r="E21" s="14" t="s">
        <v>8970</v>
      </c>
    </row>
    <row r="22" customFormat="false" ht="15" hidden="false" customHeight="true" outlineLevel="0" collapsed="false">
      <c r="A22" s="13" t="s">
        <v>19</v>
      </c>
      <c r="B22" s="6" t="s">
        <v>9000</v>
      </c>
      <c r="C22" s="6" t="s">
        <v>8983</v>
      </c>
      <c r="D22" s="14" t="s">
        <v>8984</v>
      </c>
      <c r="E22" s="15" t="s">
        <v>8989</v>
      </c>
    </row>
    <row r="25" customFormat="false" ht="17.25" hidden="false" customHeight="true" outlineLevel="0" collapsed="false">
      <c r="A25" s="10" t="s">
        <v>9001</v>
      </c>
    </row>
    <row r="26" customFormat="false" ht="15" hidden="false" customHeight="true" outlineLevel="0" collapsed="false">
      <c r="A26" s="16" t="s">
        <v>0</v>
      </c>
      <c r="B26" s="5" t="s">
        <v>164</v>
      </c>
    </row>
    <row r="27" customFormat="false" ht="15" hidden="false" customHeight="true" outlineLevel="0" collapsed="false">
      <c r="A27" s="16" t="s">
        <v>1</v>
      </c>
      <c r="B27" s="6" t="s">
        <v>95</v>
      </c>
    </row>
    <row r="28" customFormat="false" ht="15" hidden="false" customHeight="true" outlineLevel="0" collapsed="false">
      <c r="A28" s="16" t="s">
        <v>2</v>
      </c>
      <c r="B28" s="6" t="s">
        <v>96</v>
      </c>
    </row>
    <row r="29" customFormat="false" ht="15" hidden="false" customHeight="true" outlineLevel="0" collapsed="false">
      <c r="A29" s="16" t="s">
        <v>4</v>
      </c>
      <c r="B29" s="6" t="s">
        <v>21</v>
      </c>
    </row>
    <row r="30" customFormat="false" ht="29.25" hidden="false" customHeight="true" outlineLevel="0" collapsed="false">
      <c r="A30" s="16" t="s">
        <v>5</v>
      </c>
      <c r="B30" s="6" t="s">
        <v>9002</v>
      </c>
    </row>
    <row r="31" customFormat="false" ht="15" hidden="false" customHeight="true" outlineLevel="0" collapsed="false">
      <c r="A31" s="16" t="s">
        <v>6</v>
      </c>
      <c r="B31" s="5" t="s">
        <v>47</v>
      </c>
    </row>
    <row r="32" customFormat="false" ht="15" hidden="false" customHeight="true" outlineLevel="0" collapsed="false">
      <c r="A32" s="16" t="s">
        <v>7</v>
      </c>
      <c r="B32" s="5" t="s">
        <v>48</v>
      </c>
    </row>
    <row r="33" customFormat="false" ht="15" hidden="false" customHeight="true" outlineLevel="0" collapsed="false">
      <c r="A33" s="16" t="s">
        <v>8</v>
      </c>
      <c r="B33" s="5" t="s">
        <v>49</v>
      </c>
    </row>
    <row r="34" customFormat="false" ht="15" hidden="false" customHeight="true" outlineLevel="0" collapsed="false">
      <c r="A34" s="16" t="s">
        <v>9</v>
      </c>
      <c r="B34" s="5" t="s">
        <v>50</v>
      </c>
    </row>
    <row r="35" customFormat="false" ht="15" hidden="false" customHeight="true" outlineLevel="0" collapsed="false">
      <c r="A35" s="16" t="s">
        <v>11</v>
      </c>
      <c r="B35" s="5" t="s">
        <v>51</v>
      </c>
    </row>
    <row r="36" customFormat="false" ht="15" hidden="false" customHeight="true" outlineLevel="0" collapsed="false">
      <c r="A36" s="16" t="s">
        <v>12</v>
      </c>
      <c r="B36" s="6" t="s">
        <v>79</v>
      </c>
    </row>
    <row r="37" customFormat="false" ht="15" hidden="false" customHeight="true" outlineLevel="0" collapsed="false">
      <c r="A37" s="16" t="s">
        <v>13</v>
      </c>
      <c r="B37" s="6" t="s">
        <v>9003</v>
      </c>
    </row>
    <row r="38" customFormat="false" ht="29.25" hidden="false" customHeight="true" outlineLevel="0" collapsed="false">
      <c r="A38" s="16" t="s">
        <v>14</v>
      </c>
      <c r="B38" s="6" t="s">
        <v>9004</v>
      </c>
    </row>
    <row r="39" customFormat="false" ht="15" hidden="false" customHeight="true" outlineLevel="0" collapsed="false">
      <c r="A39" s="16" t="s">
        <v>15</v>
      </c>
      <c r="B39" s="6" t="s">
        <v>9005</v>
      </c>
    </row>
    <row r="40" customFormat="false" ht="15" hidden="false" customHeight="true" outlineLevel="0" collapsed="false">
      <c r="A40" s="16" t="s">
        <v>18</v>
      </c>
      <c r="B40" s="6" t="s">
        <v>32</v>
      </c>
    </row>
    <row r="43" customFormat="false" ht="17.25" hidden="false" customHeight="true" outlineLevel="0" collapsed="false">
      <c r="A43" s="10" t="s">
        <v>9006</v>
      </c>
    </row>
    <row r="44" customFormat="false" ht="45.75" hidden="false" customHeight="true" outlineLevel="0" collapsed="false">
      <c r="A44" s="17" t="s">
        <v>9007</v>
      </c>
      <c r="B44" s="17"/>
      <c r="C44" s="17"/>
      <c r="D44" s="17"/>
      <c r="E44" s="17"/>
    </row>
    <row r="45" customFormat="false" ht="45.75" hidden="false" customHeight="true" outlineLevel="0" collapsed="false">
      <c r="A45" s="17" t="s">
        <v>9008</v>
      </c>
      <c r="B45" s="17"/>
      <c r="C45" s="17"/>
      <c r="D45" s="17"/>
      <c r="E45" s="17"/>
    </row>
    <row r="46" customFormat="false" ht="45.75" hidden="false" customHeight="true" outlineLevel="0" collapsed="false">
      <c r="A46" s="17" t="s">
        <v>9009</v>
      </c>
      <c r="B46" s="17"/>
      <c r="C46" s="17"/>
      <c r="D46" s="17"/>
      <c r="E46" s="17"/>
    </row>
    <row r="47" customFormat="false" ht="45.75" hidden="false" customHeight="true" outlineLevel="0" collapsed="false">
      <c r="A47" s="17" t="s">
        <v>9010</v>
      </c>
      <c r="B47" s="17"/>
      <c r="C47" s="17"/>
      <c r="D47" s="17"/>
      <c r="E47" s="17"/>
    </row>
  </sheetData>
  <mergeCells count="4">
    <mergeCell ref="A44:E44"/>
    <mergeCell ref="A45:E45"/>
    <mergeCell ref="A46:E46"/>
    <mergeCell ref="A47:E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6"/>
    <col collapsed="false" customWidth="true" hidden="false" outlineLevel="0" max="3" min="3" style="1" width="10"/>
  </cols>
  <sheetData>
    <row r="1" customFormat="false" ht="17.25" hidden="false" customHeight="true" outlineLevel="0" collapsed="false">
      <c r="A1" s="10" t="s">
        <v>9011</v>
      </c>
    </row>
    <row r="3" customFormat="false" ht="15" hidden="false" customHeight="true" outlineLevel="0" collapsed="false">
      <c r="A3" s="12" t="s">
        <v>1</v>
      </c>
      <c r="B3" s="12" t="s">
        <v>9012</v>
      </c>
      <c r="C3" s="12" t="s">
        <v>9013</v>
      </c>
    </row>
    <row r="4" customFormat="false" ht="15" hidden="false" customHeight="true" outlineLevel="0" collapsed="false">
      <c r="A4" s="18"/>
      <c r="B4" s="19" t="s">
        <v>20</v>
      </c>
      <c r="C4" s="4" t="n">
        <f aca="false">COUNTIF(題庫!$D$2:$D$2539,"政府採購全生命週期概論")</f>
        <v>12</v>
      </c>
    </row>
    <row r="5" customFormat="false" ht="15" hidden="false" customHeight="true" outlineLevel="0" collapsed="false">
      <c r="A5" s="19" t="s">
        <v>95</v>
      </c>
      <c r="B5" s="19" t="s">
        <v>97</v>
      </c>
      <c r="C5" s="4" t="n">
        <f aca="false">COUNTIF(題庫!$D$2:$D$2539,"單元一：第一章 公共工程施工品質管理制度理念與導入")</f>
        <v>28</v>
      </c>
    </row>
    <row r="6" customFormat="false" ht="15" hidden="false" customHeight="true" outlineLevel="0" collapsed="false">
      <c r="A6" s="19" t="s">
        <v>95</v>
      </c>
      <c r="B6" s="19" t="s">
        <v>234</v>
      </c>
      <c r="C6" s="4" t="n">
        <f aca="false">COUNTIF(題庫!$D$2:$D$2539,"單元一：第二章 公共工程管理相關法規概要")</f>
        <v>136</v>
      </c>
    </row>
    <row r="7" customFormat="false" ht="15" hidden="false" customHeight="true" outlineLevel="0" collapsed="false">
      <c r="A7" s="19" t="s">
        <v>95</v>
      </c>
      <c r="B7" s="19" t="s">
        <v>822</v>
      </c>
      <c r="C7" s="4" t="n">
        <f aca="false">COUNTIF(題庫!$D$2:$D$2539,"單元一：第三章 公共工程履約管理")</f>
        <v>134</v>
      </c>
    </row>
    <row r="8" customFormat="false" ht="15" hidden="false" customHeight="true" outlineLevel="0" collapsed="false">
      <c r="A8" s="19" t="s">
        <v>95</v>
      </c>
      <c r="B8" s="19" t="s">
        <v>1424</v>
      </c>
      <c r="C8" s="4" t="n">
        <f aca="false">COUNTIF(題庫!$D$2:$D$2539,"單元一：第四章 永續公共工程")</f>
        <v>50</v>
      </c>
    </row>
    <row r="9" customFormat="false" ht="15" hidden="false" customHeight="true" outlineLevel="0" collapsed="false">
      <c r="A9" s="19" t="s">
        <v>95</v>
      </c>
      <c r="B9" s="19" t="s">
        <v>1628</v>
      </c>
      <c r="C9" s="4" t="n">
        <f aca="false">COUNTIF(題庫!$D$2:$D$2539,"單元一：第五章 工程倫理")</f>
        <v>36</v>
      </c>
    </row>
    <row r="10" customFormat="false" ht="15" hidden="false" customHeight="true" outlineLevel="0" collapsed="false">
      <c r="A10" s="19" t="s">
        <v>1787</v>
      </c>
      <c r="B10" s="19" t="s">
        <v>1789</v>
      </c>
      <c r="C10" s="4" t="n">
        <f aca="false">COUNTIF(題庫!$D$2:$D$2539,"單元二：第一章 監造計畫與品質計畫指導")</f>
        <v>195</v>
      </c>
    </row>
    <row r="11" customFormat="false" ht="15" hidden="false" customHeight="true" outlineLevel="0" collapsed="false">
      <c r="A11" s="19" t="s">
        <v>1787</v>
      </c>
      <c r="B11" s="19" t="s">
        <v>2451</v>
      </c>
      <c r="C11" s="4" t="n">
        <f aca="false">COUNTIF(題庫!$D$2:$D$2539,"單元二：第二章 統計分析方法與應用")</f>
        <v>180</v>
      </c>
    </row>
    <row r="12" customFormat="false" ht="15" hidden="false" customHeight="true" outlineLevel="0" collapsed="false">
      <c r="A12" s="19" t="s">
        <v>1787</v>
      </c>
      <c r="B12" s="19" t="s">
        <v>3016</v>
      </c>
      <c r="C12" s="4" t="n">
        <f aca="false">COUNTIF(題庫!$D$2:$D$2539,"單元二：第三章 品質分析方法與應用")</f>
        <v>204</v>
      </c>
    </row>
    <row r="13" customFormat="false" ht="15" hidden="false" customHeight="true" outlineLevel="0" collapsed="false">
      <c r="A13" s="19" t="s">
        <v>1787</v>
      </c>
      <c r="B13" s="19" t="s">
        <v>3573</v>
      </c>
      <c r="C13" s="4" t="n">
        <f aca="false">COUNTIF(題庫!$D$2:$D$2539,"單元二：第四章 工程進料檢驗與管制")</f>
        <v>230</v>
      </c>
    </row>
    <row r="14" customFormat="false" ht="15" hidden="false" customHeight="true" outlineLevel="0" collapsed="false">
      <c r="A14" s="19" t="s">
        <v>1787</v>
      </c>
      <c r="B14" s="19" t="s">
        <v>4482</v>
      </c>
      <c r="C14" s="4" t="n">
        <f aca="false">COUNTIF(題庫!$D$2:$D$2539,"單元二：第五章 施工管制與檢驗")</f>
        <v>216</v>
      </c>
    </row>
    <row r="15" customFormat="false" ht="15" hidden="false" customHeight="true" outlineLevel="0" collapsed="false">
      <c r="A15" s="19" t="s">
        <v>1787</v>
      </c>
      <c r="B15" s="19" t="s">
        <v>5242</v>
      </c>
      <c r="C15" s="4" t="n">
        <f aca="false">COUNTIF(題庫!$D$2:$D$2539,"單元二：第六章 工程品質稽核")</f>
        <v>175</v>
      </c>
    </row>
    <row r="16" customFormat="false" ht="15" hidden="false" customHeight="true" outlineLevel="0" collapsed="false">
      <c r="A16" s="19" t="s">
        <v>1787</v>
      </c>
      <c r="B16" s="19" t="s">
        <v>5767</v>
      </c>
      <c r="C16" s="4" t="n">
        <f aca="false">COUNTIF(題庫!$D$2:$D$2539,"單元二：第一章 電氣設備工程品質管理實務")</f>
        <v>142</v>
      </c>
    </row>
    <row r="17" customFormat="false" ht="15" hidden="false" customHeight="true" outlineLevel="0" collapsed="false">
      <c r="A17" s="19" t="s">
        <v>1787</v>
      </c>
      <c r="B17" s="19" t="s">
        <v>6384</v>
      </c>
      <c r="C17" s="4" t="n">
        <f aca="false">COUNTIF(題庫!$D$2:$D$2539,"單元二：第二章 弱電(含中央監控)設備工程品質管理實務")</f>
        <v>232</v>
      </c>
    </row>
    <row r="18" customFormat="false" ht="15" hidden="false" customHeight="true" outlineLevel="0" collapsed="false">
      <c r="A18" s="19" t="s">
        <v>1787</v>
      </c>
      <c r="B18" s="19" t="s">
        <v>7228</v>
      </c>
      <c r="C18" s="4" t="n">
        <f aca="false">COUNTIF(題庫!$D$2:$D$2539,"單元二：第三章 給排水衛生設備工程品質管理實務")</f>
        <v>158</v>
      </c>
    </row>
    <row r="19" customFormat="false" ht="15" hidden="false" customHeight="true" outlineLevel="0" collapsed="false">
      <c r="A19" s="19" t="s">
        <v>1787</v>
      </c>
      <c r="B19" s="19" t="s">
        <v>7660</v>
      </c>
      <c r="C19" s="4" t="n">
        <f aca="false">COUNTIF(題庫!$D$2:$D$2539,"單元二：第四章 消防設備及空調設備工程品質管理實務")</f>
        <v>151</v>
      </c>
    </row>
    <row r="20" customFormat="false" ht="15" hidden="false" customHeight="true" outlineLevel="0" collapsed="false">
      <c r="A20" s="19" t="s">
        <v>1787</v>
      </c>
      <c r="B20" s="19" t="s">
        <v>8157</v>
      </c>
      <c r="C20" s="4" t="n">
        <f aca="false">COUNTIF(題庫!$D$2:$D$2539,"單元二：第五章 電梯設備工程品質管理實務")</f>
        <v>161</v>
      </c>
    </row>
    <row r="21" customFormat="false" ht="15" hidden="false" customHeight="true" outlineLevel="0" collapsed="false">
      <c r="A21" s="19" t="s">
        <v>1787</v>
      </c>
      <c r="B21" s="19" t="s">
        <v>8597</v>
      </c>
      <c r="C21" s="4" t="n">
        <f aca="false">COUNTIF(題庫!$D$2:$D$2539,"單元二：第六章 建築工程之界面整合")</f>
        <v>98</v>
      </c>
    </row>
    <row r="22" customFormat="false" ht="15" hidden="false" customHeight="true" outlineLevel="0" collapsed="false">
      <c r="A22" s="20"/>
      <c r="B22" s="16" t="s">
        <v>9014</v>
      </c>
      <c r="C22" s="21" t="n">
        <f aca="false">SUM(C4:C21)</f>
        <v>2538</v>
      </c>
    </row>
    <row r="25" customFormat="false" ht="17.25" hidden="false" customHeight="true" outlineLevel="0" collapsed="false">
      <c r="A25" s="10" t="s">
        <v>9015</v>
      </c>
    </row>
    <row r="26" customFormat="false" ht="15" hidden="false" customHeight="true" outlineLevel="0" collapsed="false">
      <c r="A26" s="12" t="s">
        <v>9016</v>
      </c>
      <c r="B26" s="12" t="s">
        <v>9013</v>
      </c>
    </row>
    <row r="27" customFormat="false" ht="15" hidden="false" customHeight="true" outlineLevel="0" collapsed="false">
      <c r="A27" s="4" t="s">
        <v>51</v>
      </c>
      <c r="B27" s="4" t="n">
        <f aca="false">COUNTIF(題庫!$L$2:$L$2539,"A")</f>
        <v>579</v>
      </c>
    </row>
    <row r="28" customFormat="false" ht="15" hidden="false" customHeight="true" outlineLevel="0" collapsed="false">
      <c r="A28" s="4" t="s">
        <v>62</v>
      </c>
      <c r="B28" s="4" t="n">
        <f aca="false">COUNTIF(題庫!$L$2:$L$2539,"B")</f>
        <v>572</v>
      </c>
    </row>
    <row r="29" customFormat="false" ht="15" hidden="false" customHeight="true" outlineLevel="0" collapsed="false">
      <c r="A29" s="4" t="s">
        <v>27</v>
      </c>
      <c r="B29" s="4" t="n">
        <f aca="false">COUNTIF(題庫!$L$2:$L$2539,"C")</f>
        <v>630</v>
      </c>
    </row>
    <row r="30" customFormat="false" ht="15" hidden="false" customHeight="true" outlineLevel="0" collapsed="false">
      <c r="A30" s="4" t="s">
        <v>44</v>
      </c>
      <c r="B30" s="4" t="n">
        <f aca="false">COUNTIF(題庫!$L$2:$L$2539,"D")</f>
        <v>757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2026-08-01T19:54:35Z</dcterms:created>
  <dc:creator>openpyxl</dc:creator>
  <dc:description/>
  <dc:language>en-US</dc:language>
  <cp:lastModifiedBy/>
  <dcterms:modified xsi:type="dcterms:W3CDTF">2026-08-01T21:34:03Z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